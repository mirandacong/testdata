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70" yWindow="2355" windowWidth="18075" windowHeight="4740" tabRatio="831"/>
  </bookViews>
  <sheets>
    <sheet name="ImportantDisclosures" sheetId="45" r:id="rId1"/>
    <sheet name="IS" sheetId="31" r:id="rId2"/>
    <sheet name="BS" sheetId="32" r:id="rId3"/>
    <sheet name="CFS" sheetId="33" r:id="rId4"/>
    <sheet name="MW-Cache" sheetId="22" state="veryHidden" r:id="rId5"/>
    <sheet name="BU-Segment" sheetId="26" r:id="rId6"/>
    <sheet name="IndexInformation" sheetId="46" r:id="rId7"/>
    <sheet name="ModPubIndex" sheetId="4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3CEC4AF2C7C246EC8B730C5EBEEC9062.edm" hidden="1">'[2]Emp Bonus'!$A:$IV</definedName>
    <definedName name="_bdm.A602E4BDCDD7438F8D37F3AD216BE46B.edm" hidden="1">[2]Shares_old!$A:$IV</definedName>
    <definedName name="_bdm.CFCE32E7717F4A57A5442A12FCE7C69B.edm" hidden="1">'[2]GM Analysis'!$A:$IV</definedName>
    <definedName name="_Order1" hidden="1">255</definedName>
    <definedName name="_Order2" hidden="1">255</definedName>
    <definedName name="_Regression_Int" hidden="1">1</definedName>
    <definedName name="AccessDatabase" hidden="1">"Y:\Database\Stock Information.mdb"</definedName>
    <definedName name="AdditionalInstructions">IndexInformation!$B$42</definedName>
    <definedName name="Address" localSheetId="0">ImportantDisclosures!$A$2:$A$2</definedName>
    <definedName name="ANA" localSheetId="7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0">ImportantDisclosures!$A$7</definedName>
    <definedName name="Authors" localSheetId="6">IndexInformation!$B$18</definedName>
    <definedName name="BG_Ins" hidden="1">4</definedName>
    <definedName name="BRO" localSheetId="7">ModPubIndex!$A$1</definedName>
    <definedName name="BS">[3]BS!$D$44:$GI$44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OFFSET([4]c1!$G$12,0,0,COUNTA([4]c1!$G$12:$G$31),1)</definedName>
    <definedName name="Date" localSheetId="0">ImportantDisclosures!$A$8</definedName>
    <definedName name="Dates">OFFSET('[5]Earnings Exhibits'!$A$3,0,COUNTA('[5]Earnings Exhibits'!$A$3:$IV$3)+2,1,-20)</definedName>
    <definedName name="Dates10">OFFSET('[5]Earnings Exhibits'!$A$3,0,COUNTA('[5]Earnings Exhibits'!$A$3:$IV$3)+2,1,-38)</definedName>
    <definedName name="DB">"WIREHKPROD"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DummyEstYears">3</definedName>
    <definedName name="EMAIL_ALERT" localSheetId="7">ModPubIndex!$A$10</definedName>
    <definedName name="EmailAlert" localSheetId="6">IndexInformation!$B$28</definedName>
    <definedName name="esnrc128c1_values" hidden="1">{"TW","COMPANIES",TRUE}</definedName>
    <definedName name="EurosFRF">1</definedName>
    <definedName name="EurosITL">1</definedName>
    <definedName name="ｆ" hidden="1">"iQShowAnnual"</definedName>
    <definedName name="FINCriteriaType">1</definedName>
    <definedName name="FineUS">{"Client Name or Project Name"}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"102119|1"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GM">OFFSET('[5]Earnings Exhibits'!$A$10,0,COUNTA('[5]Earnings Exhibits'!$A$10:$IV$10),1,-19)</definedName>
    <definedName name="GMDates">OFFSET('[5]Earnings Exhibits'!$B$3,0,COUNTA('[5]Earnings Exhibits'!$A$3:$IV$3),1,-19)</definedName>
    <definedName name="HL" localSheetId="7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38848.715787037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6">IndexInformation!$B$8</definedName>
    <definedName name="LabelList">OFFSET(LabelData,1,0,ROWS(LabelData)-1,1)</definedName>
    <definedName name="Language">IF(LanguageSelection="English",1,2)</definedName>
    <definedName name="LanguageCode">IndexInformation!$B$38</definedName>
    <definedName name="LastCell" localSheetId="0">ImportantDisclosures!$A$22</definedName>
    <definedName name="Linking_1">IS!$B$4:$BX$132</definedName>
    <definedName name="Linking_11">BS!$B$4:$BX$40</definedName>
    <definedName name="Linking_13">BS!$B$5:$BX$41</definedName>
    <definedName name="Linking_15">IS!$B$4:$BY$130</definedName>
    <definedName name="Linking_16">BS!$B$4:$BY$41</definedName>
    <definedName name="Linking_17">CFS!$B$4:$BY$54</definedName>
    <definedName name="Linking_18">BS!$B$4:$BC$41</definedName>
    <definedName name="Linking_2">BS!$B$4:$BX$41</definedName>
    <definedName name="Linking_20">IS!$B$4:$BZ$130</definedName>
    <definedName name="Linking_21">BS!$B$4:$BG$41</definedName>
    <definedName name="Linking_22">CFS!$B$4:$BZ$54</definedName>
    <definedName name="Linking_3">CFS!$B$4:$BX$54</definedName>
    <definedName name="Linking_9">IS!$B$4:$BX$130</definedName>
    <definedName name="MacroVersion" localSheetId="6">IndexInformation!$B$1</definedName>
    <definedName name="ModelPrice" localSheetId="0">ImportantDisclosures!$A$14</definedName>
    <definedName name="Multiplier" localSheetId="6">IndexInformation!$B$35</definedName>
    <definedName name="NextQoQ">OFFSET('[5]Earnings Exhibits'!$A$8,0,COUNTA('[5]Earnings Exhibits'!$A$6:$IV$6),1,-38)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OM">OFFSET('[5]Earnings Exhibits'!$A$13,0,COUNTA('[5]Earnings Exhibits'!$A$13:$IV$13),1,-19)</definedName>
    <definedName name="PANA" localSheetId="7">ModPubIndex!$A$11</definedName>
    <definedName name="PathName" localSheetId="6">IndexInformation!$B$25</definedName>
    <definedName name="_xlnm.Print_Area" localSheetId="3">CFS!$B$4:$BT$87</definedName>
    <definedName name="_xlnm.Print_Area">"Formula removed, name can be deleted."</definedName>
    <definedName name="_xlnm.Print_Titles">"Formula removed, name can be deleted."</definedName>
    <definedName name="PRODUCT" localSheetId="7">ModPubIndex!$A$6</definedName>
    <definedName name="ProjectName">{"Client Name or Project Name"}</definedName>
    <definedName name="PSYM" localSheetId="7">ModPubIndex!$A$4</definedName>
    <definedName name="PublishDate" localSheetId="6">IndexInformation!$B$2</definedName>
    <definedName name="QoQ">OFFSET('[5]Earnings Exhibits'!$A$7,0,COUNTA('[5]Earnings Exhibits'!$A$6:$IV$6),1,-38)</definedName>
    <definedName name="Rangename">"Summary DCF"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c.Asset_Debt">0</definedName>
    <definedName name="RegACDisclosure" localSheetId="0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pairedName0004" hidden="1">"iQShowAnnual"</definedName>
    <definedName name="RepairedName0029">"iQShowAnnual"</definedName>
    <definedName name="RepairedName0030">"iQShowAnnual"</definedName>
    <definedName name="RepairedName0034">"iQShowAnnual"</definedName>
    <definedName name="RepairedName0290">"iQShowAnnual"</definedName>
    <definedName name="RepairedName16039" hidden="1">"iQShowAnnual"</definedName>
    <definedName name="RepairedName7674" hidden="1">"iQShowAnnual"</definedName>
    <definedName name="RepairedName9006" hidden="1">"iQShowAnnual"</definedName>
    <definedName name="ResearchTopic" localSheetId="6">IndexInformation!$B$4</definedName>
    <definedName name="RIC" localSheetId="6">IndexInformation!$B$21</definedName>
    <definedName name="Sales">OFFSET('[5]Earnings Exhibits'!$A$5,0,COUNTA('[5]Earnings Exhibits'!$A$5:$IV$5),1,-20)</definedName>
    <definedName name="SavedThisSession">FALSE</definedName>
    <definedName name="SECSettlement" localSheetId="0">ImportantDisclosures!#REF!</definedName>
    <definedName name="SEDOL" localSheetId="6">IndexInformation!$B$22</definedName>
    <definedName name="sencount" hidden="1">1</definedName>
    <definedName name="solver_adj" localSheetId="3" hidden="1">CFS!$X$63:$X$64,CFS!$X$78</definedName>
    <definedName name="solver_cvg" localSheetId="5" hidden="1">0.0001</definedName>
    <definedName name="solver_cvg" localSheetId="3" hidden="1">0.0001</definedName>
    <definedName name="solver_drv" localSheetId="5" hidden="1">1</definedName>
    <definedName name="solver_drv" localSheetId="3" hidden="1">1</definedName>
    <definedName name="solver_est" localSheetId="5" hidden="1">1</definedName>
    <definedName name="solver_est" localSheetId="3" hidden="1">1</definedName>
    <definedName name="solver_itr" localSheetId="5" hidden="1">100</definedName>
    <definedName name="solver_itr" localSheetId="3" hidden="1">100</definedName>
    <definedName name="solver_lhs1" localSheetId="3" hidden="1">CFS!$AA$66</definedName>
    <definedName name="solver_lhs2" localSheetId="3" hidden="1">CFS!$AA$68</definedName>
    <definedName name="solver_lin" localSheetId="5" hidden="1">2</definedName>
    <definedName name="solver_lin" localSheetId="3" hidden="1">2</definedName>
    <definedName name="solver_neg" localSheetId="5" hidden="1">2</definedName>
    <definedName name="solver_neg" localSheetId="3" hidden="1">2</definedName>
    <definedName name="solver_num" localSheetId="5" hidden="1">2</definedName>
    <definedName name="solver_num" localSheetId="3" hidden="1">2</definedName>
    <definedName name="solver_nwt" localSheetId="5" hidden="1">1</definedName>
    <definedName name="solver_nwt" localSheetId="3" hidden="1">1</definedName>
    <definedName name="solver_opt" localSheetId="3" hidden="1">CFS!$AA$69</definedName>
    <definedName name="solver_pre" localSheetId="5" hidden="1">0.000001</definedName>
    <definedName name="solver_pre" localSheetId="3" hidden="1">0.000001</definedName>
    <definedName name="solver_rel1" localSheetId="5" hidden="1">2</definedName>
    <definedName name="solver_rel1" localSheetId="3" hidden="1">2</definedName>
    <definedName name="solver_rel2" localSheetId="5" hidden="1">2</definedName>
    <definedName name="solver_rel2" localSheetId="3" hidden="1">2</definedName>
    <definedName name="solver_rhs1" localSheetId="5" hidden="1">62%</definedName>
    <definedName name="solver_rhs1" localSheetId="3" hidden="1">46.942</definedName>
    <definedName name="solver_rhs2" localSheetId="5" hidden="1">12%</definedName>
    <definedName name="solver_rhs2" localSheetId="3" hidden="1">23</definedName>
    <definedName name="solver_scl" localSheetId="5" hidden="1">2</definedName>
    <definedName name="solver_scl" localSheetId="3" hidden="1">2</definedName>
    <definedName name="solver_sho" localSheetId="5" hidden="1">2</definedName>
    <definedName name="solver_sho" localSheetId="3" hidden="1">2</definedName>
    <definedName name="solver_tim" localSheetId="5" hidden="1">100</definedName>
    <definedName name="solver_tim" localSheetId="3" hidden="1">100</definedName>
    <definedName name="solver_tol" localSheetId="5" hidden="1">0.05</definedName>
    <definedName name="solver_tol" localSheetId="3" hidden="1">0.05</definedName>
    <definedName name="solver_typ" localSheetId="5" hidden="1">3</definedName>
    <definedName name="solver_typ" localSheetId="3" hidden="1">3</definedName>
    <definedName name="solver_val" localSheetId="5" hidden="1">0.26</definedName>
    <definedName name="solver_val" localSheetId="3" hidden="1">23</definedName>
    <definedName name="SourceDefined" localSheetId="0">ImportantDisclosures!$A$19</definedName>
    <definedName name="Stock_dividend">0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Trace">FALSE</definedName>
    <definedName name="UnitStringsList">OFFSET(UnitStrings,0,0,ROWS(UnitStrings),1)</definedName>
    <definedName name="UpdateReason" localSheetId="6">IndexInformation!$B$17</definedName>
    <definedName name="UpgradeVersion">"v2.35"</definedName>
    <definedName name="USRegDisclosures" localSheetId="0">ImportantDisclosures!#REF!</definedName>
    <definedName name="validate_Equity_Data">[6]!validate_Equity_Data</definedName>
    <definedName name="ValidDateTable" localSheetId="5">[3]mwareDates!$B$2:$E$181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 iterate="1"/>
</workbook>
</file>

<file path=xl/calcChain.xml><?xml version="1.0" encoding="utf-8"?>
<calcChain xmlns="http://schemas.openxmlformats.org/spreadsheetml/2006/main">
  <c r="BA139" i="31" l="1"/>
  <c r="BB139" i="31" s="1"/>
  <c r="BC139" i="31" s="1"/>
  <c r="BD139" i="31" s="1"/>
  <c r="BE139" i="31" s="1"/>
  <c r="BF139" i="31" s="1"/>
  <c r="BG139" i="31" s="1"/>
  <c r="BF44" i="31"/>
  <c r="BG44" i="31"/>
  <c r="BE44" i="31"/>
  <c r="BD44" i="31"/>
  <c r="BI34" i="31"/>
  <c r="BJ34" i="31"/>
  <c r="BK34" i="31"/>
  <c r="BH34" i="31"/>
  <c r="CW8" i="26"/>
  <c r="CV8" i="26"/>
  <c r="BA99" i="31" l="1"/>
  <c r="BE102" i="31"/>
  <c r="BF102" i="31" s="1"/>
  <c r="BG102" i="31" s="1"/>
  <c r="BH102" i="31" s="1"/>
  <c r="BI102" i="31" s="1"/>
  <c r="BJ102" i="31" s="1"/>
  <c r="BK102" i="31" s="1"/>
  <c r="BA44" i="33"/>
  <c r="BB149" i="31"/>
  <c r="BC149" i="31" s="1"/>
  <c r="BD149" i="31" s="1"/>
  <c r="BE149" i="31" s="1"/>
  <c r="BF149" i="31" s="1"/>
  <c r="BG149" i="31" s="1"/>
  <c r="BH149" i="31" l="1"/>
  <c r="BI149" i="31" s="1"/>
  <c r="BJ149" i="31" s="1"/>
  <c r="BK149" i="31" s="1"/>
  <c r="CA149" i="31" s="1"/>
  <c r="BZ149" i="31"/>
  <c r="AZ71" i="33" l="1"/>
  <c r="AZ64" i="33"/>
  <c r="AZ62" i="33"/>
  <c r="AZ66" i="33" s="1"/>
  <c r="BY45" i="33"/>
  <c r="BY43" i="33"/>
  <c r="BY42" i="33"/>
  <c r="BY41" i="33"/>
  <c r="BY36" i="33"/>
  <c r="BY35" i="33"/>
  <c r="BY34" i="33"/>
  <c r="BY33" i="33"/>
  <c r="BY32" i="33"/>
  <c r="BY31" i="33"/>
  <c r="BY17" i="33"/>
  <c r="BY16" i="33"/>
  <c r="BY15" i="33"/>
  <c r="BY14" i="33"/>
  <c r="BY13" i="33"/>
  <c r="BY12" i="33"/>
  <c r="BY11" i="33"/>
  <c r="AZ107" i="26"/>
  <c r="AZ100" i="26"/>
  <c r="AZ99" i="26"/>
  <c r="AZ98" i="26"/>
  <c r="AZ95" i="26"/>
  <c r="AZ94" i="26"/>
  <c r="AZ93" i="26"/>
  <c r="AZ90" i="26"/>
  <c r="AZ89" i="26"/>
  <c r="AZ88" i="26"/>
  <c r="AZ77" i="26"/>
  <c r="AZ73" i="26"/>
  <c r="AZ79" i="26" s="1"/>
  <c r="AZ61" i="26"/>
  <c r="AZ60" i="26"/>
  <c r="AZ54" i="26"/>
  <c r="AZ53" i="26"/>
  <c r="AZ47" i="26"/>
  <c r="AZ46" i="26"/>
  <c r="AZ24" i="26"/>
  <c r="AZ20" i="26"/>
  <c r="AZ16" i="26"/>
  <c r="AZ12" i="26"/>
  <c r="AZ10" i="26"/>
  <c r="AZ9" i="26"/>
  <c r="AZ126" i="26"/>
  <c r="AZ139" i="26" s="1"/>
  <c r="AZ80" i="33"/>
  <c r="AY71" i="33"/>
  <c r="AY69" i="33"/>
  <c r="AY64" i="33"/>
  <c r="AY62" i="33"/>
  <c r="AY43" i="33"/>
  <c r="AY44" i="33"/>
  <c r="AY26" i="33"/>
  <c r="AY25" i="33"/>
  <c r="AY24" i="33"/>
  <c r="AY23" i="33"/>
  <c r="AY22" i="33"/>
  <c r="AY20" i="33"/>
  <c r="AY19" i="33"/>
  <c r="AZ54" i="32"/>
  <c r="AZ50" i="32" s="1"/>
  <c r="AZ53" i="32"/>
  <c r="AZ51" i="32" s="1"/>
  <c r="AZ49" i="32"/>
  <c r="AZ48" i="32" s="1"/>
  <c r="AZ31" i="32"/>
  <c r="AZ14" i="32"/>
  <c r="AZ23" i="32" s="1"/>
  <c r="AZ99" i="31"/>
  <c r="AZ101" i="31" s="1"/>
  <c r="AZ60" i="31"/>
  <c r="AZ143" i="31"/>
  <c r="AZ141" i="31"/>
  <c r="AZ140" i="31"/>
  <c r="AZ137" i="31"/>
  <c r="AZ44" i="31"/>
  <c r="AZ118" i="31"/>
  <c r="AZ120" i="31" s="1"/>
  <c r="AZ109" i="31" s="1"/>
  <c r="AZ115" i="31"/>
  <c r="AZ116" i="31" s="1"/>
  <c r="AZ82" i="31"/>
  <c r="AZ80" i="31"/>
  <c r="AZ78" i="31"/>
  <c r="AZ84" i="31" s="1"/>
  <c r="AZ87" i="31" s="1"/>
  <c r="AZ54" i="31"/>
  <c r="AZ151" i="31" s="1"/>
  <c r="AZ45" i="31"/>
  <c r="AZ51" i="31"/>
  <c r="AZ41" i="31"/>
  <c r="AZ39" i="31"/>
  <c r="AZ35" i="31"/>
  <c r="AZ25" i="31"/>
  <c r="AZ26" i="31" s="1"/>
  <c r="AZ22" i="31"/>
  <c r="AZ20" i="31"/>
  <c r="AZ16" i="31"/>
  <c r="AZ13" i="31"/>
  <c r="AZ12" i="31"/>
  <c r="AZ11" i="31"/>
  <c r="AY72" i="33" l="1"/>
  <c r="AZ152" i="31"/>
  <c r="AZ47" i="32"/>
  <c r="AZ67" i="33"/>
  <c r="AZ68" i="33"/>
  <c r="AZ69" i="33" s="1"/>
  <c r="AZ72" i="33" s="1"/>
  <c r="AZ105" i="26"/>
  <c r="AZ110" i="26"/>
  <c r="AZ133" i="26"/>
  <c r="AZ135" i="26"/>
  <c r="AZ138" i="26"/>
  <c r="AZ140" i="26"/>
  <c r="AZ128" i="26"/>
  <c r="AZ134" i="26"/>
  <c r="AZ136" i="26"/>
  <c r="BA49" i="32"/>
  <c r="BA50" i="32"/>
  <c r="BB50" i="32" s="1"/>
  <c r="BC50" i="32" s="1"/>
  <c r="BD50" i="32" s="1"/>
  <c r="BE50" i="32" s="1"/>
  <c r="BF50" i="32" s="1"/>
  <c r="BG50" i="32" s="1"/>
  <c r="AZ108" i="31"/>
  <c r="AZ29" i="31"/>
  <c r="AZ30" i="31" s="1"/>
  <c r="AZ21" i="31"/>
  <c r="AZ23" i="31"/>
  <c r="AZ40" i="31"/>
  <c r="AZ61" i="31"/>
  <c r="AZ63" i="31" s="1"/>
  <c r="AZ64" i="31" s="1"/>
  <c r="AZ66" i="31"/>
  <c r="AZ71" i="31" s="1"/>
  <c r="AZ89" i="31" s="1"/>
  <c r="AZ42" i="31"/>
  <c r="AZ52" i="31"/>
  <c r="AZ86" i="31"/>
  <c r="AZ103" i="31"/>
  <c r="AZ27" i="31"/>
  <c r="AZ49" i="31"/>
  <c r="AZ50" i="31" s="1"/>
  <c r="AZ72" i="31" l="1"/>
  <c r="AZ142" i="26"/>
  <c r="AZ144" i="26" s="1"/>
  <c r="BA48" i="32"/>
  <c r="BB49" i="32"/>
  <c r="AZ68" i="31"/>
  <c r="AZ75" i="31" s="1"/>
  <c r="AZ93" i="31" s="1"/>
  <c r="AZ67" i="31"/>
  <c r="AZ69" i="31" s="1"/>
  <c r="AZ28" i="31"/>
  <c r="AZ90" i="31"/>
  <c r="AZ106" i="31"/>
  <c r="AZ97" i="31"/>
  <c r="AZ73" i="31" l="1"/>
  <c r="AZ112" i="26" s="1"/>
  <c r="AZ114" i="26" s="1"/>
  <c r="BC49" i="32"/>
  <c r="BB48" i="32"/>
  <c r="AZ76" i="31"/>
  <c r="AZ74" i="31"/>
  <c r="AZ94" i="31"/>
  <c r="AZ112" i="31"/>
  <c r="AZ104" i="31"/>
  <c r="AZ107" i="31"/>
  <c r="AZ122" i="31"/>
  <c r="AZ91" i="31" l="1"/>
  <c r="AZ102" i="31" s="1"/>
  <c r="BC48" i="32"/>
  <c r="BD49" i="32"/>
  <c r="AZ113" i="31"/>
  <c r="AZ132" i="31"/>
  <c r="AZ123" i="31"/>
  <c r="AZ125" i="31"/>
  <c r="AZ110" i="31" l="1"/>
  <c r="AZ111" i="31" s="1"/>
  <c r="AZ92" i="31"/>
  <c r="BE49" i="32"/>
  <c r="BD48" i="32"/>
  <c r="AZ127" i="31"/>
  <c r="AZ129" i="31"/>
  <c r="AZ130" i="31" l="1"/>
  <c r="BE48" i="32"/>
  <c r="BF49" i="32"/>
  <c r="BG49" i="32" l="1"/>
  <c r="BG48" i="32" s="1"/>
  <c r="BF48" i="32"/>
  <c r="BH26" i="31" l="1"/>
  <c r="BI26" i="31" s="1"/>
  <c r="BJ26" i="31" s="1"/>
  <c r="BK26" i="31" s="1"/>
  <c r="BA26" i="31"/>
  <c r="BB26" i="31" s="1"/>
  <c r="BC26" i="31" s="1"/>
  <c r="CA56" i="26" l="1"/>
  <c r="CA43" i="33"/>
  <c r="CA42" i="33"/>
  <c r="CA41" i="33"/>
  <c r="CA36" i="33"/>
  <c r="CA35" i="33"/>
  <c r="CA34" i="33"/>
  <c r="CA33" i="33"/>
  <c r="CA32" i="33"/>
  <c r="CA31" i="33"/>
  <c r="CA18" i="33"/>
  <c r="CA17" i="33"/>
  <c r="CA16" i="33"/>
  <c r="CA15" i="33"/>
  <c r="CA14" i="33"/>
  <c r="CA13" i="33"/>
  <c r="CA12" i="33"/>
  <c r="CA52" i="33"/>
  <c r="CA49" i="33"/>
  <c r="CA65" i="33"/>
  <c r="BK65" i="33"/>
  <c r="BJ65" i="33"/>
  <c r="BI65" i="33"/>
  <c r="BH65" i="33"/>
  <c r="BK4" i="33"/>
  <c r="BJ4" i="33"/>
  <c r="BI4" i="33"/>
  <c r="BH4" i="33"/>
  <c r="CA38" i="32"/>
  <c r="CA6" i="32"/>
  <c r="CA46" i="32" s="1"/>
  <c r="CA57" i="32" s="1"/>
  <c r="CA74" i="32" s="1"/>
  <c r="BK6" i="32"/>
  <c r="BK46" i="32" s="1"/>
  <c r="BK57" i="32" s="1"/>
  <c r="BK74" i="32" s="1"/>
  <c r="BJ6" i="32"/>
  <c r="BJ46" i="32" s="1"/>
  <c r="BJ57" i="32" s="1"/>
  <c r="BJ74" i="32" s="1"/>
  <c r="BI6" i="32"/>
  <c r="BI46" i="32" s="1"/>
  <c r="BI57" i="32" s="1"/>
  <c r="BI74" i="32" s="1"/>
  <c r="BH6" i="32"/>
  <c r="BH46" i="32" s="1"/>
  <c r="BH57" i="32" s="1"/>
  <c r="BH74" i="32" s="1"/>
  <c r="BK5" i="32"/>
  <c r="BK5" i="33" s="1"/>
  <c r="BJ5" i="32"/>
  <c r="BJ5" i="33" s="1"/>
  <c r="BI5" i="32"/>
  <c r="BI5" i="33" s="1"/>
  <c r="BH5" i="32"/>
  <c r="BH5" i="33" s="1"/>
  <c r="BK4" i="32"/>
  <c r="BJ4" i="32"/>
  <c r="BI4" i="32"/>
  <c r="BH4" i="32"/>
  <c r="CA126" i="31"/>
  <c r="CA119" i="31"/>
  <c r="CA100" i="31"/>
  <c r="CA98" i="31"/>
  <c r="CA62" i="31"/>
  <c r="CA59" i="31"/>
  <c r="CA58" i="31"/>
  <c r="CA57" i="31"/>
  <c r="CA56" i="31"/>
  <c r="CA55" i="31"/>
  <c r="CA48" i="31"/>
  <c r="CA47" i="31"/>
  <c r="CA44" i="31"/>
  <c r="CA38" i="31"/>
  <c r="CA37" i="31"/>
  <c r="CA34" i="31"/>
  <c r="CA19" i="31"/>
  <c r="CA165" i="31"/>
  <c r="CA157" i="33" s="1"/>
  <c r="BK165" i="31"/>
  <c r="BK157" i="33" s="1"/>
  <c r="BJ165" i="31"/>
  <c r="BJ157" i="33" s="1"/>
  <c r="BI165" i="31"/>
  <c r="BI157" i="33" s="1"/>
  <c r="BH165" i="31"/>
  <c r="BH157" i="33" s="1"/>
  <c r="BK118" i="31"/>
  <c r="BK120" i="31" s="1"/>
  <c r="BK109" i="31" s="1"/>
  <c r="BJ118" i="31"/>
  <c r="BJ120" i="31" s="1"/>
  <c r="BJ109" i="31" s="1"/>
  <c r="BI118" i="31"/>
  <c r="BI120" i="31" s="1"/>
  <c r="BI109" i="31" s="1"/>
  <c r="BH118" i="31"/>
  <c r="BH120" i="31" s="1"/>
  <c r="BH109" i="31" s="1"/>
  <c r="BI82" i="31"/>
  <c r="BI80" i="31"/>
  <c r="BJ80" i="31" s="1"/>
  <c r="BK54" i="31"/>
  <c r="BK151" i="31" s="1"/>
  <c r="BJ54" i="31"/>
  <c r="BJ151" i="31" s="1"/>
  <c r="BI54" i="31"/>
  <c r="BI151" i="31" s="1"/>
  <c r="BH54" i="31"/>
  <c r="BH151" i="31" s="1"/>
  <c r="BK51" i="31"/>
  <c r="BJ51" i="31"/>
  <c r="BI51" i="31"/>
  <c r="BH51" i="31"/>
  <c r="BK41" i="31"/>
  <c r="BJ41" i="31"/>
  <c r="BI41" i="31"/>
  <c r="BH41" i="31"/>
  <c r="BK132" i="26"/>
  <c r="BJ132" i="26"/>
  <c r="BI132" i="26"/>
  <c r="BH132" i="26"/>
  <c r="BK118" i="26"/>
  <c r="BJ118" i="26"/>
  <c r="BI118" i="26"/>
  <c r="BH118" i="26"/>
  <c r="BK85" i="26"/>
  <c r="BJ85" i="26"/>
  <c r="BI85" i="26"/>
  <c r="BH85" i="26"/>
  <c r="AY126" i="26"/>
  <c r="AY140" i="26" s="1"/>
  <c r="AY100" i="26"/>
  <c r="AY99" i="26"/>
  <c r="AY98" i="26"/>
  <c r="AY95" i="26"/>
  <c r="AY94" i="26"/>
  <c r="AY93" i="26"/>
  <c r="AY90" i="26"/>
  <c r="AY89" i="26"/>
  <c r="AY88" i="26"/>
  <c r="AY61" i="26"/>
  <c r="AY60" i="26"/>
  <c r="AY54" i="26"/>
  <c r="AY53" i="26"/>
  <c r="AY47" i="26"/>
  <c r="AY46" i="26"/>
  <c r="AY16" i="26"/>
  <c r="AZ17" i="26" s="1"/>
  <c r="AY24" i="26"/>
  <c r="AZ25" i="26" s="1"/>
  <c r="AY20" i="26"/>
  <c r="AZ21" i="26" s="1"/>
  <c r="AY12" i="26"/>
  <c r="AZ13" i="26" s="1"/>
  <c r="AY10" i="26"/>
  <c r="AY9" i="26"/>
  <c r="AY41" i="33"/>
  <c r="AY46" i="33"/>
  <c r="AY45" i="33"/>
  <c r="AY42" i="33"/>
  <c r="AY32" i="33"/>
  <c r="AY33" i="33"/>
  <c r="AY30" i="33"/>
  <c r="AY17" i="33"/>
  <c r="AY16" i="33"/>
  <c r="AY12" i="33"/>
  <c r="AY11" i="33"/>
  <c r="AY10" i="33"/>
  <c r="AX10" i="33"/>
  <c r="AX11" i="33"/>
  <c r="AX12" i="33"/>
  <c r="AY54" i="32"/>
  <c r="AY49" i="32" s="1"/>
  <c r="AY48" i="32" s="1"/>
  <c r="AY53" i="32"/>
  <c r="AY51" i="32" s="1"/>
  <c r="AY31" i="32"/>
  <c r="AY41" i="32" s="1"/>
  <c r="AY14" i="32"/>
  <c r="AY23" i="32" s="1"/>
  <c r="AY67" i="33" s="1"/>
  <c r="AY99" i="31"/>
  <c r="AY60" i="31"/>
  <c r="AY44" i="31"/>
  <c r="AY45" i="31" s="1"/>
  <c r="AY143" i="31"/>
  <c r="AY141" i="31"/>
  <c r="AY140" i="31"/>
  <c r="AY137" i="31"/>
  <c r="AY118" i="31"/>
  <c r="AY120" i="31" s="1"/>
  <c r="AY109" i="31" s="1"/>
  <c r="AY82" i="31"/>
  <c r="AY80" i="31"/>
  <c r="AY78" i="31"/>
  <c r="AY86" i="31" s="1"/>
  <c r="AY54" i="31"/>
  <c r="AY41" i="31"/>
  <c r="AY39" i="31"/>
  <c r="AY35" i="31"/>
  <c r="AY25" i="31"/>
  <c r="AY26" i="31" s="1"/>
  <c r="AY22" i="31"/>
  <c r="AY17" i="31"/>
  <c r="AY16" i="31"/>
  <c r="AY13" i="31"/>
  <c r="AY12" i="31"/>
  <c r="AY11" i="31"/>
  <c r="CA54" i="31" l="1"/>
  <c r="CA66" i="31" s="1"/>
  <c r="CA51" i="31"/>
  <c r="BJ6" i="33"/>
  <c r="BJ61" i="33" s="1"/>
  <c r="BJ76" i="33" s="1"/>
  <c r="BJ84" i="33" s="1"/>
  <c r="BI6" i="33"/>
  <c r="BI61" i="33" s="1"/>
  <c r="BI76" i="33" s="1"/>
  <c r="BI84" i="33" s="1"/>
  <c r="AY47" i="32"/>
  <c r="AY50" i="32"/>
  <c r="BK6" i="33"/>
  <c r="BK61" i="33" s="1"/>
  <c r="BK76" i="33" s="1"/>
  <c r="BK84" i="33" s="1"/>
  <c r="CA6" i="33"/>
  <c r="CA61" i="33" s="1"/>
  <c r="CA76" i="33" s="1"/>
  <c r="CA84" i="33" s="1"/>
  <c r="CA118" i="31"/>
  <c r="CA120" i="31" s="1"/>
  <c r="CA109" i="31" s="1"/>
  <c r="BH6" i="33"/>
  <c r="BH61" i="33" s="1"/>
  <c r="BH76" i="33" s="1"/>
  <c r="BH84" i="33" s="1"/>
  <c r="BJ100" i="32"/>
  <c r="BK100" i="32"/>
  <c r="BI100" i="32"/>
  <c r="CA100" i="32"/>
  <c r="BH100" i="32"/>
  <c r="CA41" i="31"/>
  <c r="CA151" i="31"/>
  <c r="BI66" i="31"/>
  <c r="BK80" i="31"/>
  <c r="BK66" i="31"/>
  <c r="BJ82" i="31"/>
  <c r="BH66" i="31"/>
  <c r="BJ66" i="31"/>
  <c r="AY134" i="26"/>
  <c r="AY136" i="26"/>
  <c r="AY139" i="26"/>
  <c r="AY133" i="26"/>
  <c r="AY135" i="26"/>
  <c r="AY138" i="26"/>
  <c r="AY43" i="32"/>
  <c r="AY108" i="31"/>
  <c r="AY61" i="31"/>
  <c r="AY63" i="31" s="1"/>
  <c r="AY64" i="31" s="1"/>
  <c r="AY84" i="31"/>
  <c r="AY87" i="31" s="1"/>
  <c r="AY42" i="31"/>
  <c r="AY152" i="31"/>
  <c r="AY66" i="31"/>
  <c r="AY71" i="31" s="1"/>
  <c r="AY72" i="31" s="1"/>
  <c r="AY40" i="31"/>
  <c r="AY20" i="31"/>
  <c r="AY29" i="31"/>
  <c r="AY49" i="31"/>
  <c r="AY50" i="31" s="1"/>
  <c r="AY51" i="31"/>
  <c r="AY151" i="31"/>
  <c r="AY23" i="31"/>
  <c r="AY21" i="31" l="1"/>
  <c r="BK82" i="31"/>
  <c r="AY142" i="26"/>
  <c r="AY144" i="26" s="1"/>
  <c r="AY27" i="31"/>
  <c r="AY89" i="31"/>
  <c r="AY106" i="31" s="1"/>
  <c r="AY68" i="31"/>
  <c r="AY75" i="31" s="1"/>
  <c r="AY52" i="31"/>
  <c r="AY30" i="31"/>
  <c r="AY67" i="31"/>
  <c r="AY28" i="31" l="1"/>
  <c r="AZ32" i="31"/>
  <c r="AY90" i="31"/>
  <c r="AY97" i="31"/>
  <c r="AY73" i="31"/>
  <c r="AY76" i="31"/>
  <c r="AY93" i="31"/>
  <c r="AY122" i="31"/>
  <c r="AY107" i="31"/>
  <c r="AY74" i="31" l="1"/>
  <c r="AY112" i="26"/>
  <c r="AY102" i="26" s="1"/>
  <c r="AZ103" i="26" s="1"/>
  <c r="AY91" i="31"/>
  <c r="AY98" i="31" s="1"/>
  <c r="AY125" i="31"/>
  <c r="AY123" i="31"/>
  <c r="AY94" i="31"/>
  <c r="AY92" i="31" l="1"/>
  <c r="AY105" i="26"/>
  <c r="AY107" i="26"/>
  <c r="AY101" i="31"/>
  <c r="AY115" i="31"/>
  <c r="AY116" i="31" s="1"/>
  <c r="AY129" i="31"/>
  <c r="AY127" i="31"/>
  <c r="AY114" i="26" l="1"/>
  <c r="AZ108" i="26"/>
  <c r="AY103" i="31"/>
  <c r="AY102" i="31"/>
  <c r="AY110" i="31"/>
  <c r="CQ41" i="26"/>
  <c r="CQ38" i="26"/>
  <c r="CQ35" i="26"/>
  <c r="CQ32" i="26"/>
  <c r="CQ30" i="26"/>
  <c r="BZ65" i="33"/>
  <c r="BZ52" i="33"/>
  <c r="BZ49" i="33"/>
  <c r="BZ43" i="33"/>
  <c r="BZ42" i="33"/>
  <c r="BZ41" i="33"/>
  <c r="BZ36" i="33"/>
  <c r="BZ35" i="33"/>
  <c r="BZ34" i="33"/>
  <c r="BZ33" i="33"/>
  <c r="BZ32" i="33"/>
  <c r="BZ31" i="33"/>
  <c r="BZ17" i="33"/>
  <c r="BZ16" i="33"/>
  <c r="BZ15" i="33"/>
  <c r="BZ14" i="33"/>
  <c r="BZ13" i="33"/>
  <c r="BZ12" i="33"/>
  <c r="BZ38" i="32"/>
  <c r="BG65" i="33"/>
  <c r="BF65" i="33"/>
  <c r="BE65" i="33"/>
  <c r="BD65" i="33"/>
  <c r="BZ126" i="31"/>
  <c r="BZ119" i="31"/>
  <c r="BZ100" i="31"/>
  <c r="BZ98" i="31"/>
  <c r="BZ62" i="31"/>
  <c r="BZ59" i="31"/>
  <c r="BZ58" i="31"/>
  <c r="BZ57" i="31"/>
  <c r="BZ56" i="31"/>
  <c r="BZ55" i="31"/>
  <c r="BZ48" i="31"/>
  <c r="BZ47" i="31"/>
  <c r="BZ44" i="31"/>
  <c r="BZ38" i="31"/>
  <c r="BZ37" i="31"/>
  <c r="BZ34" i="31"/>
  <c r="BZ19" i="31"/>
  <c r="BG118" i="31"/>
  <c r="BG120" i="31" s="1"/>
  <c r="BG109" i="31" s="1"/>
  <c r="BF118" i="31"/>
  <c r="BF120" i="31" s="1"/>
  <c r="BF109" i="31" s="1"/>
  <c r="BE118" i="31"/>
  <c r="BE120" i="31" s="1"/>
  <c r="BE109" i="31" s="1"/>
  <c r="BD118" i="31"/>
  <c r="BD120" i="31" s="1"/>
  <c r="BD109" i="31" s="1"/>
  <c r="BE82" i="31"/>
  <c r="BF82" i="31" s="1"/>
  <c r="BE80" i="31"/>
  <c r="BF80" i="31" s="1"/>
  <c r="BG80" i="31" s="1"/>
  <c r="BG54" i="31"/>
  <c r="BG151" i="31" s="1"/>
  <c r="BF54" i="31"/>
  <c r="BF151" i="31" s="1"/>
  <c r="BE54" i="31"/>
  <c r="BE151" i="31" s="1"/>
  <c r="BD54" i="31"/>
  <c r="BD66" i="31" s="1"/>
  <c r="BG51" i="31"/>
  <c r="BF51" i="31"/>
  <c r="BE51" i="31"/>
  <c r="BD51" i="31"/>
  <c r="BG41" i="31"/>
  <c r="BF41" i="31"/>
  <c r="BE41" i="31"/>
  <c r="BD41" i="31"/>
  <c r="BM7" i="31"/>
  <c r="BN7" i="31"/>
  <c r="BO7" i="31"/>
  <c r="BP7" i="31"/>
  <c r="BQ7" i="31"/>
  <c r="BR7" i="31"/>
  <c r="BS7" i="31"/>
  <c r="BT7" i="31"/>
  <c r="BU7" i="31"/>
  <c r="BV7" i="31"/>
  <c r="BW7" i="31"/>
  <c r="BM10" i="31"/>
  <c r="BN10" i="31"/>
  <c r="BO10" i="31"/>
  <c r="BP10" i="31"/>
  <c r="BQ10" i="31"/>
  <c r="BR10" i="31"/>
  <c r="BS10" i="31"/>
  <c r="BT10" i="31"/>
  <c r="BU10" i="31"/>
  <c r="BV10" i="31"/>
  <c r="BW10" i="31"/>
  <c r="BG4" i="33"/>
  <c r="BF4" i="33"/>
  <c r="BE4" i="33"/>
  <c r="BD4" i="33"/>
  <c r="BG6" i="32"/>
  <c r="BG6" i="33" s="1"/>
  <c r="BG61" i="33" s="1"/>
  <c r="BG76" i="33" s="1"/>
  <c r="BG84" i="33" s="1"/>
  <c r="BF6" i="32"/>
  <c r="BF6" i="33" s="1"/>
  <c r="BF61" i="33" s="1"/>
  <c r="BF76" i="33" s="1"/>
  <c r="BF84" i="33" s="1"/>
  <c r="BE6" i="32"/>
  <c r="BE6" i="33" s="1"/>
  <c r="BE61" i="33" s="1"/>
  <c r="BE76" i="33" s="1"/>
  <c r="BE84" i="33" s="1"/>
  <c r="BD6" i="32"/>
  <c r="BD6" i="33" s="1"/>
  <c r="BD61" i="33" s="1"/>
  <c r="BD76" i="33" s="1"/>
  <c r="BD84" i="33" s="1"/>
  <c r="BG5" i="32"/>
  <c r="BG5" i="33" s="1"/>
  <c r="BF5" i="32"/>
  <c r="BF5" i="33" s="1"/>
  <c r="BE5" i="32"/>
  <c r="BE5" i="33" s="1"/>
  <c r="BD5" i="32"/>
  <c r="BD5" i="33" s="1"/>
  <c r="BG4" i="32"/>
  <c r="BF4" i="32"/>
  <c r="BE4" i="32"/>
  <c r="BD4" i="32"/>
  <c r="BG165" i="31"/>
  <c r="BG157" i="33" s="1"/>
  <c r="BF165" i="31"/>
  <c r="BF100" i="32" s="1"/>
  <c r="BE165" i="31"/>
  <c r="BE157" i="33" s="1"/>
  <c r="BD165" i="31"/>
  <c r="BD100" i="32" s="1"/>
  <c r="BZ56" i="26"/>
  <c r="BG118" i="26"/>
  <c r="BF118" i="26"/>
  <c r="BE118" i="26"/>
  <c r="BD118" i="26"/>
  <c r="BG132" i="26"/>
  <c r="BF132" i="26"/>
  <c r="BE132" i="26"/>
  <c r="BD132" i="26"/>
  <c r="BG85" i="26"/>
  <c r="BF85" i="26"/>
  <c r="BE85" i="26"/>
  <c r="BD85" i="26"/>
  <c r="AY130" i="31" l="1"/>
  <c r="AY111" i="31"/>
  <c r="AY104" i="31"/>
  <c r="AY112" i="31"/>
  <c r="BZ118" i="31"/>
  <c r="BZ120" i="31" s="1"/>
  <c r="BZ109" i="31" s="1"/>
  <c r="BD46" i="32"/>
  <c r="BD57" i="32" s="1"/>
  <c r="BD74" i="32" s="1"/>
  <c r="BF46" i="32"/>
  <c r="BF57" i="32" s="1"/>
  <c r="BF74" i="32" s="1"/>
  <c r="BE46" i="32"/>
  <c r="BE57" i="32" s="1"/>
  <c r="BE74" i="32" s="1"/>
  <c r="BG46" i="32"/>
  <c r="BG57" i="32" s="1"/>
  <c r="BG74" i="32" s="1"/>
  <c r="BD157" i="33"/>
  <c r="BF157" i="33"/>
  <c r="BZ54" i="31"/>
  <c r="BZ151" i="31" s="1"/>
  <c r="BZ51" i="31"/>
  <c r="BZ41" i="31"/>
  <c r="BG82" i="31"/>
  <c r="BE66" i="31"/>
  <c r="BG66" i="31"/>
  <c r="BD151" i="31"/>
  <c r="BF66" i="31"/>
  <c r="BE100" i="32"/>
  <c r="BG100" i="32"/>
  <c r="AY132" i="31" l="1"/>
  <c r="AY113" i="31"/>
  <c r="BZ66" i="31"/>
  <c r="AX46" i="33" l="1"/>
  <c r="AX45" i="33"/>
  <c r="AX44" i="33"/>
  <c r="AX42" i="33"/>
  <c r="AX41" i="33"/>
  <c r="AX36" i="33"/>
  <c r="AX33" i="33"/>
  <c r="AX32" i="33"/>
  <c r="AX30" i="33"/>
  <c r="AX17" i="33"/>
  <c r="AX16" i="33"/>
  <c r="AX20" i="33"/>
  <c r="AX19" i="33"/>
  <c r="BA80" i="31" l="1"/>
  <c r="BB80" i="31" s="1"/>
  <c r="BC80" i="31" s="1"/>
  <c r="AX100" i="26" l="1"/>
  <c r="AX99" i="26"/>
  <c r="AX98" i="26"/>
  <c r="AX95" i="26"/>
  <c r="AX94" i="26"/>
  <c r="AX93" i="26"/>
  <c r="AX90" i="26"/>
  <c r="AX89" i="26"/>
  <c r="AX88" i="26"/>
  <c r="AX60" i="26"/>
  <c r="AW61" i="26"/>
  <c r="AW60" i="26"/>
  <c r="AX54" i="26"/>
  <c r="AX53" i="26"/>
  <c r="AX47" i="26"/>
  <c r="AX46" i="26"/>
  <c r="AX24" i="26"/>
  <c r="AY25" i="26" s="1"/>
  <c r="AX20" i="26"/>
  <c r="AY21" i="26" s="1"/>
  <c r="AX16" i="26"/>
  <c r="AY17" i="26" s="1"/>
  <c r="AX12" i="26"/>
  <c r="AY13" i="26" s="1"/>
  <c r="AX10" i="26"/>
  <c r="AX9" i="26"/>
  <c r="AX126" i="26"/>
  <c r="AX140" i="26" s="1"/>
  <c r="AX80" i="33"/>
  <c r="AX71" i="33"/>
  <c r="AX62" i="33"/>
  <c r="AW71" i="33"/>
  <c r="AW62" i="33"/>
  <c r="AW64" i="33" s="1"/>
  <c r="AX54" i="32"/>
  <c r="AX49" i="32" s="1"/>
  <c r="AX48" i="32" s="1"/>
  <c r="AX53" i="32"/>
  <c r="AX51" i="32" s="1"/>
  <c r="AX31" i="32"/>
  <c r="AX41" i="32" s="1"/>
  <c r="AX14" i="32"/>
  <c r="AX23" i="32" s="1"/>
  <c r="AX99" i="31"/>
  <c r="AX60" i="31"/>
  <c r="AX85" i="31" s="1"/>
  <c r="AX143" i="31"/>
  <c r="AX44" i="31"/>
  <c r="AX51" i="31" s="1"/>
  <c r="AX118" i="31"/>
  <c r="AX120" i="31" s="1"/>
  <c r="AX109" i="31" s="1"/>
  <c r="AX115" i="31"/>
  <c r="AX116" i="31" s="1"/>
  <c r="AX101" i="31"/>
  <c r="AX82" i="31"/>
  <c r="AX80" i="31"/>
  <c r="AX78" i="31"/>
  <c r="AX54" i="31"/>
  <c r="AX45" i="31"/>
  <c r="AX41" i="31"/>
  <c r="AX39" i="31"/>
  <c r="AX35" i="31"/>
  <c r="AX25" i="31"/>
  <c r="AX22" i="31"/>
  <c r="AX16" i="31"/>
  <c r="AX13" i="31"/>
  <c r="AX12" i="31"/>
  <c r="AX11" i="31"/>
  <c r="AX66" i="31" l="1"/>
  <c r="AX50" i="32"/>
  <c r="AX134" i="26"/>
  <c r="AX136" i="26"/>
  <c r="AX139" i="26"/>
  <c r="AX133" i="26"/>
  <c r="AX135" i="26"/>
  <c r="AX138" i="26"/>
  <c r="AX29" i="31"/>
  <c r="AX30" i="31" s="1"/>
  <c r="AX64" i="33"/>
  <c r="AX47" i="32"/>
  <c r="AX43" i="32"/>
  <c r="AX71" i="31"/>
  <c r="AX89" i="31" s="1"/>
  <c r="AX23" i="31"/>
  <c r="AX26" i="31"/>
  <c r="AX52" i="31"/>
  <c r="AX40" i="31"/>
  <c r="AX42" i="31"/>
  <c r="AX103" i="31"/>
  <c r="AX108" i="31"/>
  <c r="AX20" i="31"/>
  <c r="AX49" i="31"/>
  <c r="AX50" i="31" s="1"/>
  <c r="AX142" i="26" l="1"/>
  <c r="AX144" i="26" s="1"/>
  <c r="AX21" i="31"/>
  <c r="AX27" i="31"/>
  <c r="AX72" i="31"/>
  <c r="AX86" i="31"/>
  <c r="AX84" i="31"/>
  <c r="AX87" i="31" s="1"/>
  <c r="AX61" i="31"/>
  <c r="AX63" i="31" s="1"/>
  <c r="AX90" i="31"/>
  <c r="AX106" i="31"/>
  <c r="AX97" i="31"/>
  <c r="AX28" i="31" l="1"/>
  <c r="AY32" i="31"/>
  <c r="AX67" i="31"/>
  <c r="AX107" i="31"/>
  <c r="AX122" i="31"/>
  <c r="AX64" i="31"/>
  <c r="AX68" i="31"/>
  <c r="AX75" i="31" s="1"/>
  <c r="AX73" i="31" l="1"/>
  <c r="AX69" i="31"/>
  <c r="AX93" i="31"/>
  <c r="AX76" i="31"/>
  <c r="AX123" i="31"/>
  <c r="AX125" i="31"/>
  <c r="AX112" i="26" l="1"/>
  <c r="AX102" i="26" s="1"/>
  <c r="AY103" i="26" s="1"/>
  <c r="AX74" i="31"/>
  <c r="AX91" i="31"/>
  <c r="AX92" i="31" s="1"/>
  <c r="AX127" i="31"/>
  <c r="AX129" i="31"/>
  <c r="AX94" i="31"/>
  <c r="AX112" i="31"/>
  <c r="AX104" i="31"/>
  <c r="AX102" i="31" l="1"/>
  <c r="AX107" i="26"/>
  <c r="AX105" i="26"/>
  <c r="AX110" i="31"/>
  <c r="AX111" i="31" s="1"/>
  <c r="AX113" i="31"/>
  <c r="AX114" i="26" l="1"/>
  <c r="AY108" i="26"/>
  <c r="AW43" i="33"/>
  <c r="AW42" i="33"/>
  <c r="AW30" i="33"/>
  <c r="AW33" i="33"/>
  <c r="AW32" i="33"/>
  <c r="AW36" i="33"/>
  <c r="AW24" i="33"/>
  <c r="AX24" i="33" s="1"/>
  <c r="AW23" i="33"/>
  <c r="AX23" i="33" s="1"/>
  <c r="AW22" i="33"/>
  <c r="AX22" i="33" s="1"/>
  <c r="AW20" i="33"/>
  <c r="AW19" i="33"/>
  <c r="AW17" i="33"/>
  <c r="AW16" i="33"/>
  <c r="AW12" i="33"/>
  <c r="AW11" i="33"/>
  <c r="AW10" i="33"/>
  <c r="AW132" i="26" l="1"/>
  <c r="AV132" i="26"/>
  <c r="AW126" i="26"/>
  <c r="AW139" i="26" s="1"/>
  <c r="AW118" i="26"/>
  <c r="AW85" i="26"/>
  <c r="AW100" i="26"/>
  <c r="AW99" i="26"/>
  <c r="AW98" i="26"/>
  <c r="AW95" i="26"/>
  <c r="AW94" i="26"/>
  <c r="AW93" i="26"/>
  <c r="AW90" i="26"/>
  <c r="AW89" i="26"/>
  <c r="AW88" i="26"/>
  <c r="AW54" i="26"/>
  <c r="AW53" i="26"/>
  <c r="AW47" i="26"/>
  <c r="AW46" i="26"/>
  <c r="AW9" i="26"/>
  <c r="AW10" i="26"/>
  <c r="AW12" i="26"/>
  <c r="AW16" i="26"/>
  <c r="AW20" i="26"/>
  <c r="AW24" i="26"/>
  <c r="AX25" i="26" l="1"/>
  <c r="CV24" i="26"/>
  <c r="CW24" i="26" s="1"/>
  <c r="AX17" i="26"/>
  <c r="CV16" i="26"/>
  <c r="CW16" i="26" s="1"/>
  <c r="AX21" i="26"/>
  <c r="CV20" i="26"/>
  <c r="CW20" i="26" s="1"/>
  <c r="AX13" i="26"/>
  <c r="CV12" i="26"/>
  <c r="CW12" i="26" s="1"/>
  <c r="AW134" i="26"/>
  <c r="AW136" i="26"/>
  <c r="AW133" i="26"/>
  <c r="AW135" i="26"/>
  <c r="AW138" i="26"/>
  <c r="AW140" i="26"/>
  <c r="AW80" i="33"/>
  <c r="AW47" i="33"/>
  <c r="AW21" i="33"/>
  <c r="AW56" i="33"/>
  <c r="AW38" i="33"/>
  <c r="AW79" i="32"/>
  <c r="AW77" i="32"/>
  <c r="AW54" i="32"/>
  <c r="AW50" i="32" s="1"/>
  <c r="AW53" i="32"/>
  <c r="AW51" i="32" s="1"/>
  <c r="AW31" i="32"/>
  <c r="AW41" i="32" s="1"/>
  <c r="AW14" i="32"/>
  <c r="AW23" i="32" s="1"/>
  <c r="AW99" i="31"/>
  <c r="AW60" i="31"/>
  <c r="AW44" i="31"/>
  <c r="AW51" i="31" s="1"/>
  <c r="AW118" i="31"/>
  <c r="AW120" i="31" s="1"/>
  <c r="AW109" i="31" s="1"/>
  <c r="AW115" i="31"/>
  <c r="AW116" i="31" s="1"/>
  <c r="AW101" i="31"/>
  <c r="AW103" i="31" s="1"/>
  <c r="AW82" i="31"/>
  <c r="AW80" i="31"/>
  <c r="AW78" i="31"/>
  <c r="AW84" i="31" s="1"/>
  <c r="AW87" i="31" s="1"/>
  <c r="AW54" i="31"/>
  <c r="AW66" i="31" s="1"/>
  <c r="AW49" i="31"/>
  <c r="AW41" i="31"/>
  <c r="AW39" i="31"/>
  <c r="AW35" i="31"/>
  <c r="AW25" i="31"/>
  <c r="AW26" i="31" s="1"/>
  <c r="AW22" i="31"/>
  <c r="AW20" i="31"/>
  <c r="AW16" i="31"/>
  <c r="AW13" i="31"/>
  <c r="AW12" i="31"/>
  <c r="AW11" i="31"/>
  <c r="AW49" i="32" l="1"/>
  <c r="AW48" i="32" s="1"/>
  <c r="AW142" i="26"/>
  <c r="AW144" i="26" s="1"/>
  <c r="AW47" i="32"/>
  <c r="AW108" i="31"/>
  <c r="AW82" i="32"/>
  <c r="AW43" i="32"/>
  <c r="AW52" i="31"/>
  <c r="AW45" i="31"/>
  <c r="AW23" i="31"/>
  <c r="AW21" i="31"/>
  <c r="AW40" i="31"/>
  <c r="AW61" i="31"/>
  <c r="AW63" i="31" s="1"/>
  <c r="AW64" i="31" s="1"/>
  <c r="AW27" i="31"/>
  <c r="AX32" i="31" s="1"/>
  <c r="AW29" i="31"/>
  <c r="AW50" i="31"/>
  <c r="AW67" i="31"/>
  <c r="AW69" i="31" s="1"/>
  <c r="AW71" i="31"/>
  <c r="AW86" i="31"/>
  <c r="AW42" i="31"/>
  <c r="AV24" i="26"/>
  <c r="AZ26" i="26" s="1"/>
  <c r="AU24" i="26"/>
  <c r="AT24" i="26"/>
  <c r="AS24" i="26"/>
  <c r="AW26" i="26" s="1"/>
  <c r="AR24" i="26"/>
  <c r="AV20" i="26"/>
  <c r="AU20" i="26"/>
  <c r="AT20" i="26"/>
  <c r="AS20" i="26"/>
  <c r="AW22" i="26" s="1"/>
  <c r="AR20" i="26"/>
  <c r="AV16" i="26"/>
  <c r="AU16" i="26"/>
  <c r="AT16" i="26"/>
  <c r="AS16" i="26"/>
  <c r="AW18" i="26" s="1"/>
  <c r="AR16" i="26"/>
  <c r="AV12" i="26"/>
  <c r="AU12" i="26"/>
  <c r="AT12" i="26"/>
  <c r="AS12" i="26"/>
  <c r="AW14" i="26" s="1"/>
  <c r="AR12" i="26"/>
  <c r="CN12" i="26" s="1"/>
  <c r="CN24" i="26"/>
  <c r="CM24" i="26"/>
  <c r="CL24" i="26"/>
  <c r="CK24" i="26"/>
  <c r="CJ24" i="26"/>
  <c r="CI24" i="26"/>
  <c r="CM20" i="26"/>
  <c r="CL20" i="26"/>
  <c r="CK20" i="26"/>
  <c r="CJ20" i="26"/>
  <c r="CI20" i="26"/>
  <c r="CM16" i="26"/>
  <c r="CL16" i="26"/>
  <c r="CK16" i="26"/>
  <c r="CJ16" i="26"/>
  <c r="CI16" i="26"/>
  <c r="CM12" i="26"/>
  <c r="CL12" i="26"/>
  <c r="CK12" i="26"/>
  <c r="CJ12" i="26"/>
  <c r="CI12" i="26"/>
  <c r="AW17" i="26" l="1"/>
  <c r="AZ18" i="26"/>
  <c r="AW13" i="26"/>
  <c r="AZ14" i="26"/>
  <c r="AW21" i="26"/>
  <c r="AZ22" i="26"/>
  <c r="AS21" i="26"/>
  <c r="AW68" i="31"/>
  <c r="AW75" i="31" s="1"/>
  <c r="AV26" i="26"/>
  <c r="AW25" i="26"/>
  <c r="AT21" i="26"/>
  <c r="AW72" i="31"/>
  <c r="AW89" i="31"/>
  <c r="AW28" i="31"/>
  <c r="AW73" i="31"/>
  <c r="AW112" i="26" s="1"/>
  <c r="AW102" i="26" s="1"/>
  <c r="AX103" i="26" s="1"/>
  <c r="AW30" i="31"/>
  <c r="AS17" i="26"/>
  <c r="CN20" i="26"/>
  <c r="CN22" i="26" s="1"/>
  <c r="AV22" i="26"/>
  <c r="AS25" i="26"/>
  <c r="AS13" i="26"/>
  <c r="CN16" i="26"/>
  <c r="CN18" i="26" s="1"/>
  <c r="CN14" i="26"/>
  <c r="CO16" i="26"/>
  <c r="AT25" i="26"/>
  <c r="AV13" i="26"/>
  <c r="AV14" i="26"/>
  <c r="BW24" i="26"/>
  <c r="AU17" i="26"/>
  <c r="CN26" i="26"/>
  <c r="AV17" i="26"/>
  <c r="CO20" i="26"/>
  <c r="AU21" i="26"/>
  <c r="AV21" i="26"/>
  <c r="CO24" i="26"/>
  <c r="CO26" i="26" s="1"/>
  <c r="AU25" i="26"/>
  <c r="BW16" i="26"/>
  <c r="AT17" i="26"/>
  <c r="AV18" i="26"/>
  <c r="AV25" i="26"/>
  <c r="CO12" i="26"/>
  <c r="CO14" i="26" s="1"/>
  <c r="AU13" i="26"/>
  <c r="BW12" i="26"/>
  <c r="AT13" i="26"/>
  <c r="BW20" i="26"/>
  <c r="CO22" i="26" l="1"/>
  <c r="AW105" i="26"/>
  <c r="AW107" i="26"/>
  <c r="AX14" i="26"/>
  <c r="AW74" i="31"/>
  <c r="AW91" i="31"/>
  <c r="AW106" i="31"/>
  <c r="AW90" i="31"/>
  <c r="AW97" i="31"/>
  <c r="AW76" i="31"/>
  <c r="AW93" i="31"/>
  <c r="CO18" i="26"/>
  <c r="BX12" i="26"/>
  <c r="AX26" i="26"/>
  <c r="AW114" i="26" l="1"/>
  <c r="AX108" i="26"/>
  <c r="BX14" i="26"/>
  <c r="AY26" i="26"/>
  <c r="AW110" i="31"/>
  <c r="AW92" i="31"/>
  <c r="AW102" i="31"/>
  <c r="AW112" i="31"/>
  <c r="AW94" i="31"/>
  <c r="AW104" i="31"/>
  <c r="AW122" i="31"/>
  <c r="AW107" i="31"/>
  <c r="AY14" i="26"/>
  <c r="AX22" i="26"/>
  <c r="AX18" i="26"/>
  <c r="BA24" i="26" l="1"/>
  <c r="BX24" i="26"/>
  <c r="BA12" i="26"/>
  <c r="CP12" i="26"/>
  <c r="CP14" i="26" s="1"/>
  <c r="AW113" i="31"/>
  <c r="AW125" i="31"/>
  <c r="AW8" i="33" s="1"/>
  <c r="AW123" i="31"/>
  <c r="AW111" i="31"/>
  <c r="AY22" i="26"/>
  <c r="BX20" i="26"/>
  <c r="AY18" i="26"/>
  <c r="BX16" i="26"/>
  <c r="CP16" i="26" l="1"/>
  <c r="CP18" i="26" s="1"/>
  <c r="BB12" i="26"/>
  <c r="BB14" i="26" s="1"/>
  <c r="BX26" i="26"/>
  <c r="CP24" i="26"/>
  <c r="CP26" i="26" s="1"/>
  <c r="BX22" i="26"/>
  <c r="BX18" i="26"/>
  <c r="BA14" i="26"/>
  <c r="AW129" i="31"/>
  <c r="AW127" i="31"/>
  <c r="BA20" i="26"/>
  <c r="CP20" i="26"/>
  <c r="CP22" i="26" s="1"/>
  <c r="BA16" i="26"/>
  <c r="BB24" i="26"/>
  <c r="BA26" i="26"/>
  <c r="AV70" i="32"/>
  <c r="AV62" i="32"/>
  <c r="AV68" i="32" s="1"/>
  <c r="BC12" i="26" l="1"/>
  <c r="BD12" i="26" s="1"/>
  <c r="BE12" i="26" s="1"/>
  <c r="BA8" i="26"/>
  <c r="BB20" i="26"/>
  <c r="BA22" i="26"/>
  <c r="BB26" i="26"/>
  <c r="BC24" i="26"/>
  <c r="BD24" i="26" s="1"/>
  <c r="BA18" i="26"/>
  <c r="BB16" i="26"/>
  <c r="AV71" i="32"/>
  <c r="CQ24" i="26" l="1"/>
  <c r="CQ26" i="26" s="1"/>
  <c r="BY12" i="26"/>
  <c r="BD14" i="26"/>
  <c r="BC14" i="26"/>
  <c r="CQ12" i="26"/>
  <c r="CQ14" i="26" s="1"/>
  <c r="BE24" i="26"/>
  <c r="BD26" i="26"/>
  <c r="BF12" i="26"/>
  <c r="BE14" i="26"/>
  <c r="BB8" i="26"/>
  <c r="BC20" i="26"/>
  <c r="BD20" i="26" s="1"/>
  <c r="BB22" i="26"/>
  <c r="BB18" i="26"/>
  <c r="BC16" i="26"/>
  <c r="BD16" i="26" s="1"/>
  <c r="BC26" i="26"/>
  <c r="BY24" i="26"/>
  <c r="BY14" i="26" l="1"/>
  <c r="CQ16" i="26"/>
  <c r="CQ20" i="26"/>
  <c r="BD18" i="26"/>
  <c r="BE16" i="26"/>
  <c r="BD8" i="26"/>
  <c r="BE20" i="26"/>
  <c r="BD22" i="26"/>
  <c r="BG12" i="26"/>
  <c r="BF14" i="26"/>
  <c r="BF24" i="26"/>
  <c r="BE26" i="26"/>
  <c r="BY26" i="26"/>
  <c r="BC8" i="26"/>
  <c r="BC22" i="26"/>
  <c r="BY20" i="26"/>
  <c r="BC18" i="26"/>
  <c r="BY16" i="26"/>
  <c r="BX17" i="33"/>
  <c r="BX16" i="33"/>
  <c r="BX15" i="33"/>
  <c r="BX14" i="33"/>
  <c r="BX13" i="33"/>
  <c r="BX12" i="33"/>
  <c r="CQ18" i="26" l="1"/>
  <c r="CT16" i="26"/>
  <c r="CQ22" i="26"/>
  <c r="CT20" i="26"/>
  <c r="BZ12" i="26"/>
  <c r="BZ14" i="26" s="1"/>
  <c r="BH12" i="26"/>
  <c r="CQ8" i="26"/>
  <c r="BG14" i="26"/>
  <c r="BF20" i="26"/>
  <c r="BE22" i="26"/>
  <c r="BF16" i="26"/>
  <c r="BE18" i="26"/>
  <c r="BE8" i="26"/>
  <c r="BG24" i="26"/>
  <c r="BF26" i="26"/>
  <c r="BD9" i="26"/>
  <c r="BD10" i="26"/>
  <c r="BY22" i="26"/>
  <c r="BY18" i="26"/>
  <c r="BH14" i="26" l="1"/>
  <c r="BI12" i="26"/>
  <c r="BG26" i="26"/>
  <c r="BH24" i="26"/>
  <c r="BZ24" i="26"/>
  <c r="BZ26" i="26" s="1"/>
  <c r="BE10" i="26"/>
  <c r="BE9" i="26"/>
  <c r="BF18" i="26"/>
  <c r="BG16" i="26"/>
  <c r="BF8" i="26"/>
  <c r="BG20" i="26"/>
  <c r="BF22" i="26"/>
  <c r="CO45" i="26"/>
  <c r="BJ12" i="26" l="1"/>
  <c r="BI14" i="26"/>
  <c r="BH26" i="26"/>
  <c r="BI24" i="26"/>
  <c r="BZ16" i="26"/>
  <c r="BZ18" i="26" s="1"/>
  <c r="BH16" i="26"/>
  <c r="BG22" i="26"/>
  <c r="BH20" i="26"/>
  <c r="BZ20" i="26"/>
  <c r="BZ22" i="26" s="1"/>
  <c r="BF9" i="26"/>
  <c r="BF10" i="26"/>
  <c r="BG18" i="26"/>
  <c r="BG8" i="26"/>
  <c r="BZ8" i="26" s="1"/>
  <c r="AV41" i="26"/>
  <c r="AV43" i="26" s="1"/>
  <c r="AV38" i="26"/>
  <c r="AV40" i="26" s="1"/>
  <c r="AV35" i="26"/>
  <c r="AV32" i="26"/>
  <c r="AV126" i="26"/>
  <c r="AV118" i="26"/>
  <c r="AV100" i="26"/>
  <c r="AV99" i="26"/>
  <c r="AV98" i="26"/>
  <c r="AV95" i="26"/>
  <c r="AV94" i="26"/>
  <c r="AV93" i="26"/>
  <c r="AV90" i="26"/>
  <c r="AV89" i="26"/>
  <c r="AV88" i="26"/>
  <c r="AV77" i="26"/>
  <c r="AV73" i="26"/>
  <c r="AZ75" i="26" s="1"/>
  <c r="AV71" i="26"/>
  <c r="AV156" i="31" s="1"/>
  <c r="AV64" i="26"/>
  <c r="AV61" i="26"/>
  <c r="AV60" i="26"/>
  <c r="AV57" i="26"/>
  <c r="AV54" i="26"/>
  <c r="AV53" i="26"/>
  <c r="AV50" i="26"/>
  <c r="AV47" i="26"/>
  <c r="AV46" i="26"/>
  <c r="AV34" i="26"/>
  <c r="AV31" i="26"/>
  <c r="AV29" i="26"/>
  <c r="AV10" i="26"/>
  <c r="AV9" i="26"/>
  <c r="AW25" i="33"/>
  <c r="AX25" i="33" s="1"/>
  <c r="AV21" i="33"/>
  <c r="AV80" i="33"/>
  <c r="AV71" i="33"/>
  <c r="AV62" i="33"/>
  <c r="AV66" i="33" s="1"/>
  <c r="AW66" i="33" s="1"/>
  <c r="AV56" i="33"/>
  <c r="AV47" i="33"/>
  <c r="AV38" i="33"/>
  <c r="AV91" i="32"/>
  <c r="AV90" i="32"/>
  <c r="AV87" i="32"/>
  <c r="AV86" i="32"/>
  <c r="AV79" i="32"/>
  <c r="AV77" i="32"/>
  <c r="AV54" i="32"/>
  <c r="AV50" i="32" s="1"/>
  <c r="AV53" i="32"/>
  <c r="AV51" i="32" s="1"/>
  <c r="AV31" i="32"/>
  <c r="AV41" i="32" s="1"/>
  <c r="AV14" i="32"/>
  <c r="AV23" i="32" s="1"/>
  <c r="AV99" i="31"/>
  <c r="AV60" i="31"/>
  <c r="AV44" i="31"/>
  <c r="AV49" i="31" s="1"/>
  <c r="AV143" i="31"/>
  <c r="AV141" i="31"/>
  <c r="AV140" i="31"/>
  <c r="AV75" i="32" s="1"/>
  <c r="AV76" i="32" s="1"/>
  <c r="AV137" i="31"/>
  <c r="AV118" i="31"/>
  <c r="AV120" i="31" s="1"/>
  <c r="AV109" i="31" s="1"/>
  <c r="AV115" i="31"/>
  <c r="AV116" i="31" s="1"/>
  <c r="AV108" i="31"/>
  <c r="AV101" i="31"/>
  <c r="AV103" i="31" s="1"/>
  <c r="AV82" i="31"/>
  <c r="AV80" i="31"/>
  <c r="AV78" i="31"/>
  <c r="AV84" i="31" s="1"/>
  <c r="AV87" i="31" s="1"/>
  <c r="AV54" i="31"/>
  <c r="AV51" i="31"/>
  <c r="AV45" i="31"/>
  <c r="AV41" i="31"/>
  <c r="AV39" i="31"/>
  <c r="AV35" i="31"/>
  <c r="AV25" i="31"/>
  <c r="AV26" i="31" s="1"/>
  <c r="AV22" i="31"/>
  <c r="AV20" i="31"/>
  <c r="AV16" i="31"/>
  <c r="AV13" i="31"/>
  <c r="AV12" i="31"/>
  <c r="AV11" i="31"/>
  <c r="AV49" i="32" l="1"/>
  <c r="AV48" i="32" s="1"/>
  <c r="BK12" i="26"/>
  <c r="BJ14" i="26"/>
  <c r="BI26" i="26"/>
  <c r="BJ24" i="26"/>
  <c r="BH18" i="26"/>
  <c r="BI16" i="26"/>
  <c r="BH22" i="26"/>
  <c r="BH8" i="26"/>
  <c r="BI20" i="26"/>
  <c r="BG10" i="26"/>
  <c r="BG9" i="26"/>
  <c r="AV64" i="33"/>
  <c r="AX66" i="33"/>
  <c r="AW68" i="33"/>
  <c r="AW69" i="33" s="1"/>
  <c r="AW67" i="33"/>
  <c r="AV140" i="26"/>
  <c r="AV133" i="26"/>
  <c r="AV139" i="26"/>
  <c r="AV136" i="26"/>
  <c r="AV134" i="26"/>
  <c r="AV138" i="26"/>
  <c r="AV135" i="26"/>
  <c r="AV88" i="32"/>
  <c r="AW26" i="33"/>
  <c r="AV47" i="32"/>
  <c r="AV37" i="26"/>
  <c r="AV79" i="26"/>
  <c r="AV52" i="31"/>
  <c r="AV61" i="31"/>
  <c r="AV63" i="31" s="1"/>
  <c r="AV68" i="31" s="1"/>
  <c r="AV81" i="32"/>
  <c r="AV95" i="32" s="1"/>
  <c r="AV78" i="32"/>
  <c r="AV128" i="26"/>
  <c r="AV11" i="26"/>
  <c r="AV48" i="26"/>
  <c r="AV55" i="26"/>
  <c r="AV62" i="26"/>
  <c r="AV67" i="33"/>
  <c r="AV68" i="33"/>
  <c r="AV69" i="33" s="1"/>
  <c r="AV72" i="33" s="1"/>
  <c r="AV78" i="33"/>
  <c r="AV77" i="33" s="1"/>
  <c r="AV81" i="33" s="1"/>
  <c r="AV80" i="32"/>
  <c r="AV92" i="32"/>
  <c r="AV94" i="32" s="1"/>
  <c r="AV43" i="32"/>
  <c r="AV82" i="32"/>
  <c r="AV152" i="31"/>
  <c r="AV21" i="31"/>
  <c r="AV40" i="31"/>
  <c r="AV23" i="31"/>
  <c r="AV27" i="31"/>
  <c r="AW32" i="31" s="1"/>
  <c r="AV29" i="31"/>
  <c r="AV50" i="31"/>
  <c r="AV86" i="31"/>
  <c r="AV151" i="31"/>
  <c r="AV42" i="31"/>
  <c r="AV66" i="31"/>
  <c r="AV71" i="31" s="1"/>
  <c r="BK14" i="26" l="1"/>
  <c r="CA12" i="26"/>
  <c r="CA14" i="26" s="1"/>
  <c r="BK24" i="26"/>
  <c r="BJ26" i="26"/>
  <c r="BI18" i="26"/>
  <c r="BJ16" i="26"/>
  <c r="BI22" i="26"/>
  <c r="BJ20" i="26"/>
  <c r="BI8" i="26"/>
  <c r="BH10" i="26"/>
  <c r="BH9" i="26"/>
  <c r="AX78" i="33"/>
  <c r="AX77" i="33" s="1"/>
  <c r="AX81" i="33" s="1"/>
  <c r="AX68" i="33"/>
  <c r="AX69" i="33" s="1"/>
  <c r="AX67" i="33"/>
  <c r="AW27" i="33"/>
  <c r="AW53" i="33" s="1"/>
  <c r="AX26" i="33"/>
  <c r="AV142" i="26"/>
  <c r="AV144" i="26" s="1"/>
  <c r="AV67" i="31"/>
  <c r="AV64" i="31"/>
  <c r="AV81" i="26"/>
  <c r="AV72" i="31"/>
  <c r="AV89" i="31"/>
  <c r="AV30" i="31"/>
  <c r="AV75" i="31"/>
  <c r="AV28" i="31"/>
  <c r="BK26" i="26" l="1"/>
  <c r="CA24" i="26"/>
  <c r="CA26" i="26" s="1"/>
  <c r="BK16" i="26"/>
  <c r="BJ18" i="26"/>
  <c r="BI9" i="26"/>
  <c r="BI10" i="26"/>
  <c r="BJ22" i="26"/>
  <c r="BK20" i="26"/>
  <c r="BJ8" i="26"/>
  <c r="AV73" i="31"/>
  <c r="AV112" i="26" s="1"/>
  <c r="AV102" i="26" s="1"/>
  <c r="AZ104" i="26" s="1"/>
  <c r="AV69" i="31"/>
  <c r="AV76" i="31"/>
  <c r="AV93" i="31"/>
  <c r="AV106" i="31"/>
  <c r="AV90" i="31"/>
  <c r="AV97" i="31"/>
  <c r="BK18" i="26" l="1"/>
  <c r="CA16" i="26"/>
  <c r="CA18" i="26" s="1"/>
  <c r="BJ10" i="26"/>
  <c r="BJ9" i="26"/>
  <c r="BK22" i="26"/>
  <c r="BK8" i="26"/>
  <c r="CA8" i="26" s="1"/>
  <c r="CA10" i="26" s="1"/>
  <c r="CA20" i="26"/>
  <c r="CA22" i="26" s="1"/>
  <c r="AV91" i="31"/>
  <c r="AV92" i="31" s="1"/>
  <c r="AV74" i="31"/>
  <c r="AW103" i="26"/>
  <c r="AV105" i="26"/>
  <c r="AV107" i="26"/>
  <c r="AZ109" i="26" s="1"/>
  <c r="AV112" i="31"/>
  <c r="AV94" i="31"/>
  <c r="AV104" i="31"/>
  <c r="AV110" i="31"/>
  <c r="AV122" i="31"/>
  <c r="AV107" i="31"/>
  <c r="BK9" i="26" l="1"/>
  <c r="BK10" i="26"/>
  <c r="AV102" i="31"/>
  <c r="AW108" i="26"/>
  <c r="AV110" i="26"/>
  <c r="AV114" i="26"/>
  <c r="AV130" i="31"/>
  <c r="AV111" i="31"/>
  <c r="AV125" i="31"/>
  <c r="AV8" i="33" s="1"/>
  <c r="AV27" i="33" s="1"/>
  <c r="AV123" i="31"/>
  <c r="AV132" i="31"/>
  <c r="AV113" i="31"/>
  <c r="AV85" i="33" l="1"/>
  <c r="AV86" i="33" s="1"/>
  <c r="AV53" i="33"/>
  <c r="AV129" i="31"/>
  <c r="AV127" i="31"/>
  <c r="AU20" i="33"/>
  <c r="AU19" i="33"/>
  <c r="AU70" i="32"/>
  <c r="AU62" i="32"/>
  <c r="AU68" i="32" s="1"/>
  <c r="AU71" i="32" l="1"/>
  <c r="AU140" i="31" l="1"/>
  <c r="AT140" i="31"/>
  <c r="AS140" i="31"/>
  <c r="AR140" i="31"/>
  <c r="AQ140" i="31"/>
  <c r="AP140" i="31"/>
  <c r="AO140" i="31"/>
  <c r="AN140" i="31"/>
  <c r="AU54" i="26" l="1"/>
  <c r="AU47" i="26"/>
  <c r="AU41" i="26"/>
  <c r="AU38" i="26"/>
  <c r="AU35" i="26"/>
  <c r="AU32" i="26"/>
  <c r="AU43" i="26"/>
  <c r="AU10" i="26"/>
  <c r="AU56" i="33"/>
  <c r="BW26" i="33"/>
  <c r="AU80" i="33"/>
  <c r="AU71" i="33"/>
  <c r="AU62" i="33"/>
  <c r="AU64" i="33" s="1"/>
  <c r="BA64" i="33" s="1"/>
  <c r="BB64" i="33" s="1"/>
  <c r="BC64" i="33" s="1"/>
  <c r="BD64" i="33" s="1"/>
  <c r="BE64" i="33" s="1"/>
  <c r="BF64" i="33" s="1"/>
  <c r="BG64" i="33" s="1"/>
  <c r="BH64" i="33" s="1"/>
  <c r="BI64" i="33" s="1"/>
  <c r="BJ64" i="33" s="1"/>
  <c r="BK64" i="33" s="1"/>
  <c r="AU47" i="33"/>
  <c r="AU38" i="33"/>
  <c r="AT126" i="26"/>
  <c r="AT133" i="26" s="1"/>
  <c r="AU132" i="26"/>
  <c r="AU126" i="26"/>
  <c r="AU140" i="26" s="1"/>
  <c r="AU118" i="26"/>
  <c r="AU100" i="26"/>
  <c r="AU99" i="26"/>
  <c r="AU98" i="26"/>
  <c r="AU95" i="26"/>
  <c r="AU94" i="26"/>
  <c r="AU93" i="26"/>
  <c r="AU90" i="26"/>
  <c r="AU89" i="26"/>
  <c r="AU88" i="26"/>
  <c r="AU85" i="26"/>
  <c r="AU77" i="26"/>
  <c r="AU128" i="26" s="1"/>
  <c r="AU73" i="26"/>
  <c r="AU48" i="26" s="1"/>
  <c r="AU71" i="26"/>
  <c r="AU156" i="31" s="1"/>
  <c r="AV157" i="31" s="1"/>
  <c r="AU61" i="26"/>
  <c r="AU57" i="26"/>
  <c r="AU53" i="26"/>
  <c r="AU50" i="26"/>
  <c r="AU46" i="26"/>
  <c r="AU31" i="26"/>
  <c r="AU29" i="26"/>
  <c r="AU9" i="26"/>
  <c r="AU91" i="32"/>
  <c r="AU90" i="32"/>
  <c r="AU87" i="32"/>
  <c r="AU86" i="32"/>
  <c r="AU79" i="32"/>
  <c r="AU77" i="32"/>
  <c r="AU75" i="32"/>
  <c r="AU76" i="32" s="1"/>
  <c r="AU54" i="32"/>
  <c r="AU53" i="32"/>
  <c r="AU51" i="32" s="1"/>
  <c r="AU31" i="32"/>
  <c r="AU41" i="32" s="1"/>
  <c r="AU14" i="32"/>
  <c r="AU99" i="31"/>
  <c r="AU60" i="31"/>
  <c r="AU44" i="31"/>
  <c r="AU176" i="31"/>
  <c r="AU165" i="31"/>
  <c r="AU100" i="32" s="1"/>
  <c r="AU143" i="31"/>
  <c r="BW143" i="31" s="1"/>
  <c r="AU141" i="31"/>
  <c r="AU137" i="31"/>
  <c r="AU118" i="31"/>
  <c r="AU120" i="31" s="1"/>
  <c r="AU109" i="31" s="1"/>
  <c r="AU82" i="31"/>
  <c r="AU80" i="31"/>
  <c r="AU78" i="31"/>
  <c r="AU86" i="31" s="1"/>
  <c r="AU54" i="31"/>
  <c r="AU61" i="31" s="1"/>
  <c r="AU63" i="31" s="1"/>
  <c r="AU41" i="31"/>
  <c r="AU39" i="31"/>
  <c r="AU35" i="31"/>
  <c r="AU25" i="31"/>
  <c r="AU26" i="31" s="1"/>
  <c r="AU22" i="31"/>
  <c r="AU17" i="31"/>
  <c r="BW17" i="31" s="1"/>
  <c r="AU16" i="31"/>
  <c r="AU13" i="31"/>
  <c r="AU12" i="31"/>
  <c r="AU11" i="31"/>
  <c r="BY52" i="33"/>
  <c r="BY49" i="33"/>
  <c r="BY65" i="33"/>
  <c r="BY38" i="32"/>
  <c r="BY126" i="31"/>
  <c r="BY119" i="31"/>
  <c r="BY100" i="31"/>
  <c r="BY62" i="31"/>
  <c r="BY59" i="31"/>
  <c r="BY58" i="31"/>
  <c r="BY57" i="31"/>
  <c r="BY56" i="31"/>
  <c r="BY55" i="31"/>
  <c r="BY48" i="31"/>
  <c r="BY47" i="31"/>
  <c r="BY38" i="31"/>
  <c r="BY37" i="31"/>
  <c r="BY19" i="31"/>
  <c r="BY56" i="26"/>
  <c r="BY132" i="26"/>
  <c r="BY118" i="26"/>
  <c r="BY85" i="26"/>
  <c r="BC65" i="33"/>
  <c r="BB65" i="33"/>
  <c r="BA65" i="33"/>
  <c r="BC4" i="33"/>
  <c r="BB4" i="33"/>
  <c r="BA4" i="33"/>
  <c r="AZ4" i="33"/>
  <c r="BC165" i="31"/>
  <c r="BC100" i="32" s="1"/>
  <c r="BB165" i="31"/>
  <c r="BA165" i="31"/>
  <c r="BA100" i="32" s="1"/>
  <c r="AZ165" i="31"/>
  <c r="AZ100" i="32" s="1"/>
  <c r="BC118" i="31"/>
  <c r="BC120" i="31" s="1"/>
  <c r="BC109" i="31" s="1"/>
  <c r="BB118" i="31"/>
  <c r="BB120" i="31" s="1"/>
  <c r="BB109" i="31" s="1"/>
  <c r="BA118" i="31"/>
  <c r="BA120" i="31" s="1"/>
  <c r="BA109" i="31" s="1"/>
  <c r="BC54" i="31"/>
  <c r="BB54" i="31"/>
  <c r="BA54" i="31"/>
  <c r="BC51" i="31"/>
  <c r="BA51" i="31"/>
  <c r="BC132" i="26"/>
  <c r="BB132" i="26"/>
  <c r="BA132" i="26"/>
  <c r="AZ132" i="26"/>
  <c r="BC118" i="26"/>
  <c r="BB118" i="26"/>
  <c r="BA118" i="26"/>
  <c r="AZ118" i="26"/>
  <c r="BC85" i="26"/>
  <c r="BB85" i="26"/>
  <c r="BA85" i="26"/>
  <c r="AZ85" i="26"/>
  <c r="BC6" i="32"/>
  <c r="BC6" i="33" s="1"/>
  <c r="BC61" i="33" s="1"/>
  <c r="BC76" i="33" s="1"/>
  <c r="BC84" i="33" s="1"/>
  <c r="BB6" i="32"/>
  <c r="BB6" i="33" s="1"/>
  <c r="BB61" i="33" s="1"/>
  <c r="BB76" i="33" s="1"/>
  <c r="BB84" i="33" s="1"/>
  <c r="BA6" i="32"/>
  <c r="BA6" i="33" s="1"/>
  <c r="BA61" i="33" s="1"/>
  <c r="BA76" i="33" s="1"/>
  <c r="BA84" i="33" s="1"/>
  <c r="AZ6" i="32"/>
  <c r="AZ6" i="33" s="1"/>
  <c r="AZ61" i="33" s="1"/>
  <c r="AZ76" i="33" s="1"/>
  <c r="AZ84" i="33" s="1"/>
  <c r="BC5" i="32"/>
  <c r="BC5" i="33" s="1"/>
  <c r="BB5" i="32"/>
  <c r="BB5" i="33" s="1"/>
  <c r="BA5" i="32"/>
  <c r="BA5" i="33" s="1"/>
  <c r="AZ5" i="32"/>
  <c r="AZ5" i="33" s="1"/>
  <c r="BC4" i="32"/>
  <c r="BB4" i="32"/>
  <c r="BA4" i="32"/>
  <c r="AZ4" i="32"/>
  <c r="AN34" i="26"/>
  <c r="AS21" i="33"/>
  <c r="AU21" i="33" s="1"/>
  <c r="AT70" i="32"/>
  <c r="AT62" i="32"/>
  <c r="AT68" i="32" s="1"/>
  <c r="BU276" i="26"/>
  <c r="BT276" i="26"/>
  <c r="BS276" i="26"/>
  <c r="BR276" i="26"/>
  <c r="BQ276" i="26"/>
  <c r="BP276" i="26"/>
  <c r="BO276" i="26"/>
  <c r="BN276" i="26"/>
  <c r="AS276" i="26"/>
  <c r="AR276" i="26"/>
  <c r="AQ276" i="26"/>
  <c r="AP276" i="26"/>
  <c r="AO276" i="26"/>
  <c r="AN276" i="26"/>
  <c r="AM276" i="26"/>
  <c r="AL276" i="26"/>
  <c r="AK276" i="26"/>
  <c r="AJ276" i="26"/>
  <c r="AI276" i="26"/>
  <c r="AH276" i="26"/>
  <c r="AG276" i="26"/>
  <c r="AF276" i="26"/>
  <c r="AE276" i="26"/>
  <c r="AD276" i="26"/>
  <c r="AC276" i="26"/>
  <c r="AB276" i="26"/>
  <c r="AA276" i="26"/>
  <c r="Z276" i="26"/>
  <c r="Y276" i="26"/>
  <c r="X276" i="26"/>
  <c r="W276" i="26"/>
  <c r="V276" i="26"/>
  <c r="U276" i="26"/>
  <c r="T276" i="26"/>
  <c r="S276" i="26"/>
  <c r="R276" i="26"/>
  <c r="Q276" i="26"/>
  <c r="P276" i="26"/>
  <c r="O276" i="26"/>
  <c r="N276" i="26"/>
  <c r="M276" i="26"/>
  <c r="L276" i="26"/>
  <c r="K276" i="26"/>
  <c r="J276" i="26"/>
  <c r="I276" i="26"/>
  <c r="H276" i="26"/>
  <c r="AR271" i="26"/>
  <c r="AQ271" i="26"/>
  <c r="AN271" i="26"/>
  <c r="AM271" i="26"/>
  <c r="AM274" i="26" s="1"/>
  <c r="AL271" i="26"/>
  <c r="AK271" i="26"/>
  <c r="AK274" i="26" s="1"/>
  <c r="AJ271" i="26"/>
  <c r="AI271" i="26"/>
  <c r="AH271" i="26"/>
  <c r="AG271" i="26"/>
  <c r="AG274" i="26" s="1"/>
  <c r="AF271" i="26"/>
  <c r="AE271" i="26"/>
  <c r="AD271" i="26"/>
  <c r="AC271" i="26"/>
  <c r="AC274" i="26" s="1"/>
  <c r="AB271" i="26"/>
  <c r="AA271" i="26"/>
  <c r="AA274" i="26" s="1"/>
  <c r="R271" i="26"/>
  <c r="AM269" i="26"/>
  <c r="AL269" i="26"/>
  <c r="AK269" i="26"/>
  <c r="AJ269" i="26"/>
  <c r="AI269" i="26"/>
  <c r="AH269" i="26"/>
  <c r="AG269" i="26"/>
  <c r="AF269" i="26"/>
  <c r="AE269" i="26"/>
  <c r="AD269" i="26"/>
  <c r="AC269" i="26"/>
  <c r="AB269" i="26"/>
  <c r="AA269" i="26"/>
  <c r="R269" i="26"/>
  <c r="AR268" i="26"/>
  <c r="AQ268" i="26"/>
  <c r="AN268" i="26"/>
  <c r="AM268" i="26"/>
  <c r="AL268" i="26"/>
  <c r="AK268" i="26"/>
  <c r="AJ268" i="26"/>
  <c r="AI268" i="26"/>
  <c r="AH268" i="26"/>
  <c r="AG268" i="26"/>
  <c r="AF268" i="26"/>
  <c r="AE268" i="26"/>
  <c r="AR267" i="26"/>
  <c r="AN267" i="26"/>
  <c r="AM267" i="26"/>
  <c r="AL267" i="26"/>
  <c r="AK267" i="26"/>
  <c r="AJ267" i="26"/>
  <c r="AI267" i="26"/>
  <c r="AH267" i="26"/>
  <c r="AG267" i="26"/>
  <c r="AF267" i="26"/>
  <c r="AE267" i="26"/>
  <c r="AD267" i="26"/>
  <c r="AC267" i="26"/>
  <c r="AB267" i="26"/>
  <c r="BU266" i="26"/>
  <c r="BT266" i="26"/>
  <c r="BS266" i="26"/>
  <c r="AS266" i="26"/>
  <c r="AS271" i="26" s="1"/>
  <c r="AP266" i="26"/>
  <c r="AP271" i="26" s="1"/>
  <c r="AO266" i="26"/>
  <c r="Z266" i="26"/>
  <c r="Y266" i="26"/>
  <c r="AC268" i="26" s="1"/>
  <c r="X266" i="26"/>
  <c r="X269" i="26" s="1"/>
  <c r="V266" i="26"/>
  <c r="V269" i="26" s="1"/>
  <c r="U266" i="26"/>
  <c r="T266" i="26"/>
  <c r="T271" i="26" s="1"/>
  <c r="Q266" i="26"/>
  <c r="P266" i="26"/>
  <c r="N266" i="26"/>
  <c r="M266" i="26"/>
  <c r="L266" i="26"/>
  <c r="L269" i="26" s="1"/>
  <c r="J266" i="26"/>
  <c r="I266" i="26"/>
  <c r="I271" i="26" s="1"/>
  <c r="H266" i="26"/>
  <c r="H271" i="26" s="1"/>
  <c r="AS264" i="26"/>
  <c r="AR264" i="26"/>
  <c r="AQ264" i="26"/>
  <c r="AP264" i="26"/>
  <c r="AO264" i="26"/>
  <c r="AN264" i="26"/>
  <c r="AM264" i="26"/>
  <c r="AL264" i="26"/>
  <c r="AK264" i="26"/>
  <c r="AJ264" i="26"/>
  <c r="AI264" i="26"/>
  <c r="AH264" i="26"/>
  <c r="AG264" i="26"/>
  <c r="AF264" i="26"/>
  <c r="AE264" i="26"/>
  <c r="AD264" i="26"/>
  <c r="AC264" i="26"/>
  <c r="AB264" i="26"/>
  <c r="AA264" i="26"/>
  <c r="Z264" i="26"/>
  <c r="Y264" i="26"/>
  <c r="X264" i="26"/>
  <c r="W264" i="26"/>
  <c r="V264" i="26"/>
  <c r="U264" i="26"/>
  <c r="T264" i="26"/>
  <c r="S264" i="26"/>
  <c r="R264" i="26"/>
  <c r="Q264" i="26"/>
  <c r="P264" i="26"/>
  <c r="O264" i="26"/>
  <c r="N264" i="26"/>
  <c r="M264" i="26"/>
  <c r="L264" i="26"/>
  <c r="K264" i="26"/>
  <c r="J264" i="26"/>
  <c r="I264" i="26"/>
  <c r="H264" i="26"/>
  <c r="AS263" i="26"/>
  <c r="AR263" i="26"/>
  <c r="AQ263" i="26"/>
  <c r="AP263" i="26"/>
  <c r="AO263" i="26"/>
  <c r="AN263" i="26"/>
  <c r="AM263" i="26"/>
  <c r="AL263" i="26"/>
  <c r="AK263" i="26"/>
  <c r="AJ263" i="26"/>
  <c r="AI263" i="26"/>
  <c r="AH263" i="26"/>
  <c r="AG263" i="26"/>
  <c r="AF263" i="26"/>
  <c r="AE263" i="26"/>
  <c r="AD263" i="26"/>
  <c r="AC263" i="26"/>
  <c r="AB263" i="26"/>
  <c r="AA263" i="26"/>
  <c r="Z263" i="26"/>
  <c r="Y263" i="26"/>
  <c r="X263" i="26"/>
  <c r="W263" i="26"/>
  <c r="V263" i="26"/>
  <c r="U263" i="26"/>
  <c r="T263" i="26"/>
  <c r="S263" i="26"/>
  <c r="R263" i="26"/>
  <c r="Q263" i="26"/>
  <c r="P263" i="26"/>
  <c r="O263" i="26"/>
  <c r="N263" i="26"/>
  <c r="M263" i="26"/>
  <c r="L263" i="26"/>
  <c r="AS262" i="26"/>
  <c r="AR262" i="26"/>
  <c r="AQ262" i="26"/>
  <c r="AP262" i="26"/>
  <c r="AO262" i="26"/>
  <c r="AN262" i="26"/>
  <c r="AM262" i="26"/>
  <c r="AL262" i="26"/>
  <c r="AK262" i="26"/>
  <c r="AJ262" i="26"/>
  <c r="AI262" i="26"/>
  <c r="AH262" i="26"/>
  <c r="AG262" i="26"/>
  <c r="AF262" i="26"/>
  <c r="AE262" i="26"/>
  <c r="AD262" i="26"/>
  <c r="AC262" i="26"/>
  <c r="AB262" i="26"/>
  <c r="AA262" i="26"/>
  <c r="Z262" i="26"/>
  <c r="Y262" i="26"/>
  <c r="X262" i="26"/>
  <c r="W262" i="26"/>
  <c r="V262" i="26"/>
  <c r="U262" i="26"/>
  <c r="T262" i="26"/>
  <c r="S262" i="26"/>
  <c r="R262" i="26"/>
  <c r="Q262" i="26"/>
  <c r="P262" i="26"/>
  <c r="O262" i="26"/>
  <c r="N262" i="26"/>
  <c r="M262" i="26"/>
  <c r="L262" i="26"/>
  <c r="K262" i="26"/>
  <c r="J262" i="26"/>
  <c r="I262" i="26"/>
  <c r="BU261" i="26"/>
  <c r="BT261" i="26"/>
  <c r="BT264" i="26" s="1"/>
  <c r="BS261" i="26"/>
  <c r="BR261" i="26"/>
  <c r="BR264" i="26" s="1"/>
  <c r="BQ261" i="26"/>
  <c r="BP261" i="26"/>
  <c r="BP264" i="26" s="1"/>
  <c r="BO261" i="26"/>
  <c r="BN261" i="26"/>
  <c r="BN264" i="26" s="1"/>
  <c r="AS259" i="26"/>
  <c r="AR259" i="26"/>
  <c r="AQ259" i="26"/>
  <c r="AP259" i="26"/>
  <c r="AO259" i="26"/>
  <c r="AN259" i="26"/>
  <c r="AM259" i="26"/>
  <c r="AL259" i="26"/>
  <c r="AK259" i="26"/>
  <c r="AJ259" i="26"/>
  <c r="AI259" i="26"/>
  <c r="AH259" i="26"/>
  <c r="AG259" i="26"/>
  <c r="AF259" i="26"/>
  <c r="AE259" i="26"/>
  <c r="AD259" i="26"/>
  <c r="AC259" i="26"/>
  <c r="AB259" i="26"/>
  <c r="AA259" i="26"/>
  <c r="Z259" i="26"/>
  <c r="Y259" i="26"/>
  <c r="X259" i="26"/>
  <c r="W259" i="26"/>
  <c r="V259" i="26"/>
  <c r="U259" i="26"/>
  <c r="T259" i="26"/>
  <c r="S259" i="26"/>
  <c r="R259" i="26"/>
  <c r="Q259" i="26"/>
  <c r="P259" i="26"/>
  <c r="O259" i="26"/>
  <c r="N259" i="26"/>
  <c r="M259" i="26"/>
  <c r="L259" i="26"/>
  <c r="K259" i="26"/>
  <c r="J259" i="26"/>
  <c r="I259" i="26"/>
  <c r="H259" i="26"/>
  <c r="AS258" i="26"/>
  <c r="AR258" i="26"/>
  <c r="AQ258" i="26"/>
  <c r="AP258" i="26"/>
  <c r="AO258" i="26"/>
  <c r="AN258" i="26"/>
  <c r="AM258" i="26"/>
  <c r="AL258" i="26"/>
  <c r="AK258" i="26"/>
  <c r="AJ258" i="26"/>
  <c r="AI258" i="26"/>
  <c r="AH258" i="26"/>
  <c r="AG258" i="26"/>
  <c r="AF258" i="26"/>
  <c r="AE258" i="26"/>
  <c r="AD258" i="26"/>
  <c r="AC258" i="26"/>
  <c r="AB258" i="26"/>
  <c r="AA258" i="26"/>
  <c r="Z258" i="26"/>
  <c r="Y258" i="26"/>
  <c r="X258" i="26"/>
  <c r="W258" i="26"/>
  <c r="V258" i="26"/>
  <c r="U258" i="26"/>
  <c r="T258" i="26"/>
  <c r="S258" i="26"/>
  <c r="R258" i="26"/>
  <c r="Q258" i="26"/>
  <c r="P258" i="26"/>
  <c r="O258" i="26"/>
  <c r="N258" i="26"/>
  <c r="M258" i="26"/>
  <c r="L258" i="26"/>
  <c r="AS257" i="26"/>
  <c r="AR257" i="26"/>
  <c r="AQ257" i="26"/>
  <c r="AP257" i="26"/>
  <c r="AO257" i="26"/>
  <c r="AN257" i="26"/>
  <c r="AM257" i="26"/>
  <c r="AL257" i="26"/>
  <c r="AK257" i="26"/>
  <c r="AJ257" i="26"/>
  <c r="AI257" i="26"/>
  <c r="AH257" i="26"/>
  <c r="AG257" i="26"/>
  <c r="AF257" i="26"/>
  <c r="AE257" i="26"/>
  <c r="AD257" i="26"/>
  <c r="AC257" i="26"/>
  <c r="AB257" i="26"/>
  <c r="AA257" i="26"/>
  <c r="Z257" i="26"/>
  <c r="Y257" i="26"/>
  <c r="X257" i="26"/>
  <c r="W257" i="26"/>
  <c r="V257" i="26"/>
  <c r="U257" i="26"/>
  <c r="T257" i="26"/>
  <c r="S257" i="26"/>
  <c r="R257" i="26"/>
  <c r="Q257" i="26"/>
  <c r="P257" i="26"/>
  <c r="O257" i="26"/>
  <c r="N257" i="26"/>
  <c r="M257" i="26"/>
  <c r="L257" i="26"/>
  <c r="K257" i="26"/>
  <c r="J257" i="26"/>
  <c r="I257" i="26"/>
  <c r="BU256" i="26"/>
  <c r="BU259" i="26" s="1"/>
  <c r="BT256" i="26"/>
  <c r="BS256" i="26"/>
  <c r="BS259" i="26" s="1"/>
  <c r="BR256" i="26"/>
  <c r="BQ256" i="26"/>
  <c r="BQ259" i="26" s="1"/>
  <c r="BP256" i="26"/>
  <c r="BP259" i="26" s="1"/>
  <c r="BO256" i="26"/>
  <c r="BO259" i="26" s="1"/>
  <c r="BN256" i="26"/>
  <c r="AS254" i="26"/>
  <c r="AR254" i="26"/>
  <c r="AQ254" i="26"/>
  <c r="AP254" i="26"/>
  <c r="AO254" i="26"/>
  <c r="AN254" i="26"/>
  <c r="AM254" i="26"/>
  <c r="AL254" i="26"/>
  <c r="AK254" i="26"/>
  <c r="AJ254" i="26"/>
  <c r="AI254" i="26"/>
  <c r="AH254" i="26"/>
  <c r="AG254" i="26"/>
  <c r="AF254" i="26"/>
  <c r="AE254" i="26"/>
  <c r="AD254" i="26"/>
  <c r="AC254" i="26"/>
  <c r="AB254" i="26"/>
  <c r="AA254" i="26"/>
  <c r="Z254" i="26"/>
  <c r="Y254" i="26"/>
  <c r="X254" i="26"/>
  <c r="W254" i="26"/>
  <c r="V254" i="26"/>
  <c r="U254" i="26"/>
  <c r="T254" i="26"/>
  <c r="S254" i="26"/>
  <c r="R254" i="26"/>
  <c r="Q254" i="26"/>
  <c r="P254" i="26"/>
  <c r="O254" i="26"/>
  <c r="N254" i="26"/>
  <c r="M254" i="26"/>
  <c r="L254" i="26"/>
  <c r="K254" i="26"/>
  <c r="J254" i="26"/>
  <c r="I254" i="26"/>
  <c r="H254" i="26"/>
  <c r="AS253" i="26"/>
  <c r="AR253" i="26"/>
  <c r="AQ253" i="26"/>
  <c r="AP253" i="26"/>
  <c r="AO253" i="26"/>
  <c r="AN253" i="26"/>
  <c r="AM253" i="26"/>
  <c r="AL253" i="26"/>
  <c r="AK253" i="26"/>
  <c r="AJ253" i="26"/>
  <c r="AI253" i="26"/>
  <c r="AH253" i="26"/>
  <c r="AG253" i="26"/>
  <c r="AF253" i="26"/>
  <c r="AE253" i="26"/>
  <c r="AD253" i="26"/>
  <c r="AC253" i="26"/>
  <c r="AB253" i="26"/>
  <c r="AA253" i="26"/>
  <c r="Z253" i="26"/>
  <c r="Y253" i="26"/>
  <c r="X253" i="26"/>
  <c r="W253" i="26"/>
  <c r="V253" i="26"/>
  <c r="U253" i="26"/>
  <c r="T253" i="26"/>
  <c r="S253" i="26"/>
  <c r="R253" i="26"/>
  <c r="Q253" i="26"/>
  <c r="P253" i="26"/>
  <c r="O253" i="26"/>
  <c r="N253" i="26"/>
  <c r="M253" i="26"/>
  <c r="L253" i="26"/>
  <c r="AS252" i="26"/>
  <c r="AR252" i="26"/>
  <c r="AQ252" i="26"/>
  <c r="AP252" i="26"/>
  <c r="AO252" i="26"/>
  <c r="AN252" i="26"/>
  <c r="AM252" i="26"/>
  <c r="AL252" i="26"/>
  <c r="AK252" i="26"/>
  <c r="AJ252" i="26"/>
  <c r="AI252" i="26"/>
  <c r="AH252" i="26"/>
  <c r="AG252" i="26"/>
  <c r="AF252" i="26"/>
  <c r="AE252" i="26"/>
  <c r="AD252" i="26"/>
  <c r="AC252" i="26"/>
  <c r="AB252" i="26"/>
  <c r="AA252" i="26"/>
  <c r="Z252" i="26"/>
  <c r="Y252" i="26"/>
  <c r="X252" i="26"/>
  <c r="W252" i="26"/>
  <c r="V252" i="26"/>
  <c r="U252" i="26"/>
  <c r="T252" i="26"/>
  <c r="S252" i="26"/>
  <c r="R252" i="26"/>
  <c r="Q252" i="26"/>
  <c r="P252" i="26"/>
  <c r="O252" i="26"/>
  <c r="N252" i="26"/>
  <c r="M252" i="26"/>
  <c r="L252" i="26"/>
  <c r="K252" i="26"/>
  <c r="J252" i="26"/>
  <c r="I252" i="26"/>
  <c r="BU251" i="26"/>
  <c r="BT251" i="26"/>
  <c r="BT254" i="26" s="1"/>
  <c r="BS251" i="26"/>
  <c r="BR251" i="26"/>
  <c r="BR254" i="26" s="1"/>
  <c r="BQ251" i="26"/>
  <c r="BP251" i="26"/>
  <c r="BP254" i="26" s="1"/>
  <c r="BO251" i="26"/>
  <c r="BN251" i="26"/>
  <c r="BN254" i="26" s="1"/>
  <c r="AS249" i="26"/>
  <c r="AR249" i="26"/>
  <c r="AQ249" i="26"/>
  <c r="AP249" i="26"/>
  <c r="AO249" i="26"/>
  <c r="AN249" i="26"/>
  <c r="AM249" i="26"/>
  <c r="AL249" i="26"/>
  <c r="AK249" i="26"/>
  <c r="AJ249" i="26"/>
  <c r="AI249" i="26"/>
  <c r="AH249" i="26"/>
  <c r="AG249" i="26"/>
  <c r="AF249" i="26"/>
  <c r="AE249" i="26"/>
  <c r="AD249" i="26"/>
  <c r="AC249" i="26"/>
  <c r="AB249" i="26"/>
  <c r="AA249" i="26"/>
  <c r="Z249" i="26"/>
  <c r="Y249" i="26"/>
  <c r="X249" i="26"/>
  <c r="W249" i="26"/>
  <c r="V249" i="26"/>
  <c r="U249" i="26"/>
  <c r="T249" i="26"/>
  <c r="S249" i="26"/>
  <c r="R249" i="26"/>
  <c r="Q249" i="26"/>
  <c r="P249" i="26"/>
  <c r="O249" i="26"/>
  <c r="N249" i="26"/>
  <c r="M249" i="26"/>
  <c r="L249" i="26"/>
  <c r="K249" i="26"/>
  <c r="J249" i="26"/>
  <c r="I249" i="26"/>
  <c r="H249" i="26"/>
  <c r="AS248" i="26"/>
  <c r="AR248" i="26"/>
  <c r="AQ248" i="26"/>
  <c r="AP248" i="26"/>
  <c r="AO248" i="26"/>
  <c r="AN248" i="26"/>
  <c r="AM248" i="26"/>
  <c r="AL248" i="26"/>
  <c r="AK248" i="26"/>
  <c r="AJ248" i="26"/>
  <c r="AI248" i="26"/>
  <c r="AH248" i="26"/>
  <c r="AG248" i="26"/>
  <c r="AF248" i="26"/>
  <c r="AE248" i="26"/>
  <c r="AD248" i="26"/>
  <c r="AC248" i="26"/>
  <c r="AB248" i="26"/>
  <c r="AA248" i="26"/>
  <c r="Z248" i="26"/>
  <c r="Y248" i="26"/>
  <c r="X248" i="26"/>
  <c r="W248" i="26"/>
  <c r="V248" i="26"/>
  <c r="U248" i="26"/>
  <c r="T248" i="26"/>
  <c r="S248" i="26"/>
  <c r="R248" i="26"/>
  <c r="Q248" i="26"/>
  <c r="P248" i="26"/>
  <c r="O248" i="26"/>
  <c r="N248" i="26"/>
  <c r="M248" i="26"/>
  <c r="L248" i="26"/>
  <c r="AS247" i="26"/>
  <c r="AR247" i="26"/>
  <c r="AQ247" i="26"/>
  <c r="AP247" i="26"/>
  <c r="AO247" i="26"/>
  <c r="AN247" i="26"/>
  <c r="AM247" i="26"/>
  <c r="AL247" i="26"/>
  <c r="AK247" i="26"/>
  <c r="AJ247" i="26"/>
  <c r="AI247" i="26"/>
  <c r="AH247" i="26"/>
  <c r="AG247" i="26"/>
  <c r="AF247" i="26"/>
  <c r="AE247" i="26"/>
  <c r="AD247" i="26"/>
  <c r="AC247" i="26"/>
  <c r="AB247" i="26"/>
  <c r="AA247" i="26"/>
  <c r="Z247" i="26"/>
  <c r="Y247" i="26"/>
  <c r="X247" i="26"/>
  <c r="W247" i="26"/>
  <c r="V247" i="26"/>
  <c r="U247" i="26"/>
  <c r="T247" i="26"/>
  <c r="S247" i="26"/>
  <c r="R247" i="26"/>
  <c r="Q247" i="26"/>
  <c r="P247" i="26"/>
  <c r="O247" i="26"/>
  <c r="N247" i="26"/>
  <c r="M247" i="26"/>
  <c r="L247" i="26"/>
  <c r="K247" i="26"/>
  <c r="J247" i="26"/>
  <c r="I247" i="26"/>
  <c r="BU246" i="26"/>
  <c r="BU249" i="26" s="1"/>
  <c r="BT246" i="26"/>
  <c r="BS246" i="26"/>
  <c r="BS249" i="26" s="1"/>
  <c r="BR246" i="26"/>
  <c r="BR249" i="26" s="1"/>
  <c r="BQ246" i="26"/>
  <c r="BQ249" i="26" s="1"/>
  <c r="BP246" i="26"/>
  <c r="BO246" i="26"/>
  <c r="BO249" i="26" s="1"/>
  <c r="BN246" i="26"/>
  <c r="BV244" i="26"/>
  <c r="BU244" i="26"/>
  <c r="BT244" i="26"/>
  <c r="BS244" i="26"/>
  <c r="BR244" i="26"/>
  <c r="BQ244" i="26"/>
  <c r="BP244" i="26"/>
  <c r="BO244" i="26"/>
  <c r="BN244" i="26"/>
  <c r="BM244" i="26"/>
  <c r="AS244" i="26"/>
  <c r="AQ244" i="26"/>
  <c r="AP244" i="26"/>
  <c r="AO244" i="26"/>
  <c r="AN244" i="26"/>
  <c r="AM244" i="26"/>
  <c r="AL244" i="26"/>
  <c r="AK244" i="26"/>
  <c r="AJ244" i="26"/>
  <c r="AI244" i="26"/>
  <c r="AH244" i="26"/>
  <c r="AG244" i="26"/>
  <c r="AF244" i="26"/>
  <c r="AE244" i="26"/>
  <c r="AD244" i="26"/>
  <c r="AC244" i="26"/>
  <c r="AB244" i="26"/>
  <c r="AA244" i="26"/>
  <c r="Z244" i="26"/>
  <c r="Y244" i="26"/>
  <c r="X244" i="26"/>
  <c r="W244" i="26"/>
  <c r="V244" i="26"/>
  <c r="U244" i="26"/>
  <c r="T244" i="26"/>
  <c r="S244" i="26"/>
  <c r="R244" i="26"/>
  <c r="Q244" i="26"/>
  <c r="P244" i="26"/>
  <c r="O244" i="26"/>
  <c r="N244" i="26"/>
  <c r="M244" i="26"/>
  <c r="L244" i="26"/>
  <c r="K244" i="26"/>
  <c r="J244" i="26"/>
  <c r="I244" i="26"/>
  <c r="H244" i="26"/>
  <c r="G244" i="26"/>
  <c r="F244" i="26"/>
  <c r="E244" i="26"/>
  <c r="D244" i="26"/>
  <c r="BV238" i="26"/>
  <c r="BU238" i="26"/>
  <c r="BT238" i="26"/>
  <c r="BS238" i="26"/>
  <c r="BR238" i="26"/>
  <c r="BQ238" i="26"/>
  <c r="BP238" i="26"/>
  <c r="BO238" i="26"/>
  <c r="BN238" i="26"/>
  <c r="AS238" i="26"/>
  <c r="AR238" i="26"/>
  <c r="AQ238" i="26"/>
  <c r="AP238" i="26"/>
  <c r="AO238" i="26"/>
  <c r="AN238" i="26"/>
  <c r="AM238" i="26"/>
  <c r="AL238" i="26"/>
  <c r="AK238" i="26"/>
  <c r="AJ238" i="26"/>
  <c r="AI238" i="26"/>
  <c r="AH238" i="26"/>
  <c r="AG238" i="26"/>
  <c r="AF238" i="26"/>
  <c r="AE238" i="26"/>
  <c r="AD238" i="26"/>
  <c r="AC238" i="26"/>
  <c r="AB238" i="26"/>
  <c r="AA238" i="26"/>
  <c r="Z238" i="26"/>
  <c r="Y238" i="26"/>
  <c r="X238" i="26"/>
  <c r="W238" i="26"/>
  <c r="V238" i="26"/>
  <c r="U238" i="26"/>
  <c r="T238" i="26"/>
  <c r="S238" i="26"/>
  <c r="R238" i="26"/>
  <c r="Q238" i="26"/>
  <c r="P238" i="26"/>
  <c r="O238" i="26"/>
  <c r="N238" i="26"/>
  <c r="M238" i="26"/>
  <c r="L238" i="26"/>
  <c r="K238" i="26"/>
  <c r="J238" i="26"/>
  <c r="I238" i="26"/>
  <c r="H238" i="26"/>
  <c r="G238" i="26"/>
  <c r="F238" i="26"/>
  <c r="E238" i="26"/>
  <c r="D238" i="26"/>
  <c r="G233" i="26"/>
  <c r="G236" i="26" s="1"/>
  <c r="F233" i="26"/>
  <c r="E233" i="26"/>
  <c r="E236" i="26" s="1"/>
  <c r="D233" i="26"/>
  <c r="BV211" i="26"/>
  <c r="BU211" i="26"/>
  <c r="BT211" i="26"/>
  <c r="BS211" i="26"/>
  <c r="BR211" i="26"/>
  <c r="BQ211" i="26"/>
  <c r="BP211" i="26"/>
  <c r="BO211" i="26"/>
  <c r="BN211" i="26"/>
  <c r="BM211" i="26"/>
  <c r="AS211" i="26"/>
  <c r="AR211" i="26"/>
  <c r="AQ211" i="26"/>
  <c r="AP211" i="26"/>
  <c r="AO211" i="26"/>
  <c r="AN211" i="26"/>
  <c r="AM211" i="26"/>
  <c r="AL211" i="26"/>
  <c r="AK211" i="26"/>
  <c r="AJ211" i="26"/>
  <c r="AI211" i="26"/>
  <c r="AH211" i="26"/>
  <c r="AG211" i="26"/>
  <c r="AF211" i="26"/>
  <c r="AE211" i="26"/>
  <c r="AD211" i="26"/>
  <c r="AC211" i="26"/>
  <c r="AB211" i="26"/>
  <c r="AA211" i="26"/>
  <c r="Z211" i="26"/>
  <c r="Y211" i="26"/>
  <c r="X211" i="26"/>
  <c r="W211" i="26"/>
  <c r="V211" i="26"/>
  <c r="U211" i="26"/>
  <c r="T211" i="26"/>
  <c r="S211" i="26"/>
  <c r="R211" i="26"/>
  <c r="Q211" i="26"/>
  <c r="P211" i="26"/>
  <c r="O211" i="26"/>
  <c r="N211" i="26"/>
  <c r="M211" i="26"/>
  <c r="L211" i="26"/>
  <c r="K211" i="26"/>
  <c r="J211" i="26"/>
  <c r="I211" i="26"/>
  <c r="H211" i="26"/>
  <c r="G211" i="26"/>
  <c r="F211" i="26"/>
  <c r="E211" i="26"/>
  <c r="D211" i="26"/>
  <c r="BV203" i="26"/>
  <c r="BU203" i="26"/>
  <c r="BT203" i="26"/>
  <c r="BS203" i="26"/>
  <c r="BR203" i="26"/>
  <c r="BQ203" i="26"/>
  <c r="BP203" i="26"/>
  <c r="BO203" i="26"/>
  <c r="BN203" i="26"/>
  <c r="AS203" i="26"/>
  <c r="AR203" i="26"/>
  <c r="AQ203" i="26"/>
  <c r="AP203" i="26"/>
  <c r="AO203" i="26"/>
  <c r="AN203" i="26"/>
  <c r="AM203" i="26"/>
  <c r="AL203" i="26"/>
  <c r="AK203" i="26"/>
  <c r="AJ203" i="26"/>
  <c r="AI203" i="26"/>
  <c r="AH203" i="26"/>
  <c r="AG203" i="26"/>
  <c r="AF203" i="26"/>
  <c r="AE203" i="26"/>
  <c r="AD203" i="26"/>
  <c r="AC203" i="26"/>
  <c r="AB203" i="26"/>
  <c r="AA203" i="26"/>
  <c r="Z203" i="26"/>
  <c r="Y203" i="26"/>
  <c r="X203" i="26"/>
  <c r="W203" i="26"/>
  <c r="V203" i="26"/>
  <c r="U203" i="26"/>
  <c r="T203" i="26"/>
  <c r="S203" i="26"/>
  <c r="R203" i="26"/>
  <c r="Q203" i="26"/>
  <c r="P203" i="26"/>
  <c r="O203" i="26"/>
  <c r="N203" i="26"/>
  <c r="M203" i="26"/>
  <c r="L203" i="26"/>
  <c r="K203" i="26"/>
  <c r="J203" i="26"/>
  <c r="I203" i="26"/>
  <c r="H203" i="26"/>
  <c r="G203" i="26"/>
  <c r="F203" i="26"/>
  <c r="E203" i="26"/>
  <c r="D203" i="26"/>
  <c r="CP199" i="26"/>
  <c r="AS199" i="26"/>
  <c r="AR199" i="26"/>
  <c r="AQ199" i="26"/>
  <c r="AP199" i="26"/>
  <c r="AO199" i="26"/>
  <c r="AN199" i="26"/>
  <c r="AM199" i="26"/>
  <c r="AL199" i="26"/>
  <c r="AK199" i="26"/>
  <c r="AJ199" i="26"/>
  <c r="AI199" i="26"/>
  <c r="AH199" i="26"/>
  <c r="AG199" i="26"/>
  <c r="AF199" i="26"/>
  <c r="AE199" i="26"/>
  <c r="AD199" i="26"/>
  <c r="AC199" i="26"/>
  <c r="AB199" i="26"/>
  <c r="AA199" i="26"/>
  <c r="Z199" i="26"/>
  <c r="Y199" i="26"/>
  <c r="X199" i="26"/>
  <c r="W199" i="26"/>
  <c r="V199" i="26"/>
  <c r="U199" i="26"/>
  <c r="T199" i="26"/>
  <c r="S199" i="26"/>
  <c r="R199" i="26"/>
  <c r="Q199" i="26"/>
  <c r="P199" i="26"/>
  <c r="O199" i="26"/>
  <c r="N199" i="26"/>
  <c r="M199" i="26"/>
  <c r="L199" i="26"/>
  <c r="K199" i="26"/>
  <c r="J199" i="26"/>
  <c r="I199" i="26"/>
  <c r="H199" i="26"/>
  <c r="AS197" i="26"/>
  <c r="AR197" i="26"/>
  <c r="AQ197" i="26"/>
  <c r="AP197" i="26"/>
  <c r="AO197" i="26"/>
  <c r="AN197" i="26"/>
  <c r="AM197" i="26"/>
  <c r="AL197" i="26"/>
  <c r="AK197" i="26"/>
  <c r="AJ197" i="26"/>
  <c r="AI197" i="26"/>
  <c r="AH197" i="26"/>
  <c r="AG197" i="26"/>
  <c r="AF197" i="26"/>
  <c r="AE197" i="26"/>
  <c r="AD197" i="26"/>
  <c r="AC197" i="26"/>
  <c r="AB197" i="26"/>
  <c r="AA197" i="26"/>
  <c r="Z197" i="26"/>
  <c r="Y197" i="26"/>
  <c r="X197" i="26"/>
  <c r="W197" i="26"/>
  <c r="V197" i="26"/>
  <c r="U197" i="26"/>
  <c r="T197" i="26"/>
  <c r="S197" i="26"/>
  <c r="R197" i="26"/>
  <c r="Q197" i="26"/>
  <c r="P197" i="26"/>
  <c r="O197" i="26"/>
  <c r="N197" i="26"/>
  <c r="M197" i="26"/>
  <c r="L197" i="26"/>
  <c r="AS190" i="26"/>
  <c r="AR190" i="26"/>
  <c r="AQ190" i="26"/>
  <c r="AP190" i="26"/>
  <c r="AO190" i="26"/>
  <c r="AN190" i="26"/>
  <c r="AM190" i="26"/>
  <c r="AL190" i="26"/>
  <c r="AK190" i="26"/>
  <c r="AJ190" i="26"/>
  <c r="AI190" i="26"/>
  <c r="AH190" i="26"/>
  <c r="AG190" i="26"/>
  <c r="AF190" i="26"/>
  <c r="AE190" i="26"/>
  <c r="AD190" i="26"/>
  <c r="AC190" i="26"/>
  <c r="AB190" i="26"/>
  <c r="AA190" i="26"/>
  <c r="Z190" i="26"/>
  <c r="Y190" i="26"/>
  <c r="X190" i="26"/>
  <c r="W190" i="26"/>
  <c r="V190" i="26"/>
  <c r="U190" i="26"/>
  <c r="T190" i="26"/>
  <c r="S190" i="26"/>
  <c r="R190" i="26"/>
  <c r="Q190" i="26"/>
  <c r="P190" i="26"/>
  <c r="O190" i="26"/>
  <c r="N190" i="26"/>
  <c r="M190" i="26"/>
  <c r="AM188" i="26"/>
  <c r="AM228" i="26" s="1"/>
  <c r="AL188" i="26"/>
  <c r="AL228" i="26" s="1"/>
  <c r="AK188" i="26"/>
  <c r="AK228" i="26" s="1"/>
  <c r="AK231" i="26" s="1"/>
  <c r="AJ188" i="26"/>
  <c r="AJ228" i="26" s="1"/>
  <c r="AI188" i="26"/>
  <c r="AI228" i="26" s="1"/>
  <c r="AH188" i="26"/>
  <c r="AH228" i="26" s="1"/>
  <c r="AH231" i="26" s="1"/>
  <c r="AG188" i="26"/>
  <c r="AG228" i="26" s="1"/>
  <c r="AF188" i="26"/>
  <c r="AF228" i="26" s="1"/>
  <c r="AE188" i="26"/>
  <c r="AE228" i="26" s="1"/>
  <c r="AD188" i="26"/>
  <c r="AD228" i="26" s="1"/>
  <c r="AC188" i="26"/>
  <c r="AC228" i="26" s="1"/>
  <c r="AB188" i="26"/>
  <c r="AB228" i="26" s="1"/>
  <c r="BS228" i="26" s="1"/>
  <c r="AA188" i="26"/>
  <c r="AA228" i="26" s="1"/>
  <c r="Z188" i="26"/>
  <c r="Z228" i="26" s="1"/>
  <c r="Z231" i="26" s="1"/>
  <c r="Y188" i="26"/>
  <c r="Y228" i="26" s="1"/>
  <c r="X188" i="26"/>
  <c r="X228" i="26" s="1"/>
  <c r="W188" i="26"/>
  <c r="W228" i="26" s="1"/>
  <c r="V188" i="26"/>
  <c r="V228" i="26" s="1"/>
  <c r="U188" i="26"/>
  <c r="U228" i="26" s="1"/>
  <c r="T188" i="26"/>
  <c r="T228" i="26" s="1"/>
  <c r="S188" i="26"/>
  <c r="S228" i="26" s="1"/>
  <c r="R188" i="26"/>
  <c r="R228" i="26" s="1"/>
  <c r="Q188" i="26"/>
  <c r="Q228" i="26" s="1"/>
  <c r="P188" i="26"/>
  <c r="P228" i="26" s="1"/>
  <c r="P231" i="26" s="1"/>
  <c r="O188" i="26"/>
  <c r="O228" i="26" s="1"/>
  <c r="N188" i="26"/>
  <c r="N228" i="26" s="1"/>
  <c r="N231" i="26" s="1"/>
  <c r="M188" i="26"/>
  <c r="M228" i="26" s="1"/>
  <c r="L188" i="26"/>
  <c r="L228" i="26" s="1"/>
  <c r="K188" i="26"/>
  <c r="K228" i="26" s="1"/>
  <c r="J188" i="26"/>
  <c r="J228" i="26" s="1"/>
  <c r="I188" i="26"/>
  <c r="I228" i="26" s="1"/>
  <c r="I231" i="26" s="1"/>
  <c r="H188" i="26"/>
  <c r="H228" i="26" s="1"/>
  <c r="AS187" i="26"/>
  <c r="AR187" i="26"/>
  <c r="AQ187" i="26"/>
  <c r="AP187" i="26"/>
  <c r="AO187" i="26"/>
  <c r="AN187" i="26"/>
  <c r="AM187" i="26"/>
  <c r="AL187" i="26"/>
  <c r="AK187" i="26"/>
  <c r="AJ187" i="26"/>
  <c r="AI187" i="26"/>
  <c r="AH187" i="26"/>
  <c r="AG187" i="26"/>
  <c r="AF187" i="26"/>
  <c r="AE187" i="26"/>
  <c r="AD187" i="26"/>
  <c r="AC187" i="26"/>
  <c r="AB187" i="26"/>
  <c r="AA187" i="26"/>
  <c r="Z187" i="26"/>
  <c r="Y187" i="26"/>
  <c r="X187" i="26"/>
  <c r="W187" i="26"/>
  <c r="V187" i="26"/>
  <c r="U187" i="26"/>
  <c r="T187" i="26"/>
  <c r="S187" i="26"/>
  <c r="R187" i="26"/>
  <c r="Q187" i="26"/>
  <c r="P187" i="26"/>
  <c r="O187" i="26"/>
  <c r="N187" i="26"/>
  <c r="M187" i="26"/>
  <c r="L187" i="26"/>
  <c r="AS186" i="26"/>
  <c r="AR186" i="26"/>
  <c r="AQ186" i="26"/>
  <c r="AP186" i="26"/>
  <c r="AO186" i="26"/>
  <c r="AN186" i="26"/>
  <c r="AM186" i="26"/>
  <c r="AL186" i="26"/>
  <c r="AK186" i="26"/>
  <c r="AJ186" i="26"/>
  <c r="AI186" i="26"/>
  <c r="AH186" i="26"/>
  <c r="AG186" i="26"/>
  <c r="AF186" i="26"/>
  <c r="AE186" i="26"/>
  <c r="AD186" i="26"/>
  <c r="AC186" i="26"/>
  <c r="AB186" i="26"/>
  <c r="AA186" i="26"/>
  <c r="Z186" i="26"/>
  <c r="Y186" i="26"/>
  <c r="X186" i="26"/>
  <c r="W186" i="26"/>
  <c r="V186" i="26"/>
  <c r="U186" i="26"/>
  <c r="T186" i="26"/>
  <c r="S186" i="26"/>
  <c r="R186" i="26"/>
  <c r="Q186" i="26"/>
  <c r="P186" i="26"/>
  <c r="O186" i="26"/>
  <c r="AQ285" i="26" s="1"/>
  <c r="N186" i="26"/>
  <c r="AP285" i="26" s="1"/>
  <c r="M186" i="26"/>
  <c r="AO285" i="26" s="1"/>
  <c r="L186" i="26"/>
  <c r="AN285" i="26" s="1"/>
  <c r="K186" i="26"/>
  <c r="J186" i="26"/>
  <c r="I186" i="26"/>
  <c r="CP185" i="26"/>
  <c r="CO185" i="26"/>
  <c r="CN185" i="26"/>
  <c r="CM185" i="26"/>
  <c r="CL185" i="26"/>
  <c r="CK185" i="26"/>
  <c r="BV185" i="26"/>
  <c r="BU185" i="26"/>
  <c r="BT185" i="26"/>
  <c r="BS185" i="26"/>
  <c r="BS188" i="26" s="1"/>
  <c r="BR185" i="26"/>
  <c r="BQ185" i="26"/>
  <c r="BP185" i="26"/>
  <c r="BO185" i="26"/>
  <c r="BN185" i="26"/>
  <c r="BN188" i="26" s="1"/>
  <c r="AS183" i="26"/>
  <c r="AR183" i="26"/>
  <c r="AQ183" i="26"/>
  <c r="AP183" i="26"/>
  <c r="AO183" i="26"/>
  <c r="AN183" i="26"/>
  <c r="AM183" i="26"/>
  <c r="AL183" i="26"/>
  <c r="AK183" i="26"/>
  <c r="AJ183" i="26"/>
  <c r="AI183" i="26"/>
  <c r="AH183" i="26"/>
  <c r="AG183" i="26"/>
  <c r="AF183" i="26"/>
  <c r="AE183" i="26"/>
  <c r="AD183" i="26"/>
  <c r="AC183" i="26"/>
  <c r="AB183" i="26"/>
  <c r="AA183" i="26"/>
  <c r="Z183" i="26"/>
  <c r="Y183" i="26"/>
  <c r="X183" i="26"/>
  <c r="W183" i="26"/>
  <c r="V183" i="26"/>
  <c r="U183" i="26"/>
  <c r="T183" i="26"/>
  <c r="S183" i="26"/>
  <c r="R183" i="26"/>
  <c r="Q183" i="26"/>
  <c r="P183" i="26"/>
  <c r="O183" i="26"/>
  <c r="N183" i="26"/>
  <c r="M183" i="26"/>
  <c r="AM181" i="26"/>
  <c r="AM223" i="26" s="1"/>
  <c r="AM226" i="26" s="1"/>
  <c r="AL181" i="26"/>
  <c r="AL223" i="26" s="1"/>
  <c r="AK181" i="26"/>
  <c r="AK223" i="26" s="1"/>
  <c r="AK226" i="26" s="1"/>
  <c r="AJ181" i="26"/>
  <c r="AJ223" i="26" s="1"/>
  <c r="BU223" i="26" s="1"/>
  <c r="AI181" i="26"/>
  <c r="AI223" i="26" s="1"/>
  <c r="AH181" i="26"/>
  <c r="AH223" i="26" s="1"/>
  <c r="AG181" i="26"/>
  <c r="AG223" i="26" s="1"/>
  <c r="AG226" i="26" s="1"/>
  <c r="AF181" i="26"/>
  <c r="AF223" i="26" s="1"/>
  <c r="BT223" i="26" s="1"/>
  <c r="AE181" i="26"/>
  <c r="AE223" i="26" s="1"/>
  <c r="AD181" i="26"/>
  <c r="AD223" i="26" s="1"/>
  <c r="AC181" i="26"/>
  <c r="AC223" i="26" s="1"/>
  <c r="AC226" i="26" s="1"/>
  <c r="AB181" i="26"/>
  <c r="AB223" i="26" s="1"/>
  <c r="AA181" i="26"/>
  <c r="AA223" i="26" s="1"/>
  <c r="Z181" i="26"/>
  <c r="Z223" i="26" s="1"/>
  <c r="Z226" i="26" s="1"/>
  <c r="Y181" i="26"/>
  <c r="Y223" i="26" s="1"/>
  <c r="Y226" i="26" s="1"/>
  <c r="X181" i="26"/>
  <c r="X223" i="26" s="1"/>
  <c r="W181" i="26"/>
  <c r="W223" i="26" s="1"/>
  <c r="V181" i="26"/>
  <c r="V223" i="26" s="1"/>
  <c r="U181" i="26"/>
  <c r="U223" i="26" s="1"/>
  <c r="T181" i="26"/>
  <c r="T223" i="26" s="1"/>
  <c r="S181" i="26"/>
  <c r="S223" i="26" s="1"/>
  <c r="R181" i="26"/>
  <c r="R223" i="26" s="1"/>
  <c r="Q181" i="26"/>
  <c r="Q223" i="26" s="1"/>
  <c r="Q226" i="26" s="1"/>
  <c r="P181" i="26"/>
  <c r="P223" i="26" s="1"/>
  <c r="O181" i="26"/>
  <c r="O223" i="26" s="1"/>
  <c r="O226" i="26" s="1"/>
  <c r="N181" i="26"/>
  <c r="N223" i="26" s="1"/>
  <c r="N226" i="26" s="1"/>
  <c r="M181" i="26"/>
  <c r="M223" i="26" s="1"/>
  <c r="L181" i="26"/>
  <c r="L223" i="26" s="1"/>
  <c r="K181" i="26"/>
  <c r="K223" i="26" s="1"/>
  <c r="J181" i="26"/>
  <c r="J223" i="26" s="1"/>
  <c r="I181" i="26"/>
  <c r="I223" i="26" s="1"/>
  <c r="I226" i="26" s="1"/>
  <c r="H181" i="26"/>
  <c r="H223" i="26" s="1"/>
  <c r="BN223" i="26" s="1"/>
  <c r="AS180" i="26"/>
  <c r="AR180" i="26"/>
  <c r="AQ180" i="26"/>
  <c r="AP180" i="26"/>
  <c r="AO180" i="26"/>
  <c r="AN180" i="26"/>
  <c r="AM180" i="26"/>
  <c r="AL180" i="26"/>
  <c r="AK180" i="26"/>
  <c r="AJ180" i="26"/>
  <c r="AI180" i="26"/>
  <c r="AH180" i="26"/>
  <c r="AG180" i="26"/>
  <c r="AF180" i="26"/>
  <c r="AE180" i="26"/>
  <c r="AD180" i="26"/>
  <c r="AC180" i="26"/>
  <c r="AB180" i="26"/>
  <c r="AA180" i="26"/>
  <c r="Z180" i="26"/>
  <c r="Y180" i="26"/>
  <c r="X180" i="26"/>
  <c r="W180" i="26"/>
  <c r="V180" i="26"/>
  <c r="U180" i="26"/>
  <c r="T180" i="26"/>
  <c r="S180" i="26"/>
  <c r="R180" i="26"/>
  <c r="Q180" i="26"/>
  <c r="P180" i="26"/>
  <c r="O180" i="26"/>
  <c r="N180" i="26"/>
  <c r="M180" i="26"/>
  <c r="L180" i="26"/>
  <c r="AS179" i="26"/>
  <c r="AR179" i="26"/>
  <c r="AQ179" i="26"/>
  <c r="AP179" i="26"/>
  <c r="AO179" i="26"/>
  <c r="AN179" i="26"/>
  <c r="AM179" i="26"/>
  <c r="AL179" i="26"/>
  <c r="AK179" i="26"/>
  <c r="AJ179" i="26"/>
  <c r="AI179" i="26"/>
  <c r="AH179" i="26"/>
  <c r="AG179" i="26"/>
  <c r="AF179" i="26"/>
  <c r="AE179" i="26"/>
  <c r="AD179" i="26"/>
  <c r="AC179" i="26"/>
  <c r="AB179" i="26"/>
  <c r="AA179" i="26"/>
  <c r="Z179" i="26"/>
  <c r="Y179" i="26"/>
  <c r="X179" i="26"/>
  <c r="W179" i="26"/>
  <c r="V179" i="26"/>
  <c r="U179" i="26"/>
  <c r="T179" i="26"/>
  <c r="S179" i="26"/>
  <c r="R179" i="26"/>
  <c r="Q179" i="26"/>
  <c r="P179" i="26"/>
  <c r="O179" i="26"/>
  <c r="AQ284" i="26" s="1"/>
  <c r="N179" i="26"/>
  <c r="M179" i="26"/>
  <c r="AO284" i="26" s="1"/>
  <c r="L179" i="26"/>
  <c r="AN284" i="26" s="1"/>
  <c r="K179" i="26"/>
  <c r="J179" i="26"/>
  <c r="I179" i="26"/>
  <c r="CP178" i="26"/>
  <c r="CO178" i="26"/>
  <c r="CN178" i="26"/>
  <c r="CM178" i="26"/>
  <c r="CL178" i="26"/>
  <c r="CK178" i="26"/>
  <c r="BV178" i="26"/>
  <c r="BU178" i="26"/>
  <c r="BT178" i="26"/>
  <c r="BT181" i="26" s="1"/>
  <c r="BS178" i="26"/>
  <c r="BS181" i="26" s="1"/>
  <c r="BR178" i="26"/>
  <c r="BQ178" i="26"/>
  <c r="BP178" i="26"/>
  <c r="BO178" i="26"/>
  <c r="BN178" i="26"/>
  <c r="AS176" i="26"/>
  <c r="AR176" i="26"/>
  <c r="AQ176" i="26"/>
  <c r="AP176" i="26"/>
  <c r="AO176" i="26"/>
  <c r="AN176" i="26"/>
  <c r="AM176" i="26"/>
  <c r="AL176" i="26"/>
  <c r="AK176" i="26"/>
  <c r="AJ176" i="26"/>
  <c r="AI176" i="26"/>
  <c r="AH176" i="26"/>
  <c r="AG176" i="26"/>
  <c r="AF176" i="26"/>
  <c r="AE176" i="26"/>
  <c r="AD176" i="26"/>
  <c r="AC176" i="26"/>
  <c r="AB176" i="26"/>
  <c r="AA176" i="26"/>
  <c r="Z176" i="26"/>
  <c r="Y176" i="26"/>
  <c r="X176" i="26"/>
  <c r="W176" i="26"/>
  <c r="V176" i="26"/>
  <c r="U176" i="26"/>
  <c r="T176" i="26"/>
  <c r="S176" i="26"/>
  <c r="R176" i="26"/>
  <c r="Q176" i="26"/>
  <c r="P176" i="26"/>
  <c r="O176" i="26"/>
  <c r="N176" i="26"/>
  <c r="M176" i="26"/>
  <c r="AM174" i="26"/>
  <c r="AM218" i="26" s="1"/>
  <c r="AL174" i="26"/>
  <c r="AL218" i="26" s="1"/>
  <c r="AL221" i="26" s="1"/>
  <c r="AK174" i="26"/>
  <c r="AK218" i="26" s="1"/>
  <c r="AK221" i="26" s="1"/>
  <c r="AJ174" i="26"/>
  <c r="AJ218" i="26" s="1"/>
  <c r="BU218" i="26" s="1"/>
  <c r="AI174" i="26"/>
  <c r="AI218" i="26" s="1"/>
  <c r="AH174" i="26"/>
  <c r="AH218" i="26" s="1"/>
  <c r="AG174" i="26"/>
  <c r="AG218" i="26" s="1"/>
  <c r="AF174" i="26"/>
  <c r="AF218" i="26" s="1"/>
  <c r="BT218" i="26" s="1"/>
  <c r="AE174" i="26"/>
  <c r="AE218" i="26" s="1"/>
  <c r="AE221" i="26" s="1"/>
  <c r="AD174" i="26"/>
  <c r="AD218" i="26" s="1"/>
  <c r="AD221" i="26" s="1"/>
  <c r="AC174" i="26"/>
  <c r="AC218" i="26" s="1"/>
  <c r="AB174" i="26"/>
  <c r="AB218" i="26" s="1"/>
  <c r="AA174" i="26"/>
  <c r="AA218" i="26" s="1"/>
  <c r="Z174" i="26"/>
  <c r="Z218" i="26" s="1"/>
  <c r="Y174" i="26"/>
  <c r="Y218" i="26" s="1"/>
  <c r="Y221" i="26" s="1"/>
  <c r="X174" i="26"/>
  <c r="X218" i="26" s="1"/>
  <c r="W174" i="26"/>
  <c r="W218" i="26" s="1"/>
  <c r="V174" i="26"/>
  <c r="V218" i="26" s="1"/>
  <c r="U174" i="26"/>
  <c r="U218" i="26" s="1"/>
  <c r="T174" i="26"/>
  <c r="T218" i="26" s="1"/>
  <c r="S174" i="26"/>
  <c r="S218" i="26" s="1"/>
  <c r="S221" i="26" s="1"/>
  <c r="R174" i="26"/>
  <c r="R218" i="26" s="1"/>
  <c r="Q174" i="26"/>
  <c r="Q218" i="26" s="1"/>
  <c r="Q221" i="26" s="1"/>
  <c r="P174" i="26"/>
  <c r="P218" i="26" s="1"/>
  <c r="BP218" i="26" s="1"/>
  <c r="O174" i="26"/>
  <c r="O218" i="26" s="1"/>
  <c r="N174" i="26"/>
  <c r="N218" i="26" s="1"/>
  <c r="N221" i="26" s="1"/>
  <c r="M174" i="26"/>
  <c r="M218" i="26" s="1"/>
  <c r="L174" i="26"/>
  <c r="L218" i="26" s="1"/>
  <c r="BO218" i="26" s="1"/>
  <c r="K174" i="26"/>
  <c r="K218" i="26" s="1"/>
  <c r="J174" i="26"/>
  <c r="J218" i="26" s="1"/>
  <c r="I174" i="26"/>
  <c r="I218" i="26" s="1"/>
  <c r="H174" i="26"/>
  <c r="H218" i="26" s="1"/>
  <c r="AS173" i="26"/>
  <c r="AR173" i="26"/>
  <c r="AQ173" i="26"/>
  <c r="AP173" i="26"/>
  <c r="AO173" i="26"/>
  <c r="AN173" i="26"/>
  <c r="AM173" i="26"/>
  <c r="AL173" i="26"/>
  <c r="AK173" i="26"/>
  <c r="AJ173" i="26"/>
  <c r="AI173" i="26"/>
  <c r="AH173" i="26"/>
  <c r="AG173" i="26"/>
  <c r="AF173" i="26"/>
  <c r="AE173" i="26"/>
  <c r="AD173" i="26"/>
  <c r="AC173" i="26"/>
  <c r="AB173" i="26"/>
  <c r="AA173" i="26"/>
  <c r="Z173" i="26"/>
  <c r="Y173" i="26"/>
  <c r="X173" i="26"/>
  <c r="W173" i="26"/>
  <c r="V173" i="26"/>
  <c r="U173" i="26"/>
  <c r="T173" i="26"/>
  <c r="S173" i="26"/>
  <c r="R173" i="26"/>
  <c r="Q173" i="26"/>
  <c r="P173" i="26"/>
  <c r="O173" i="26"/>
  <c r="N173" i="26"/>
  <c r="M173" i="26"/>
  <c r="L173" i="26"/>
  <c r="AS172" i="26"/>
  <c r="AR172" i="26"/>
  <c r="AQ172" i="26"/>
  <c r="AP172" i="26"/>
  <c r="AO172" i="26"/>
  <c r="AN172" i="26"/>
  <c r="AM172" i="26"/>
  <c r="AL172" i="26"/>
  <c r="AK172" i="26"/>
  <c r="AJ172" i="26"/>
  <c r="AI172" i="26"/>
  <c r="AH172" i="26"/>
  <c r="AG172" i="26"/>
  <c r="AF172" i="26"/>
  <c r="AE172" i="26"/>
  <c r="AD172" i="26"/>
  <c r="AC172" i="26"/>
  <c r="AB172" i="26"/>
  <c r="AA172" i="26"/>
  <c r="Z172" i="26"/>
  <c r="Y172" i="26"/>
  <c r="X172" i="26"/>
  <c r="W172" i="26"/>
  <c r="V172" i="26"/>
  <c r="U172" i="26"/>
  <c r="T172" i="26"/>
  <c r="S172" i="26"/>
  <c r="R172" i="26"/>
  <c r="Q172" i="26"/>
  <c r="P172" i="26"/>
  <c r="O172" i="26"/>
  <c r="AQ283" i="26" s="1"/>
  <c r="N172" i="26"/>
  <c r="AP283" i="26" s="1"/>
  <c r="M172" i="26"/>
  <c r="AO283" i="26" s="1"/>
  <c r="L172" i="26"/>
  <c r="AN283" i="26" s="1"/>
  <c r="K172" i="26"/>
  <c r="J172" i="26"/>
  <c r="I172" i="26"/>
  <c r="CP171" i="26"/>
  <c r="CO171" i="26"/>
  <c r="CN171" i="26"/>
  <c r="CM171" i="26"/>
  <c r="CL171" i="26"/>
  <c r="CK171" i="26"/>
  <c r="BV171" i="26"/>
  <c r="BU171" i="26"/>
  <c r="BT171" i="26"/>
  <c r="BS171" i="26"/>
  <c r="BR171" i="26"/>
  <c r="BQ171" i="26"/>
  <c r="BQ174" i="26" s="1"/>
  <c r="BP171" i="26"/>
  <c r="BO171" i="26"/>
  <c r="BN171" i="26"/>
  <c r="BN174" i="26" s="1"/>
  <c r="AS169" i="26"/>
  <c r="AR169" i="26"/>
  <c r="AQ169" i="26"/>
  <c r="AP169" i="26"/>
  <c r="AO169" i="26"/>
  <c r="AN169" i="26"/>
  <c r="AM169" i="26"/>
  <c r="AL169" i="26"/>
  <c r="AK169" i="26"/>
  <c r="AJ169" i="26"/>
  <c r="AI169" i="26"/>
  <c r="AH169" i="26"/>
  <c r="AG169" i="26"/>
  <c r="AF169" i="26"/>
  <c r="AE169" i="26"/>
  <c r="AD169" i="26"/>
  <c r="AC169" i="26"/>
  <c r="AB169" i="26"/>
  <c r="AA169" i="26"/>
  <c r="Z169" i="26"/>
  <c r="Y169" i="26"/>
  <c r="X169" i="26"/>
  <c r="AS168" i="26"/>
  <c r="AR168" i="26"/>
  <c r="AQ168" i="26"/>
  <c r="AP168" i="26"/>
  <c r="AO168" i="26"/>
  <c r="AN168" i="26"/>
  <c r="AM168" i="26"/>
  <c r="AL168" i="26"/>
  <c r="AK168" i="26"/>
  <c r="AJ168" i="26"/>
  <c r="AI168" i="26"/>
  <c r="AH168" i="26"/>
  <c r="AG168" i="26"/>
  <c r="AF168" i="26"/>
  <c r="AE168" i="26"/>
  <c r="AD168" i="26"/>
  <c r="AC168" i="26"/>
  <c r="AB168" i="26"/>
  <c r="AA168" i="26"/>
  <c r="Z168" i="26"/>
  <c r="Y168" i="26"/>
  <c r="X168" i="26"/>
  <c r="W168" i="26"/>
  <c r="V168" i="26"/>
  <c r="U168" i="26"/>
  <c r="CP167" i="26"/>
  <c r="CO167" i="26"/>
  <c r="CN167" i="26"/>
  <c r="CM167" i="26"/>
  <c r="CL167" i="26"/>
  <c r="CK167" i="26"/>
  <c r="CJ167" i="26"/>
  <c r="CI167" i="26"/>
  <c r="BV167" i="26"/>
  <c r="BU167" i="26"/>
  <c r="BT167" i="26"/>
  <c r="BS167" i="26"/>
  <c r="BR167" i="26"/>
  <c r="BQ167" i="26"/>
  <c r="AS166" i="26"/>
  <c r="AR166" i="26"/>
  <c r="AQ166" i="26"/>
  <c r="AP166" i="26"/>
  <c r="AO166" i="26"/>
  <c r="AN166" i="26"/>
  <c r="AM166" i="26"/>
  <c r="AL166" i="26"/>
  <c r="AK166" i="26"/>
  <c r="AJ166" i="26"/>
  <c r="AI166" i="26"/>
  <c r="AH166" i="26"/>
  <c r="AG166" i="26"/>
  <c r="AF166" i="26"/>
  <c r="AE166" i="26"/>
  <c r="AD166" i="26"/>
  <c r="AC166" i="26"/>
  <c r="AB166" i="26"/>
  <c r="AA166" i="26"/>
  <c r="Z166" i="26"/>
  <c r="Y166" i="26"/>
  <c r="X166" i="26"/>
  <c r="AS165" i="26"/>
  <c r="AR165" i="26"/>
  <c r="AQ165" i="26"/>
  <c r="AP165" i="26"/>
  <c r="AO165" i="26"/>
  <c r="AN165" i="26"/>
  <c r="AM165" i="26"/>
  <c r="AL165" i="26"/>
  <c r="AK165" i="26"/>
  <c r="AJ165" i="26"/>
  <c r="AI165" i="26"/>
  <c r="AH165" i="26"/>
  <c r="AG165" i="26"/>
  <c r="AF165" i="26"/>
  <c r="AE165" i="26"/>
  <c r="AD165" i="26"/>
  <c r="AC165" i="26"/>
  <c r="AB165" i="26"/>
  <c r="AA165" i="26"/>
  <c r="Z165" i="26"/>
  <c r="Y165" i="26"/>
  <c r="X165" i="26"/>
  <c r="W165" i="26"/>
  <c r="V165" i="26"/>
  <c r="U165" i="26"/>
  <c r="CP164" i="26"/>
  <c r="CO164" i="26"/>
  <c r="CN164" i="26"/>
  <c r="CM164" i="26"/>
  <c r="CL164" i="26"/>
  <c r="CK164" i="26"/>
  <c r="CJ164" i="26"/>
  <c r="CI164" i="26"/>
  <c r="BV164" i="26"/>
  <c r="BU164" i="26"/>
  <c r="BT164" i="26"/>
  <c r="BS164" i="26"/>
  <c r="BR164" i="26"/>
  <c r="BQ164" i="26"/>
  <c r="AS163" i="26"/>
  <c r="AR163" i="26"/>
  <c r="AQ163" i="26"/>
  <c r="AP163" i="26"/>
  <c r="AO163" i="26"/>
  <c r="AN163" i="26"/>
  <c r="AM163" i="26"/>
  <c r="AL163" i="26"/>
  <c r="AK163" i="26"/>
  <c r="AJ163" i="26"/>
  <c r="AI163" i="26"/>
  <c r="AH163" i="26"/>
  <c r="AG163" i="26"/>
  <c r="AF163" i="26"/>
  <c r="AE163" i="26"/>
  <c r="AD163" i="26"/>
  <c r="AC163" i="26"/>
  <c r="AB163" i="26"/>
  <c r="AA163" i="26"/>
  <c r="Z163" i="26"/>
  <c r="Y163" i="26"/>
  <c r="X163" i="26"/>
  <c r="AS162" i="26"/>
  <c r="AR162" i="26"/>
  <c r="AQ162" i="26"/>
  <c r="AP162" i="26"/>
  <c r="AO162" i="26"/>
  <c r="AN162" i="26"/>
  <c r="AM162" i="26"/>
  <c r="AL162" i="26"/>
  <c r="AK162" i="26"/>
  <c r="AJ162" i="26"/>
  <c r="AI162" i="26"/>
  <c r="AH162" i="26"/>
  <c r="AG162" i="26"/>
  <c r="AF162" i="26"/>
  <c r="AE162" i="26"/>
  <c r="AD162" i="26"/>
  <c r="AC162" i="26"/>
  <c r="AB162" i="26"/>
  <c r="AA162" i="26"/>
  <c r="Z162" i="26"/>
  <c r="Y162" i="26"/>
  <c r="X162" i="26"/>
  <c r="W162" i="26"/>
  <c r="V162" i="26"/>
  <c r="U162" i="26"/>
  <c r="CP161" i="26"/>
  <c r="CO161" i="26"/>
  <c r="CN161" i="26"/>
  <c r="CM161" i="26"/>
  <c r="CL161" i="26"/>
  <c r="CK161" i="26"/>
  <c r="CJ161" i="26"/>
  <c r="CI161" i="26"/>
  <c r="BV161" i="26"/>
  <c r="BU161" i="26"/>
  <c r="BT161" i="26"/>
  <c r="BS161" i="26"/>
  <c r="BR161" i="26"/>
  <c r="BQ161" i="26"/>
  <c r="AS160" i="26"/>
  <c r="AR160" i="26"/>
  <c r="AQ160" i="26"/>
  <c r="AP160" i="26"/>
  <c r="AO160" i="26"/>
  <c r="AN160" i="26"/>
  <c r="AM160" i="26"/>
  <c r="AL160" i="26"/>
  <c r="AK160" i="26"/>
  <c r="AJ160" i="26"/>
  <c r="AI160" i="26"/>
  <c r="AH160" i="26"/>
  <c r="AG160" i="26"/>
  <c r="AF160" i="26"/>
  <c r="AE160" i="26"/>
  <c r="AD160" i="26"/>
  <c r="AC160" i="26"/>
  <c r="AB160" i="26"/>
  <c r="AA160" i="26"/>
  <c r="Z160" i="26"/>
  <c r="Y160" i="26"/>
  <c r="X160" i="26"/>
  <c r="AS159" i="26"/>
  <c r="AR159" i="26"/>
  <c r="AQ159" i="26"/>
  <c r="AP159" i="26"/>
  <c r="AO159" i="26"/>
  <c r="AN159" i="26"/>
  <c r="AM159" i="26"/>
  <c r="AL159" i="26"/>
  <c r="AK159" i="26"/>
  <c r="AJ159" i="26"/>
  <c r="AI159" i="26"/>
  <c r="AH159" i="26"/>
  <c r="AG159" i="26"/>
  <c r="AF159" i="26"/>
  <c r="AE159" i="26"/>
  <c r="AD159" i="26"/>
  <c r="AC159" i="26"/>
  <c r="AB159" i="26"/>
  <c r="AA159" i="26"/>
  <c r="Z159" i="26"/>
  <c r="Y159" i="26"/>
  <c r="X159" i="26"/>
  <c r="W159" i="26"/>
  <c r="V159" i="26"/>
  <c r="U159" i="26"/>
  <c r="CP158" i="26"/>
  <c r="CO158" i="26"/>
  <c r="CN158" i="26"/>
  <c r="CM158" i="26"/>
  <c r="CL158" i="26"/>
  <c r="CK158" i="26"/>
  <c r="CJ158" i="26"/>
  <c r="CI158" i="26"/>
  <c r="BV158" i="26"/>
  <c r="BU158" i="26"/>
  <c r="BT158" i="26"/>
  <c r="BS158" i="26"/>
  <c r="BR158" i="26"/>
  <c r="BQ158" i="26"/>
  <c r="AS157" i="26"/>
  <c r="AR157" i="26"/>
  <c r="AQ157" i="26"/>
  <c r="AP157" i="26"/>
  <c r="AO157" i="26"/>
  <c r="AN157" i="26"/>
  <c r="AM157" i="26"/>
  <c r="AL157" i="26"/>
  <c r="AK157" i="26"/>
  <c r="AJ157" i="26"/>
  <c r="AI157" i="26"/>
  <c r="AH157" i="26"/>
  <c r="AG157" i="26"/>
  <c r="AF157" i="26"/>
  <c r="AE157" i="26"/>
  <c r="AD157" i="26"/>
  <c r="AC157" i="26"/>
  <c r="AB157" i="26"/>
  <c r="AA157" i="26"/>
  <c r="Z157" i="26"/>
  <c r="Y157" i="26"/>
  <c r="X157" i="26"/>
  <c r="W157" i="26"/>
  <c r="V157" i="26"/>
  <c r="U157" i="26"/>
  <c r="T157" i="26"/>
  <c r="S157" i="26"/>
  <c r="R157" i="26"/>
  <c r="Q157" i="26"/>
  <c r="P157" i="26"/>
  <c r="O157" i="26"/>
  <c r="N157" i="26"/>
  <c r="M157" i="26"/>
  <c r="CP156" i="26"/>
  <c r="CO156" i="26"/>
  <c r="CN156" i="26"/>
  <c r="CM156" i="26"/>
  <c r="CL156" i="26"/>
  <c r="CK156" i="26"/>
  <c r="CJ156" i="26"/>
  <c r="CI156" i="26"/>
  <c r="BV156" i="26"/>
  <c r="K154" i="26"/>
  <c r="K207" i="26" s="1"/>
  <c r="J154" i="26"/>
  <c r="J213" i="26" s="1"/>
  <c r="J233" i="26" s="1"/>
  <c r="I154" i="26"/>
  <c r="I207" i="26" s="1"/>
  <c r="H154" i="26"/>
  <c r="H213" i="26" s="1"/>
  <c r="H216" i="26" s="1"/>
  <c r="AS155" i="26"/>
  <c r="AR155" i="26"/>
  <c r="AQ155" i="26"/>
  <c r="AP155" i="26"/>
  <c r="AO155" i="26"/>
  <c r="AN155" i="26"/>
  <c r="AM155" i="26"/>
  <c r="AL155" i="26"/>
  <c r="AK155" i="26"/>
  <c r="AJ155" i="26"/>
  <c r="AI155" i="26"/>
  <c r="AH155" i="26"/>
  <c r="AG155" i="26"/>
  <c r="AF155" i="26"/>
  <c r="AE155" i="26"/>
  <c r="AD155" i="26"/>
  <c r="AC155" i="26"/>
  <c r="AB155" i="26"/>
  <c r="AA155" i="26"/>
  <c r="Z155" i="26"/>
  <c r="Y155" i="26"/>
  <c r="X155" i="26"/>
  <c r="W155" i="26"/>
  <c r="V155" i="26"/>
  <c r="U155" i="26"/>
  <c r="T155" i="26"/>
  <c r="S155" i="26"/>
  <c r="R155" i="26"/>
  <c r="Q155" i="26"/>
  <c r="P155" i="26"/>
  <c r="O155" i="26"/>
  <c r="N155" i="26"/>
  <c r="M155" i="26"/>
  <c r="L155" i="26"/>
  <c r="AM154" i="26"/>
  <c r="AL154" i="26"/>
  <c r="AL213" i="26" s="1"/>
  <c r="AK154" i="26"/>
  <c r="AK213" i="26" s="1"/>
  <c r="AK233" i="26" s="1"/>
  <c r="AJ154" i="26"/>
  <c r="AJ207" i="26" s="1"/>
  <c r="AI154" i="26"/>
  <c r="AH154" i="26"/>
  <c r="AH213" i="26" s="1"/>
  <c r="AG154" i="26"/>
  <c r="AG213" i="26" s="1"/>
  <c r="AF154" i="26"/>
  <c r="AF207" i="26" s="1"/>
  <c r="AE154" i="26"/>
  <c r="AD154" i="26"/>
  <c r="AD213" i="26" s="1"/>
  <c r="AD216" i="26" s="1"/>
  <c r="AC154" i="26"/>
  <c r="AC213" i="26" s="1"/>
  <c r="AB154" i="26"/>
  <c r="AB207" i="26" s="1"/>
  <c r="AA154" i="26"/>
  <c r="Z154" i="26"/>
  <c r="Z213" i="26" s="1"/>
  <c r="Z233" i="26" s="1"/>
  <c r="Y154" i="26"/>
  <c r="Y213" i="26" s="1"/>
  <c r="X154" i="26"/>
  <c r="X207" i="26" s="1"/>
  <c r="W154" i="26"/>
  <c r="V154" i="26"/>
  <c r="V213" i="26" s="1"/>
  <c r="V233" i="26" s="1"/>
  <c r="U154" i="26"/>
  <c r="U213" i="26" s="1"/>
  <c r="T154" i="26"/>
  <c r="T207" i="26" s="1"/>
  <c r="S154" i="26"/>
  <c r="R154" i="26"/>
  <c r="R213" i="26" s="1"/>
  <c r="R233" i="26" s="1"/>
  <c r="Q154" i="26"/>
  <c r="Q213" i="26" s="1"/>
  <c r="Q233" i="26" s="1"/>
  <c r="P154" i="26"/>
  <c r="P207" i="26" s="1"/>
  <c r="O154" i="26"/>
  <c r="N154" i="26"/>
  <c r="N213" i="26" s="1"/>
  <c r="N216" i="26" s="1"/>
  <c r="M154" i="26"/>
  <c r="M213" i="26" s="1"/>
  <c r="M216" i="26" s="1"/>
  <c r="L154" i="26"/>
  <c r="L207" i="26" s="1"/>
  <c r="AS153" i="26"/>
  <c r="AR153" i="26"/>
  <c r="AQ153" i="26"/>
  <c r="AP153" i="26"/>
  <c r="AO153" i="26"/>
  <c r="AN153" i="26"/>
  <c r="AM153" i="26"/>
  <c r="AL153" i="26"/>
  <c r="AK153" i="26"/>
  <c r="AJ153" i="26"/>
  <c r="AI153" i="26"/>
  <c r="AH153" i="26"/>
  <c r="AG153" i="26"/>
  <c r="AF153" i="26"/>
  <c r="AE153" i="26"/>
  <c r="AD153" i="26"/>
  <c r="AC153" i="26"/>
  <c r="AB153" i="26"/>
  <c r="AA153" i="26"/>
  <c r="Z153" i="26"/>
  <c r="Y153" i="26"/>
  <c r="X153" i="26"/>
  <c r="W153" i="26"/>
  <c r="V153" i="26"/>
  <c r="U153" i="26"/>
  <c r="T153" i="26"/>
  <c r="S153" i="26"/>
  <c r="R153" i="26"/>
  <c r="Q153" i="26"/>
  <c r="P153" i="26"/>
  <c r="O153" i="26"/>
  <c r="N153" i="26"/>
  <c r="M153" i="26"/>
  <c r="L153" i="26"/>
  <c r="AS152" i="26"/>
  <c r="AR152" i="26"/>
  <c r="AQ152" i="26"/>
  <c r="AP152" i="26"/>
  <c r="AO152" i="26"/>
  <c r="AN152" i="26"/>
  <c r="AM152" i="26"/>
  <c r="AL152" i="26"/>
  <c r="AK152" i="26"/>
  <c r="AJ152" i="26"/>
  <c r="AI152" i="26"/>
  <c r="AH152" i="26"/>
  <c r="AG152" i="26"/>
  <c r="AF152" i="26"/>
  <c r="AE152" i="26"/>
  <c r="AD152" i="26"/>
  <c r="AC152" i="26"/>
  <c r="AB152" i="26"/>
  <c r="AA152" i="26"/>
  <c r="Z152" i="26"/>
  <c r="Y152" i="26"/>
  <c r="X152" i="26"/>
  <c r="W152" i="26"/>
  <c r="V152" i="26"/>
  <c r="U152" i="26"/>
  <c r="T152" i="26"/>
  <c r="S152" i="26"/>
  <c r="R152" i="26"/>
  <c r="Q152" i="26"/>
  <c r="P152" i="26"/>
  <c r="O152" i="26"/>
  <c r="AQ282" i="26" s="1"/>
  <c r="N152" i="26"/>
  <c r="M152" i="26"/>
  <c r="AO282" i="26" s="1"/>
  <c r="L152" i="26"/>
  <c r="AN282" i="26" s="1"/>
  <c r="K152" i="26"/>
  <c r="J152" i="26"/>
  <c r="I152" i="26"/>
  <c r="CP151" i="26"/>
  <c r="CO151" i="26"/>
  <c r="CN151" i="26"/>
  <c r="CM151" i="26"/>
  <c r="CL151" i="26"/>
  <c r="CK151" i="26"/>
  <c r="CJ151" i="26"/>
  <c r="CI151" i="26"/>
  <c r="BV151" i="26"/>
  <c r="BU151" i="26"/>
  <c r="BT151" i="26"/>
  <c r="BS151" i="26"/>
  <c r="BR151" i="26"/>
  <c r="BQ151" i="26"/>
  <c r="BP151" i="26"/>
  <c r="BO151" i="26"/>
  <c r="BN151" i="26"/>
  <c r="CA132" i="26"/>
  <c r="BZ132" i="26"/>
  <c r="BX132" i="26"/>
  <c r="BW132" i="26"/>
  <c r="BV132" i="26"/>
  <c r="BM132" i="26"/>
  <c r="AY132" i="26"/>
  <c r="AX132" i="26"/>
  <c r="AT132" i="26"/>
  <c r="AS132" i="26"/>
  <c r="AR132" i="26"/>
  <c r="AQ132" i="26"/>
  <c r="AP132" i="26"/>
  <c r="AO132" i="26"/>
  <c r="AN132" i="26"/>
  <c r="AM132" i="26"/>
  <c r="AL132" i="26"/>
  <c r="AK132" i="26"/>
  <c r="AJ132" i="26"/>
  <c r="AI132" i="26"/>
  <c r="AH132" i="26"/>
  <c r="AG132" i="26"/>
  <c r="AF132" i="26"/>
  <c r="AE132" i="26"/>
  <c r="AD132" i="26"/>
  <c r="AC132" i="26"/>
  <c r="AB132" i="26"/>
  <c r="AA132" i="26"/>
  <c r="Z132" i="26"/>
  <c r="Y132" i="26"/>
  <c r="X132" i="26"/>
  <c r="W132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AS126" i="26"/>
  <c r="AS139" i="26" s="1"/>
  <c r="AR126" i="26"/>
  <c r="AR139" i="26" s="1"/>
  <c r="AQ126" i="26"/>
  <c r="AP126" i="26"/>
  <c r="AP134" i="26" s="1"/>
  <c r="AO126" i="26"/>
  <c r="AN126" i="26"/>
  <c r="AL126" i="26"/>
  <c r="AK126" i="26"/>
  <c r="AK133" i="26" s="1"/>
  <c r="AJ126" i="26"/>
  <c r="AI126" i="26"/>
  <c r="AI133" i="26" s="1"/>
  <c r="AH126" i="26"/>
  <c r="AG126" i="26"/>
  <c r="AG140" i="26" s="1"/>
  <c r="AF126" i="26"/>
  <c r="AE126" i="26"/>
  <c r="AE139" i="26" s="1"/>
  <c r="AD126" i="26"/>
  <c r="AC126" i="26"/>
  <c r="AC138" i="26" s="1"/>
  <c r="AB126" i="26"/>
  <c r="AA126" i="26"/>
  <c r="AA136" i="26" s="1"/>
  <c r="Z126" i="26"/>
  <c r="Y126" i="26"/>
  <c r="Y136" i="26" s="1"/>
  <c r="X126" i="26"/>
  <c r="V126" i="26"/>
  <c r="V139" i="26" s="1"/>
  <c r="U126" i="26"/>
  <c r="T126" i="26"/>
  <c r="T135" i="26" s="1"/>
  <c r="R126" i="26"/>
  <c r="Q126" i="26"/>
  <c r="Q136" i="26" s="1"/>
  <c r="P126" i="26"/>
  <c r="N126" i="26"/>
  <c r="M126" i="26"/>
  <c r="L126" i="26"/>
  <c r="L138" i="26" s="1"/>
  <c r="J126" i="26"/>
  <c r="J138" i="26" s="1"/>
  <c r="I126" i="26"/>
  <c r="I136" i="26" s="1"/>
  <c r="H126" i="26"/>
  <c r="F126" i="26"/>
  <c r="AM125" i="26"/>
  <c r="BU125" i="26" s="1"/>
  <c r="AM124" i="26"/>
  <c r="BU124" i="26" s="1"/>
  <c r="AM123" i="26"/>
  <c r="BU123" i="26" s="1"/>
  <c r="AM122" i="26"/>
  <c r="BU122" i="26" s="1"/>
  <c r="AM121" i="26"/>
  <c r="BU121" i="26" s="1"/>
  <c r="AM120" i="26"/>
  <c r="BU120" i="26" s="1"/>
  <c r="AM119" i="26"/>
  <c r="AM118" i="26"/>
  <c r="W125" i="26"/>
  <c r="BQ125" i="26" s="1"/>
  <c r="W124" i="26"/>
  <c r="BQ124" i="26" s="1"/>
  <c r="W123" i="26"/>
  <c r="BQ123" i="26" s="1"/>
  <c r="W122" i="26"/>
  <c r="BQ122" i="26" s="1"/>
  <c r="W121" i="26"/>
  <c r="BQ121" i="26" s="1"/>
  <c r="W120" i="26"/>
  <c r="BQ120" i="26" s="1"/>
  <c r="W119" i="26"/>
  <c r="W118" i="26"/>
  <c r="S125" i="26"/>
  <c r="S124" i="26"/>
  <c r="BP124" i="26" s="1"/>
  <c r="S123" i="26"/>
  <c r="BP123" i="26" s="1"/>
  <c r="S122" i="26"/>
  <c r="BP122" i="26" s="1"/>
  <c r="S121" i="26"/>
  <c r="BP121" i="26" s="1"/>
  <c r="S120" i="26"/>
  <c r="BP120" i="26" s="1"/>
  <c r="S119" i="26"/>
  <c r="S118" i="26"/>
  <c r="O125" i="26"/>
  <c r="BO125" i="26" s="1"/>
  <c r="O124" i="26"/>
  <c r="BO124" i="26" s="1"/>
  <c r="O123" i="26"/>
  <c r="BO123" i="26" s="1"/>
  <c r="O122" i="26"/>
  <c r="BO122" i="26" s="1"/>
  <c r="O121" i="26"/>
  <c r="BO121" i="26" s="1"/>
  <c r="O120" i="26"/>
  <c r="BO120" i="26" s="1"/>
  <c r="O119" i="26"/>
  <c r="O118" i="26"/>
  <c r="K125" i="26"/>
  <c r="BN125" i="26" s="1"/>
  <c r="K124" i="26"/>
  <c r="BN124" i="26" s="1"/>
  <c r="K123" i="26"/>
  <c r="BN123" i="26" s="1"/>
  <c r="K122" i="26"/>
  <c r="BN122" i="26" s="1"/>
  <c r="K121" i="26"/>
  <c r="BN121" i="26" s="1"/>
  <c r="K120" i="26"/>
  <c r="BN120" i="26" s="1"/>
  <c r="K119" i="26"/>
  <c r="K118" i="26"/>
  <c r="G124" i="26"/>
  <c r="G123" i="26"/>
  <c r="G122" i="26"/>
  <c r="G121" i="26"/>
  <c r="G120" i="26"/>
  <c r="G119" i="26"/>
  <c r="G118" i="26"/>
  <c r="E125" i="26"/>
  <c r="E126" i="26" s="1"/>
  <c r="E139" i="26" s="1"/>
  <c r="D125" i="26"/>
  <c r="B125" i="26"/>
  <c r="B124" i="26"/>
  <c r="B123" i="26"/>
  <c r="B122" i="26"/>
  <c r="B121" i="26"/>
  <c r="B120" i="26"/>
  <c r="B119" i="26"/>
  <c r="BT125" i="26"/>
  <c r="BS125" i="26"/>
  <c r="BR125" i="26"/>
  <c r="BT124" i="26"/>
  <c r="BS124" i="26"/>
  <c r="BR124" i="26"/>
  <c r="BT123" i="26"/>
  <c r="BS123" i="26"/>
  <c r="BR123" i="26"/>
  <c r="BT122" i="26"/>
  <c r="BS122" i="26"/>
  <c r="BR122" i="26"/>
  <c r="BT121" i="26"/>
  <c r="BS121" i="26"/>
  <c r="BR121" i="26"/>
  <c r="BT120" i="26"/>
  <c r="BS120" i="26"/>
  <c r="BR120" i="26"/>
  <c r="BT119" i="26"/>
  <c r="BS119" i="26"/>
  <c r="BR119" i="26"/>
  <c r="CA118" i="26"/>
  <c r="BZ118" i="26"/>
  <c r="BX118" i="26"/>
  <c r="BW118" i="26"/>
  <c r="BV118" i="26"/>
  <c r="BU118" i="26"/>
  <c r="BT118" i="26"/>
  <c r="BS118" i="26"/>
  <c r="BR118" i="26"/>
  <c r="BQ118" i="26"/>
  <c r="BP118" i="26"/>
  <c r="BO118" i="26"/>
  <c r="BN118" i="26"/>
  <c r="BM118" i="26"/>
  <c r="AY118" i="26"/>
  <c r="AX118" i="26"/>
  <c r="AT118" i="26"/>
  <c r="AS118" i="26"/>
  <c r="AR118" i="26"/>
  <c r="AQ118" i="26"/>
  <c r="AP118" i="26"/>
  <c r="AO118" i="26"/>
  <c r="AN118" i="26"/>
  <c r="AL118" i="26"/>
  <c r="AK118" i="26"/>
  <c r="AJ118" i="26"/>
  <c r="AI118" i="26"/>
  <c r="AH118" i="26"/>
  <c r="AG118" i="26"/>
  <c r="AF118" i="26"/>
  <c r="AE118" i="26"/>
  <c r="AD118" i="26"/>
  <c r="AC118" i="26"/>
  <c r="AB118" i="26"/>
  <c r="AA118" i="26"/>
  <c r="Z118" i="26"/>
  <c r="Y118" i="26"/>
  <c r="X118" i="26"/>
  <c r="V118" i="26"/>
  <c r="U118" i="26"/>
  <c r="T118" i="26"/>
  <c r="R118" i="26"/>
  <c r="Q118" i="26"/>
  <c r="P118" i="26"/>
  <c r="N118" i="26"/>
  <c r="M118" i="26"/>
  <c r="L118" i="26"/>
  <c r="J118" i="26"/>
  <c r="I118" i="26"/>
  <c r="H118" i="26"/>
  <c r="F118" i="26"/>
  <c r="E118" i="26"/>
  <c r="D118" i="26"/>
  <c r="B102" i="26"/>
  <c r="BU100" i="26"/>
  <c r="AT100" i="26"/>
  <c r="AS100" i="26"/>
  <c r="AR100" i="26"/>
  <c r="AQ100" i="26"/>
  <c r="AP100" i="26"/>
  <c r="AO100" i="26"/>
  <c r="AN100" i="26"/>
  <c r="AT99" i="26"/>
  <c r="AS99" i="26"/>
  <c r="AR99" i="26"/>
  <c r="AQ99" i="26"/>
  <c r="AP99" i="26"/>
  <c r="AO99" i="26"/>
  <c r="AN99" i="26"/>
  <c r="AT98" i="26"/>
  <c r="AS98" i="26"/>
  <c r="AR98" i="26"/>
  <c r="AQ98" i="26"/>
  <c r="AP98" i="26"/>
  <c r="AO98" i="26"/>
  <c r="AN98" i="26"/>
  <c r="BV97" i="26"/>
  <c r="B97" i="26"/>
  <c r="BU95" i="26"/>
  <c r="AT95" i="26"/>
  <c r="AS95" i="26"/>
  <c r="AR95" i="26"/>
  <c r="AQ95" i="26"/>
  <c r="AP95" i="26"/>
  <c r="AO95" i="26"/>
  <c r="AN95" i="26"/>
  <c r="AT94" i="26"/>
  <c r="AS94" i="26"/>
  <c r="AR94" i="26"/>
  <c r="AQ94" i="26"/>
  <c r="AP94" i="26"/>
  <c r="AO94" i="26"/>
  <c r="AN94" i="26"/>
  <c r="AT93" i="26"/>
  <c r="AS93" i="26"/>
  <c r="AR93" i="26"/>
  <c r="AQ93" i="26"/>
  <c r="AP93" i="26"/>
  <c r="AO93" i="26"/>
  <c r="AN93" i="26"/>
  <c r="BV92" i="26"/>
  <c r="B92" i="26"/>
  <c r="BU90" i="26"/>
  <c r="AT90" i="26"/>
  <c r="AS90" i="26"/>
  <c r="AR90" i="26"/>
  <c r="AQ90" i="26"/>
  <c r="AP90" i="26"/>
  <c r="AO90" i="26"/>
  <c r="AN90" i="26"/>
  <c r="AT89" i="26"/>
  <c r="AS89" i="26"/>
  <c r="AR89" i="26"/>
  <c r="AQ89" i="26"/>
  <c r="AP89" i="26"/>
  <c r="AO89" i="26"/>
  <c r="AN89" i="26"/>
  <c r="AT88" i="26"/>
  <c r="AS88" i="26"/>
  <c r="AR88" i="26"/>
  <c r="AQ88" i="26"/>
  <c r="AP88" i="26"/>
  <c r="AO88" i="26"/>
  <c r="AN88" i="26"/>
  <c r="BV87" i="26"/>
  <c r="B87" i="26"/>
  <c r="CA85" i="26"/>
  <c r="BZ85" i="26"/>
  <c r="BX85" i="26"/>
  <c r="BW85" i="26"/>
  <c r="BV85" i="26"/>
  <c r="BU85" i="26"/>
  <c r="BT85" i="26"/>
  <c r="BS85" i="26"/>
  <c r="BR85" i="26"/>
  <c r="BQ85" i="26"/>
  <c r="BP85" i="26"/>
  <c r="BO85" i="26"/>
  <c r="BN85" i="26"/>
  <c r="BM85" i="26"/>
  <c r="AY85" i="26"/>
  <c r="AX85" i="26"/>
  <c r="AT85" i="26"/>
  <c r="AS85" i="26"/>
  <c r="AQ85" i="26"/>
  <c r="AP85" i="26"/>
  <c r="AO85" i="26"/>
  <c r="AN85" i="26"/>
  <c r="AM85" i="26"/>
  <c r="AL85" i="26"/>
  <c r="AK85" i="26"/>
  <c r="AJ85" i="26"/>
  <c r="AI85" i="26"/>
  <c r="AH85" i="26"/>
  <c r="AG85" i="26"/>
  <c r="AF85" i="26"/>
  <c r="AE85" i="26"/>
  <c r="AD85" i="26"/>
  <c r="AC85" i="26"/>
  <c r="AB85" i="26"/>
  <c r="AA85" i="26"/>
  <c r="Z85" i="26"/>
  <c r="Y85" i="26"/>
  <c r="X85" i="26"/>
  <c r="W85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AT77" i="26"/>
  <c r="AS77" i="26"/>
  <c r="AR77" i="26"/>
  <c r="AR269" i="26" s="1"/>
  <c r="AQ77" i="26"/>
  <c r="AQ269" i="26" s="1"/>
  <c r="AP77" i="26"/>
  <c r="AO77" i="26"/>
  <c r="AN77" i="26"/>
  <c r="AN269" i="26" s="1"/>
  <c r="CL73" i="26"/>
  <c r="CK73" i="26"/>
  <c r="BU73" i="26"/>
  <c r="BU55" i="26" s="1"/>
  <c r="AS73" i="26"/>
  <c r="AR73" i="26"/>
  <c r="AR11" i="26" s="1"/>
  <c r="AQ73" i="26"/>
  <c r="AP73" i="26"/>
  <c r="AP154" i="26" s="1"/>
  <c r="AO73" i="26"/>
  <c r="AN73" i="26"/>
  <c r="AN74" i="26" s="1"/>
  <c r="AS71" i="26"/>
  <c r="AS156" i="31" s="1"/>
  <c r="AR71" i="26"/>
  <c r="AR156" i="31" s="1"/>
  <c r="AQ71" i="26"/>
  <c r="AQ156" i="31" s="1"/>
  <c r="AP71" i="26"/>
  <c r="AP156" i="31" s="1"/>
  <c r="AO71" i="26"/>
  <c r="AO156" i="31" s="1"/>
  <c r="AN71" i="26"/>
  <c r="AN156" i="31" s="1"/>
  <c r="B70" i="26"/>
  <c r="B69" i="26"/>
  <c r="B68" i="26"/>
  <c r="B67" i="26"/>
  <c r="AS64" i="26"/>
  <c r="AR64" i="26"/>
  <c r="AQ64" i="26"/>
  <c r="AP64" i="26"/>
  <c r="AO64" i="26"/>
  <c r="AN64" i="26"/>
  <c r="BV63" i="26"/>
  <c r="AT63" i="26"/>
  <c r="AT59" i="26"/>
  <c r="B63" i="26"/>
  <c r="AS61" i="26"/>
  <c r="AR61" i="26"/>
  <c r="AQ61" i="26"/>
  <c r="AP61" i="26"/>
  <c r="AO61" i="26"/>
  <c r="AN61" i="26"/>
  <c r="AS60" i="26"/>
  <c r="AR60" i="26"/>
  <c r="AQ60" i="26"/>
  <c r="AP60" i="26"/>
  <c r="AO60" i="26"/>
  <c r="AN60" i="26"/>
  <c r="CN59" i="26"/>
  <c r="CM59" i="26"/>
  <c r="CL59" i="26"/>
  <c r="CK59" i="26"/>
  <c r="BV59" i="26"/>
  <c r="AT57" i="26"/>
  <c r="AS57" i="26"/>
  <c r="AR57" i="26"/>
  <c r="AQ57" i="26"/>
  <c r="AP57" i="26"/>
  <c r="AO57" i="26"/>
  <c r="AN57" i="26"/>
  <c r="BX56" i="26"/>
  <c r="BW56" i="26"/>
  <c r="BV56" i="26"/>
  <c r="B56" i="26"/>
  <c r="AT54" i="26"/>
  <c r="AS54" i="26"/>
  <c r="AR54" i="26"/>
  <c r="AQ54" i="26"/>
  <c r="AP54" i="26"/>
  <c r="AO54" i="26"/>
  <c r="AN54" i="26"/>
  <c r="AT53" i="26"/>
  <c r="AS53" i="26"/>
  <c r="AR53" i="26"/>
  <c r="AQ53" i="26"/>
  <c r="AP53" i="26"/>
  <c r="AO53" i="26"/>
  <c r="AN53" i="26"/>
  <c r="CN52" i="26"/>
  <c r="CM52" i="26"/>
  <c r="CL52" i="26"/>
  <c r="CK52" i="26"/>
  <c r="BV52" i="26"/>
  <c r="BV54" i="26" s="1"/>
  <c r="AT50" i="26"/>
  <c r="AS50" i="26"/>
  <c r="AR50" i="26"/>
  <c r="AQ50" i="26"/>
  <c r="AP50" i="26"/>
  <c r="AO50" i="26"/>
  <c r="BV49" i="26"/>
  <c r="B49" i="26"/>
  <c r="AT47" i="26"/>
  <c r="AS47" i="26"/>
  <c r="AR47" i="26"/>
  <c r="AT46" i="26"/>
  <c r="AS46" i="26"/>
  <c r="AR46" i="26"/>
  <c r="AQ46" i="26"/>
  <c r="AP46" i="26"/>
  <c r="AO46" i="26"/>
  <c r="CN45" i="26"/>
  <c r="CM45" i="26"/>
  <c r="CL45" i="26"/>
  <c r="CK45" i="26"/>
  <c r="BV45" i="26"/>
  <c r="AS43" i="26"/>
  <c r="AR43" i="26"/>
  <c r="AS42" i="26"/>
  <c r="AR42" i="26"/>
  <c r="AQ42" i="26"/>
  <c r="AP42" i="26"/>
  <c r="AO42" i="26"/>
  <c r="CN41" i="26"/>
  <c r="CM41" i="26"/>
  <c r="CL41" i="26"/>
  <c r="CK41" i="26"/>
  <c r="CJ41" i="26"/>
  <c r="CI41" i="26"/>
  <c r="BV41" i="26"/>
  <c r="AT41" i="26"/>
  <c r="AT43" i="26" s="1"/>
  <c r="AS40" i="26"/>
  <c r="AR40" i="26"/>
  <c r="AS39" i="26"/>
  <c r="AR39" i="26"/>
  <c r="AQ39" i="26"/>
  <c r="AP39" i="26"/>
  <c r="AO39" i="26"/>
  <c r="CN38" i="26"/>
  <c r="CM38" i="26"/>
  <c r="CL38" i="26"/>
  <c r="CK38" i="26"/>
  <c r="CJ38" i="26"/>
  <c r="CI38" i="26"/>
  <c r="BV38" i="26"/>
  <c r="AT38" i="26"/>
  <c r="AS37" i="26"/>
  <c r="AR37" i="26"/>
  <c r="AS36" i="26"/>
  <c r="AR36" i="26"/>
  <c r="AQ36" i="26"/>
  <c r="AP36" i="26"/>
  <c r="AO36" i="26"/>
  <c r="CN35" i="26"/>
  <c r="CM35" i="26"/>
  <c r="CL35" i="26"/>
  <c r="CK35" i="26"/>
  <c r="CJ35" i="26"/>
  <c r="CI35" i="26"/>
  <c r="BV35" i="26"/>
  <c r="AT35" i="26"/>
  <c r="BW35" i="26" s="1"/>
  <c r="AS34" i="26"/>
  <c r="AR34" i="26"/>
  <c r="AS33" i="26"/>
  <c r="AR33" i="26"/>
  <c r="AQ33" i="26"/>
  <c r="AP33" i="26"/>
  <c r="AO33" i="26"/>
  <c r="CN32" i="26"/>
  <c r="CM32" i="26"/>
  <c r="CL32" i="26"/>
  <c r="CK32" i="26"/>
  <c r="CJ32" i="26"/>
  <c r="CI32" i="26"/>
  <c r="BV32" i="26"/>
  <c r="AT32" i="26"/>
  <c r="AT31" i="26"/>
  <c r="AS31" i="26"/>
  <c r="AR31" i="26"/>
  <c r="AQ31" i="26"/>
  <c r="AP31" i="26"/>
  <c r="AO31" i="26"/>
  <c r="CN30" i="26"/>
  <c r="CM30" i="26"/>
  <c r="CL30" i="26"/>
  <c r="CK30" i="26"/>
  <c r="CJ30" i="26"/>
  <c r="CI30" i="26"/>
  <c r="BV30" i="26"/>
  <c r="B30" i="26"/>
  <c r="AT29" i="26"/>
  <c r="AS29" i="26"/>
  <c r="AR29" i="26"/>
  <c r="AQ29" i="26"/>
  <c r="AP29" i="26"/>
  <c r="AO29" i="26"/>
  <c r="AN29" i="26"/>
  <c r="AT10" i="26"/>
  <c r="AS10" i="26"/>
  <c r="AR10" i="26"/>
  <c r="AT9" i="26"/>
  <c r="AS9" i="26"/>
  <c r="AR9" i="26"/>
  <c r="AQ9" i="26"/>
  <c r="AP9" i="26"/>
  <c r="AO9" i="26"/>
  <c r="CN8" i="26"/>
  <c r="CM8" i="26"/>
  <c r="CL8" i="26"/>
  <c r="CK8" i="26"/>
  <c r="CJ8" i="26"/>
  <c r="CI8" i="26"/>
  <c r="BV8" i="26"/>
  <c r="AT157" i="33"/>
  <c r="AS157" i="33"/>
  <c r="AM157" i="33"/>
  <c r="AT80" i="33"/>
  <c r="AS80" i="33"/>
  <c r="AR80" i="33"/>
  <c r="AQ80" i="33"/>
  <c r="AP80" i="33"/>
  <c r="AO80" i="33"/>
  <c r="AN80" i="33"/>
  <c r="AM80" i="33"/>
  <c r="AL80" i="33"/>
  <c r="AK80" i="33"/>
  <c r="AJ80" i="33"/>
  <c r="AI80" i="33"/>
  <c r="AH80" i="33"/>
  <c r="AG80" i="33"/>
  <c r="AF80" i="33"/>
  <c r="AE80" i="33"/>
  <c r="AD80" i="33"/>
  <c r="AC80" i="33"/>
  <c r="AB80" i="33"/>
  <c r="AA80" i="33"/>
  <c r="Z80" i="33"/>
  <c r="Y80" i="33"/>
  <c r="X80" i="33"/>
  <c r="W80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E80" i="33"/>
  <c r="D80" i="33"/>
  <c r="D78" i="33" s="1"/>
  <c r="D77" i="33" s="1"/>
  <c r="D81" i="33" s="1"/>
  <c r="AT71" i="33"/>
  <c r="AS71" i="33"/>
  <c r="AR71" i="33"/>
  <c r="AQ71" i="33"/>
  <c r="AP71" i="33"/>
  <c r="AO71" i="33"/>
  <c r="AN71" i="33"/>
  <c r="AM71" i="33"/>
  <c r="AL71" i="33"/>
  <c r="AK71" i="33"/>
  <c r="AJ71" i="33"/>
  <c r="AI71" i="33"/>
  <c r="AH71" i="33"/>
  <c r="AG71" i="33"/>
  <c r="AF71" i="33"/>
  <c r="AE71" i="33"/>
  <c r="AD71" i="33"/>
  <c r="AC71" i="33"/>
  <c r="AB71" i="33"/>
  <c r="AA71" i="33"/>
  <c r="Z71" i="33"/>
  <c r="Y71" i="33"/>
  <c r="X71" i="33"/>
  <c r="W71" i="33"/>
  <c r="V71" i="33"/>
  <c r="U71" i="33"/>
  <c r="T71" i="33"/>
  <c r="S71" i="33"/>
  <c r="R71" i="33"/>
  <c r="Q71" i="33"/>
  <c r="P71" i="33"/>
  <c r="O71" i="33"/>
  <c r="N71" i="33"/>
  <c r="M71" i="33"/>
  <c r="L71" i="33"/>
  <c r="K71" i="33"/>
  <c r="J71" i="33"/>
  <c r="I71" i="33"/>
  <c r="H71" i="33"/>
  <c r="G71" i="33"/>
  <c r="F71" i="33"/>
  <c r="E71" i="33"/>
  <c r="D71" i="33"/>
  <c r="D68" i="33"/>
  <c r="D69" i="33" s="1"/>
  <c r="BX65" i="33"/>
  <c r="AT62" i="33"/>
  <c r="AT64" i="33" s="1"/>
  <c r="AS62" i="33"/>
  <c r="AS64" i="33" s="1"/>
  <c r="AR62" i="33"/>
  <c r="AR64" i="33" s="1"/>
  <c r="AQ62" i="33"/>
  <c r="AQ64" i="33" s="1"/>
  <c r="AP62" i="33"/>
  <c r="AP64" i="33" s="1"/>
  <c r="AO62" i="33"/>
  <c r="AO64" i="33" s="1"/>
  <c r="AN62" i="33"/>
  <c r="AN64" i="33" s="1"/>
  <c r="AM62" i="33"/>
  <c r="AM64" i="33" s="1"/>
  <c r="AL62" i="33"/>
  <c r="AL64" i="33" s="1"/>
  <c r="AK62" i="33"/>
  <c r="AK64" i="33" s="1"/>
  <c r="AJ62" i="33"/>
  <c r="AJ64" i="33" s="1"/>
  <c r="AI62" i="33"/>
  <c r="AI64" i="33" s="1"/>
  <c r="AH62" i="33"/>
  <c r="AH64" i="33" s="1"/>
  <c r="AG62" i="33"/>
  <c r="AG64" i="33" s="1"/>
  <c r="AF62" i="33"/>
  <c r="AF64" i="33" s="1"/>
  <c r="AE62" i="33"/>
  <c r="AE64" i="33" s="1"/>
  <c r="AD62" i="33"/>
  <c r="AD64" i="33" s="1"/>
  <c r="AC62" i="33"/>
  <c r="AC64" i="33" s="1"/>
  <c r="AB62" i="33"/>
  <c r="AB64" i="33" s="1"/>
  <c r="AA62" i="33"/>
  <c r="AA64" i="33" s="1"/>
  <c r="Z62" i="33"/>
  <c r="Z64" i="33" s="1"/>
  <c r="Y62" i="33"/>
  <c r="Y64" i="33" s="1"/>
  <c r="X62" i="33"/>
  <c r="X64" i="33" s="1"/>
  <c r="W62" i="33"/>
  <c r="W64" i="33" s="1"/>
  <c r="V62" i="33"/>
  <c r="V64" i="33" s="1"/>
  <c r="U62" i="33"/>
  <c r="U64" i="33" s="1"/>
  <c r="T62" i="33"/>
  <c r="T64" i="33" s="1"/>
  <c r="S62" i="33"/>
  <c r="S64" i="33" s="1"/>
  <c r="R62" i="33"/>
  <c r="R64" i="33" s="1"/>
  <c r="Q62" i="33"/>
  <c r="Q64" i="33" s="1"/>
  <c r="P62" i="33"/>
  <c r="P64" i="33" s="1"/>
  <c r="O62" i="33"/>
  <c r="O64" i="33" s="1"/>
  <c r="N62" i="33"/>
  <c r="N64" i="33" s="1"/>
  <c r="M62" i="33"/>
  <c r="M64" i="33" s="1"/>
  <c r="L62" i="33"/>
  <c r="L64" i="33" s="1"/>
  <c r="K62" i="33"/>
  <c r="K64" i="33" s="1"/>
  <c r="J62" i="33"/>
  <c r="J64" i="33" s="1"/>
  <c r="I62" i="33"/>
  <c r="I64" i="33" s="1"/>
  <c r="H62" i="33"/>
  <c r="H64" i="33" s="1"/>
  <c r="G62" i="33"/>
  <c r="G64" i="33" s="1"/>
  <c r="F62" i="33"/>
  <c r="F64" i="33" s="1"/>
  <c r="E62" i="33"/>
  <c r="E66" i="33" s="1"/>
  <c r="D62" i="33"/>
  <c r="D64" i="33" s="1"/>
  <c r="AS56" i="33"/>
  <c r="AR56" i="33"/>
  <c r="AQ56" i="33"/>
  <c r="AP56" i="33"/>
  <c r="AO56" i="33"/>
  <c r="AN56" i="33"/>
  <c r="AM56" i="33"/>
  <c r="AL56" i="33"/>
  <c r="AK56" i="33"/>
  <c r="AJ56" i="33"/>
  <c r="AI56" i="33"/>
  <c r="AH56" i="33"/>
  <c r="AG56" i="33"/>
  <c r="AF56" i="33"/>
  <c r="AE56" i="33"/>
  <c r="AD56" i="33"/>
  <c r="AC56" i="33"/>
  <c r="AB56" i="33"/>
  <c r="AA56" i="33"/>
  <c r="Z56" i="33"/>
  <c r="Y56" i="33"/>
  <c r="X56" i="33"/>
  <c r="W56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D57" i="33" s="1"/>
  <c r="AS54" i="33"/>
  <c r="AT51" i="33" s="1"/>
  <c r="AQ54" i="33"/>
  <c r="AP54" i="33"/>
  <c r="AO54" i="33"/>
  <c r="AN54" i="33"/>
  <c r="AM54" i="33"/>
  <c r="AL54" i="33"/>
  <c r="AK54" i="33"/>
  <c r="AJ54" i="33"/>
  <c r="AI54" i="33"/>
  <c r="AH54" i="33"/>
  <c r="AG54" i="33"/>
  <c r="AF54" i="33"/>
  <c r="AE54" i="33"/>
  <c r="AD54" i="33"/>
  <c r="AC54" i="33"/>
  <c r="AB54" i="33"/>
  <c r="AA54" i="33"/>
  <c r="Z54" i="33"/>
  <c r="Y54" i="33"/>
  <c r="X54" i="33"/>
  <c r="W54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BX52" i="33"/>
  <c r="BW52" i="33"/>
  <c r="BV52" i="33"/>
  <c r="BU52" i="33"/>
  <c r="BT52" i="33"/>
  <c r="BS52" i="33"/>
  <c r="BR52" i="33"/>
  <c r="BP52" i="33"/>
  <c r="BO52" i="33"/>
  <c r="BN52" i="33"/>
  <c r="BM52" i="33"/>
  <c r="BM51" i="33"/>
  <c r="BX49" i="33"/>
  <c r="BW49" i="33"/>
  <c r="BV49" i="33"/>
  <c r="BU49" i="33"/>
  <c r="BT49" i="33"/>
  <c r="BS49" i="33"/>
  <c r="BR49" i="33"/>
  <c r="BQ49" i="33"/>
  <c r="BP49" i="33"/>
  <c r="BO49" i="33"/>
  <c r="BN49" i="33"/>
  <c r="BM49" i="33"/>
  <c r="AT47" i="33"/>
  <c r="AS47" i="33"/>
  <c r="AR47" i="33"/>
  <c r="AQ47" i="33"/>
  <c r="AP47" i="33"/>
  <c r="AO47" i="33"/>
  <c r="AN47" i="33"/>
  <c r="AM47" i="33"/>
  <c r="AL47" i="33"/>
  <c r="AK47" i="33"/>
  <c r="AJ47" i="33"/>
  <c r="AI47" i="33"/>
  <c r="AH47" i="33"/>
  <c r="AG47" i="33"/>
  <c r="AF47" i="33"/>
  <c r="AE47" i="33"/>
  <c r="AD47" i="33"/>
  <c r="AC47" i="33"/>
  <c r="AB47" i="33"/>
  <c r="AA47" i="33"/>
  <c r="Z47" i="33"/>
  <c r="Y47" i="33"/>
  <c r="X47" i="33"/>
  <c r="W47" i="33"/>
  <c r="V47" i="33"/>
  <c r="U47" i="33"/>
  <c r="T47" i="33"/>
  <c r="S47" i="33"/>
  <c r="R47" i="33"/>
  <c r="Q47" i="33"/>
  <c r="P47" i="33"/>
  <c r="O47" i="33"/>
  <c r="N47" i="33"/>
  <c r="M47" i="33"/>
  <c r="L47" i="33"/>
  <c r="K47" i="33"/>
  <c r="J47" i="33"/>
  <c r="I47" i="33"/>
  <c r="H47" i="33"/>
  <c r="G47" i="33"/>
  <c r="F47" i="33"/>
  <c r="E47" i="33"/>
  <c r="D47" i="33"/>
  <c r="BV46" i="33"/>
  <c r="BU46" i="33"/>
  <c r="BT46" i="33"/>
  <c r="BS46" i="33"/>
  <c r="BR46" i="33"/>
  <c r="BQ46" i="33"/>
  <c r="BP46" i="33"/>
  <c r="BO46" i="33"/>
  <c r="BN46" i="33"/>
  <c r="BM46" i="33"/>
  <c r="BV45" i="33"/>
  <c r="BU45" i="33"/>
  <c r="BT45" i="33"/>
  <c r="BS45" i="33"/>
  <c r="BR45" i="33"/>
  <c r="BQ45" i="33"/>
  <c r="BP45" i="33"/>
  <c r="BO45" i="33"/>
  <c r="BN45" i="33"/>
  <c r="BM45" i="33"/>
  <c r="BV44" i="33"/>
  <c r="BU44" i="33"/>
  <c r="BT44" i="33"/>
  <c r="BS44" i="33"/>
  <c r="BR44" i="33"/>
  <c r="BQ44" i="33"/>
  <c r="BP44" i="33"/>
  <c r="BO44" i="33"/>
  <c r="BN44" i="33"/>
  <c r="BM44" i="33"/>
  <c r="BW45" i="33"/>
  <c r="BX43" i="33"/>
  <c r="BW43" i="33"/>
  <c r="BV43" i="33"/>
  <c r="BU43" i="33"/>
  <c r="BT43" i="33"/>
  <c r="BS43" i="33"/>
  <c r="BR43" i="33"/>
  <c r="BQ43" i="33"/>
  <c r="BP43" i="33"/>
  <c r="BO43" i="33"/>
  <c r="BN43" i="33"/>
  <c r="BM43" i="33"/>
  <c r="BX42" i="33"/>
  <c r="BW42" i="33"/>
  <c r="BV42" i="33"/>
  <c r="BU42" i="33"/>
  <c r="BT42" i="33"/>
  <c r="BS42" i="33"/>
  <c r="BR42" i="33"/>
  <c r="BQ42" i="33"/>
  <c r="BP42" i="33"/>
  <c r="BO42" i="33"/>
  <c r="BN42" i="33"/>
  <c r="BM42" i="33"/>
  <c r="BX41" i="33"/>
  <c r="BW41" i="33"/>
  <c r="BV41" i="33"/>
  <c r="BU41" i="33"/>
  <c r="BU47" i="33" s="1"/>
  <c r="BT41" i="33"/>
  <c r="BS41" i="33"/>
  <c r="BR41" i="33"/>
  <c r="BR47" i="33" s="1"/>
  <c r="BQ41" i="33"/>
  <c r="BP41" i="33"/>
  <c r="BO41" i="33"/>
  <c r="BN41" i="33"/>
  <c r="BM41" i="33"/>
  <c r="BM47" i="33"/>
  <c r="AT38" i="33"/>
  <c r="AS38" i="33"/>
  <c r="AR38" i="33"/>
  <c r="AQ38" i="33"/>
  <c r="AP38" i="33"/>
  <c r="AO38" i="33"/>
  <c r="AN38" i="33"/>
  <c r="AM38" i="33"/>
  <c r="AL38" i="33"/>
  <c r="AK38" i="33"/>
  <c r="AJ38" i="33"/>
  <c r="AI38" i="33"/>
  <c r="AH38" i="33"/>
  <c r="AG38" i="33"/>
  <c r="AF38" i="33"/>
  <c r="AE38" i="33"/>
  <c r="AD38" i="33"/>
  <c r="AC38" i="33"/>
  <c r="AB38" i="33"/>
  <c r="AA38" i="33"/>
  <c r="Z38" i="33"/>
  <c r="Y38" i="33"/>
  <c r="X38" i="33"/>
  <c r="W38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BV37" i="33"/>
  <c r="BU37" i="33"/>
  <c r="BT37" i="33"/>
  <c r="BS37" i="33"/>
  <c r="BR37" i="33"/>
  <c r="BQ37" i="33"/>
  <c r="BP37" i="33"/>
  <c r="BO37" i="33"/>
  <c r="BN37" i="33"/>
  <c r="BM37" i="33"/>
  <c r="BX36" i="33"/>
  <c r="BW36" i="33"/>
  <c r="BV36" i="33"/>
  <c r="BU36" i="33"/>
  <c r="BT36" i="33"/>
  <c r="BS36" i="33"/>
  <c r="BR36" i="33"/>
  <c r="BQ36" i="33"/>
  <c r="BP36" i="33"/>
  <c r="BO36" i="33"/>
  <c r="BN36" i="33"/>
  <c r="BM36" i="33"/>
  <c r="BX35" i="33"/>
  <c r="BW35" i="33"/>
  <c r="BV35" i="33"/>
  <c r="BU35" i="33"/>
  <c r="BT35" i="33"/>
  <c r="BS35" i="33"/>
  <c r="BR35" i="33"/>
  <c r="BQ35" i="33"/>
  <c r="BP35" i="33"/>
  <c r="BO35" i="33"/>
  <c r="BN35" i="33"/>
  <c r="BM35" i="33"/>
  <c r="BX34" i="33"/>
  <c r="BW34" i="33"/>
  <c r="BV34" i="33"/>
  <c r="BU34" i="33"/>
  <c r="BT34" i="33"/>
  <c r="BS34" i="33"/>
  <c r="BR34" i="33"/>
  <c r="BQ34" i="33"/>
  <c r="BP34" i="33"/>
  <c r="BO34" i="33"/>
  <c r="BN34" i="33"/>
  <c r="BM34" i="33"/>
  <c r="BX33" i="33"/>
  <c r="BW33" i="33"/>
  <c r="BV33" i="33"/>
  <c r="BU33" i="33"/>
  <c r="BT33" i="33"/>
  <c r="BS33" i="33"/>
  <c r="BR33" i="33"/>
  <c r="BQ33" i="33"/>
  <c r="BP33" i="33"/>
  <c r="BO33" i="33"/>
  <c r="BN33" i="33"/>
  <c r="BM33" i="33"/>
  <c r="BX32" i="33"/>
  <c r="BW32" i="33"/>
  <c r="BV32" i="33"/>
  <c r="BU32" i="33"/>
  <c r="BT32" i="33"/>
  <c r="BS32" i="33"/>
  <c r="BR32" i="33"/>
  <c r="BQ32" i="33"/>
  <c r="BP32" i="33"/>
  <c r="BO32" i="33"/>
  <c r="BN32" i="33"/>
  <c r="BM32" i="33"/>
  <c r="BX31" i="33"/>
  <c r="BW31" i="33"/>
  <c r="BV31" i="33"/>
  <c r="BU31" i="33"/>
  <c r="BT31" i="33"/>
  <c r="BT38" i="33" s="1"/>
  <c r="BS31" i="33"/>
  <c r="BR31" i="33"/>
  <c r="BQ31" i="33"/>
  <c r="BP31" i="33"/>
  <c r="BO31" i="33"/>
  <c r="BN31" i="33"/>
  <c r="BM31" i="33"/>
  <c r="BV30" i="33"/>
  <c r="BV62" i="33" s="1"/>
  <c r="BU30" i="33"/>
  <c r="BT30" i="33"/>
  <c r="BT62" i="33"/>
  <c r="BS30" i="33"/>
  <c r="BS62" i="33" s="1"/>
  <c r="BR30" i="33"/>
  <c r="BR62" i="33" s="1"/>
  <c r="BQ30" i="33"/>
  <c r="BP30" i="33"/>
  <c r="BP62" i="33"/>
  <c r="BO30" i="33"/>
  <c r="BN30" i="33"/>
  <c r="BN62" i="33" s="1"/>
  <c r="BM30" i="33"/>
  <c r="BV26" i="33"/>
  <c r="BU26" i="33"/>
  <c r="BT26" i="33"/>
  <c r="BS26" i="33"/>
  <c r="BR26" i="33"/>
  <c r="BQ26" i="33"/>
  <c r="BP26" i="33"/>
  <c r="BO26" i="33"/>
  <c r="BN26" i="33"/>
  <c r="BM26" i="33"/>
  <c r="BV25" i="33"/>
  <c r="BU25" i="33"/>
  <c r="BT25" i="33"/>
  <c r="BS25" i="33"/>
  <c r="BR25" i="33"/>
  <c r="BQ25" i="33"/>
  <c r="BP25" i="33"/>
  <c r="BO25" i="33"/>
  <c r="BN25" i="33"/>
  <c r="BM25" i="33"/>
  <c r="BV24" i="33"/>
  <c r="BU24" i="33"/>
  <c r="BT24" i="33"/>
  <c r="BS24" i="33"/>
  <c r="BR24" i="33"/>
  <c r="BQ24" i="33"/>
  <c r="BP24" i="33"/>
  <c r="BO24" i="33"/>
  <c r="BN24" i="33"/>
  <c r="BM24" i="33"/>
  <c r="BV23" i="33"/>
  <c r="BU23" i="33"/>
  <c r="BT23" i="33"/>
  <c r="BS23" i="33"/>
  <c r="BR23" i="33"/>
  <c r="BQ23" i="33"/>
  <c r="BP23" i="33"/>
  <c r="BO23" i="33"/>
  <c r="BN23" i="33"/>
  <c r="BM23" i="33"/>
  <c r="BV22" i="33"/>
  <c r="BU22" i="33"/>
  <c r="BT22" i="33"/>
  <c r="BS22" i="33"/>
  <c r="BR22" i="33"/>
  <c r="BQ22" i="33"/>
  <c r="BP22" i="33"/>
  <c r="BO22" i="33"/>
  <c r="BN22" i="33"/>
  <c r="BM22" i="33"/>
  <c r="BV21" i="33"/>
  <c r="BU21" i="33"/>
  <c r="BT21" i="33"/>
  <c r="BS21" i="33"/>
  <c r="BR21" i="33"/>
  <c r="BQ21" i="33"/>
  <c r="BP21" i="33"/>
  <c r="BO21" i="33"/>
  <c r="BN21" i="33"/>
  <c r="BM21" i="33"/>
  <c r="BV20" i="33"/>
  <c r="BU20" i="33"/>
  <c r="BT20" i="33"/>
  <c r="BS20" i="33"/>
  <c r="BR20" i="33"/>
  <c r="BQ20" i="33"/>
  <c r="BP20" i="33"/>
  <c r="BO20" i="33"/>
  <c r="BN20" i="33"/>
  <c r="BM20" i="33"/>
  <c r="BV19" i="33"/>
  <c r="BU19" i="33"/>
  <c r="BT19" i="33"/>
  <c r="BS19" i="33"/>
  <c r="BR19" i="33"/>
  <c r="BQ19" i="33"/>
  <c r="BP19" i="33"/>
  <c r="BO19" i="33"/>
  <c r="BN19" i="33"/>
  <c r="BM19" i="33"/>
  <c r="BW17" i="33"/>
  <c r="BV17" i="33"/>
  <c r="BU17" i="33"/>
  <c r="BT17" i="33"/>
  <c r="BS17" i="33"/>
  <c r="BR17" i="33"/>
  <c r="BQ17" i="33"/>
  <c r="BP17" i="33"/>
  <c r="BO17" i="33"/>
  <c r="BN17" i="33"/>
  <c r="BM17" i="33"/>
  <c r="BW16" i="33"/>
  <c r="BV16" i="33"/>
  <c r="BU16" i="33"/>
  <c r="BT16" i="33"/>
  <c r="BS16" i="33"/>
  <c r="BR16" i="33"/>
  <c r="BQ16" i="33"/>
  <c r="BP16" i="33"/>
  <c r="BO16" i="33"/>
  <c r="BN16" i="33"/>
  <c r="BM16" i="33"/>
  <c r="BW15" i="33"/>
  <c r="BV15" i="33"/>
  <c r="BU15" i="33"/>
  <c r="BT15" i="33"/>
  <c r="BS15" i="33"/>
  <c r="BR15" i="33"/>
  <c r="BQ15" i="33"/>
  <c r="BP15" i="33"/>
  <c r="BO15" i="33"/>
  <c r="BN15" i="33"/>
  <c r="BM15" i="33"/>
  <c r="BW14" i="33"/>
  <c r="BV14" i="33"/>
  <c r="BU14" i="33"/>
  <c r="BT14" i="33"/>
  <c r="BS14" i="33"/>
  <c r="BR14" i="33"/>
  <c r="BQ14" i="33"/>
  <c r="BP14" i="33"/>
  <c r="BO14" i="33"/>
  <c r="BN14" i="33"/>
  <c r="BM14" i="33"/>
  <c r="BW13" i="33"/>
  <c r="BW65" i="33"/>
  <c r="BV13" i="33"/>
  <c r="BV65" i="33" s="1"/>
  <c r="BU13" i="33"/>
  <c r="BU65" i="33" s="1"/>
  <c r="BT13" i="33"/>
  <c r="BT65" i="33" s="1"/>
  <c r="BS13" i="33"/>
  <c r="BS65" i="33" s="1"/>
  <c r="BR13" i="33"/>
  <c r="BR65" i="33" s="1"/>
  <c r="BQ13" i="33"/>
  <c r="BQ65" i="33" s="1"/>
  <c r="BP13" i="33"/>
  <c r="BP65" i="33" s="1"/>
  <c r="BO13" i="33"/>
  <c r="BO65" i="33" s="1"/>
  <c r="BN13" i="33"/>
  <c r="BN65" i="33" s="1"/>
  <c r="BM13" i="33"/>
  <c r="BM65" i="33" s="1"/>
  <c r="BW12" i="33"/>
  <c r="BV12" i="33"/>
  <c r="BU12" i="33"/>
  <c r="BT12" i="33"/>
  <c r="BS12" i="33"/>
  <c r="BR12" i="33"/>
  <c r="BQ12" i="33"/>
  <c r="BP12" i="33"/>
  <c r="BO12" i="33"/>
  <c r="BN12" i="33"/>
  <c r="BM12" i="33"/>
  <c r="BV11" i="33"/>
  <c r="BU11" i="33"/>
  <c r="BT11" i="33"/>
  <c r="BS11" i="33"/>
  <c r="BR11" i="33"/>
  <c r="BQ11" i="33"/>
  <c r="BP11" i="33"/>
  <c r="BO11" i="33"/>
  <c r="BN11" i="33"/>
  <c r="BM11" i="33"/>
  <c r="BV10" i="33"/>
  <c r="BV80" i="33"/>
  <c r="BU10" i="33"/>
  <c r="BU80" i="33"/>
  <c r="BT10" i="33"/>
  <c r="BT80" i="33"/>
  <c r="BS10" i="33"/>
  <c r="BS80" i="33"/>
  <c r="BR10" i="33"/>
  <c r="BR80" i="33"/>
  <c r="BQ10" i="33"/>
  <c r="BQ80" i="33"/>
  <c r="BP10" i="33"/>
  <c r="BP80" i="33"/>
  <c r="BO10" i="33"/>
  <c r="BO80" i="33"/>
  <c r="BN10" i="33"/>
  <c r="BN80" i="33"/>
  <c r="BM10" i="33"/>
  <c r="BM80" i="33"/>
  <c r="BW11" i="33"/>
  <c r="B5" i="33"/>
  <c r="AY4" i="33"/>
  <c r="AX4" i="33"/>
  <c r="AW4" i="33"/>
  <c r="AV4" i="33"/>
  <c r="AU4" i="33"/>
  <c r="AT4" i="33"/>
  <c r="AS4" i="33"/>
  <c r="AR4" i="33"/>
  <c r="AQ4" i="33"/>
  <c r="AP4" i="33"/>
  <c r="AO4" i="33"/>
  <c r="AN4" i="33"/>
  <c r="AM4" i="33"/>
  <c r="AL4" i="33"/>
  <c r="AK4" i="33"/>
  <c r="AJ4" i="33"/>
  <c r="AI4" i="33"/>
  <c r="AH4" i="33"/>
  <c r="AG4" i="33"/>
  <c r="AF4" i="33"/>
  <c r="AE4" i="33"/>
  <c r="AD4" i="33"/>
  <c r="AC4" i="33"/>
  <c r="AB4" i="33"/>
  <c r="AA4" i="33"/>
  <c r="Z4" i="33"/>
  <c r="Y4" i="33"/>
  <c r="X4" i="33"/>
  <c r="W4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B2" i="33"/>
  <c r="AT100" i="32"/>
  <c r="AS100" i="32"/>
  <c r="AT91" i="32"/>
  <c r="AS91" i="32"/>
  <c r="AR91" i="32"/>
  <c r="AQ91" i="32"/>
  <c r="AP91" i="32"/>
  <c r="AO91" i="32"/>
  <c r="AN91" i="32"/>
  <c r="AM91" i="32"/>
  <c r="AL91" i="32"/>
  <c r="AK91" i="32"/>
  <c r="AJ91" i="32"/>
  <c r="AI91" i="32"/>
  <c r="AH91" i="32"/>
  <c r="AG91" i="32"/>
  <c r="AF91" i="32"/>
  <c r="AE91" i="32"/>
  <c r="AD91" i="32"/>
  <c r="AC91" i="32"/>
  <c r="AB91" i="32"/>
  <c r="AA91" i="32"/>
  <c r="Z91" i="32"/>
  <c r="Y91" i="32"/>
  <c r="X91" i="32"/>
  <c r="W91" i="32"/>
  <c r="V91" i="32"/>
  <c r="U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AT90" i="32"/>
  <c r="AS90" i="32"/>
  <c r="AR90" i="32"/>
  <c r="AQ90" i="32"/>
  <c r="AP90" i="32"/>
  <c r="AO90" i="32"/>
  <c r="AN90" i="32"/>
  <c r="AM90" i="32"/>
  <c r="AL90" i="32"/>
  <c r="AK90" i="32"/>
  <c r="AJ90" i="32"/>
  <c r="AI90" i="32"/>
  <c r="AH90" i="32"/>
  <c r="AG90" i="32"/>
  <c r="AF90" i="32"/>
  <c r="AE90" i="32"/>
  <c r="AD90" i="32"/>
  <c r="AC90" i="32"/>
  <c r="AB90" i="32"/>
  <c r="AA90" i="32"/>
  <c r="Z90" i="32"/>
  <c r="Y90" i="32"/>
  <c r="X90" i="32"/>
  <c r="W90" i="32"/>
  <c r="V90" i="32"/>
  <c r="U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AT87" i="32"/>
  <c r="AS87" i="32"/>
  <c r="AR87" i="32"/>
  <c r="AQ87" i="32"/>
  <c r="AP87" i="32"/>
  <c r="AO87" i="32"/>
  <c r="AN87" i="32"/>
  <c r="AM87" i="32"/>
  <c r="AL87" i="32"/>
  <c r="AK87" i="32"/>
  <c r="AJ87" i="32"/>
  <c r="AI87" i="32"/>
  <c r="AH87" i="32"/>
  <c r="AG87" i="32"/>
  <c r="AF87" i="32"/>
  <c r="AE87" i="32"/>
  <c r="AD87" i="32"/>
  <c r="AC87" i="32"/>
  <c r="AB87" i="32"/>
  <c r="AA87" i="32"/>
  <c r="Z87" i="32"/>
  <c r="Y87" i="32"/>
  <c r="X87" i="32"/>
  <c r="W87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AT86" i="32"/>
  <c r="AS86" i="32"/>
  <c r="AR86" i="32"/>
  <c r="AQ86" i="32"/>
  <c r="AP86" i="32"/>
  <c r="AO86" i="32"/>
  <c r="AN86" i="32"/>
  <c r="AM86" i="32"/>
  <c r="AL86" i="32"/>
  <c r="AK86" i="32"/>
  <c r="AJ86" i="32"/>
  <c r="AI86" i="32"/>
  <c r="AI88" i="32" s="1"/>
  <c r="AH86" i="32"/>
  <c r="AG86" i="32"/>
  <c r="AF86" i="32"/>
  <c r="AE86" i="32"/>
  <c r="AD86" i="32"/>
  <c r="AC86" i="32"/>
  <c r="AB86" i="32"/>
  <c r="AA86" i="32"/>
  <c r="Z86" i="32"/>
  <c r="Y86" i="32"/>
  <c r="X86" i="32"/>
  <c r="W86" i="32"/>
  <c r="V86" i="32"/>
  <c r="U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AT79" i="32"/>
  <c r="AS79" i="32"/>
  <c r="AR79" i="32"/>
  <c r="AQ79" i="32"/>
  <c r="AP79" i="32"/>
  <c r="AO79" i="32"/>
  <c r="AN79" i="32"/>
  <c r="AM79" i="32"/>
  <c r="AL79" i="32"/>
  <c r="AK79" i="32"/>
  <c r="AJ79" i="32"/>
  <c r="AI79" i="32"/>
  <c r="AH79" i="32"/>
  <c r="AG79" i="32"/>
  <c r="AF79" i="32"/>
  <c r="AE79" i="32"/>
  <c r="AD79" i="32"/>
  <c r="AC79" i="32"/>
  <c r="AB79" i="32"/>
  <c r="AA79" i="32"/>
  <c r="Z79" i="32"/>
  <c r="Y79" i="32"/>
  <c r="X79" i="32"/>
  <c r="W79" i="32"/>
  <c r="V79" i="32"/>
  <c r="U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AT77" i="32"/>
  <c r="AS77" i="32"/>
  <c r="AR77" i="32"/>
  <c r="AQ77" i="32"/>
  <c r="AP77" i="32"/>
  <c r="AO77" i="32"/>
  <c r="AN77" i="32"/>
  <c r="AM77" i="32"/>
  <c r="AL77" i="32"/>
  <c r="AK77" i="32"/>
  <c r="AJ77" i="32"/>
  <c r="AI77" i="32"/>
  <c r="AH77" i="32"/>
  <c r="AG77" i="32"/>
  <c r="AF77" i="32"/>
  <c r="AE77" i="32"/>
  <c r="AD77" i="32"/>
  <c r="AC77" i="32"/>
  <c r="AB77" i="32"/>
  <c r="AA77" i="32"/>
  <c r="Z77" i="32"/>
  <c r="Y77" i="32"/>
  <c r="X77" i="32"/>
  <c r="W77" i="32"/>
  <c r="V77" i="32"/>
  <c r="U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AT75" i="32"/>
  <c r="AS75" i="32"/>
  <c r="AS78" i="32" s="1"/>
  <c r="AR75" i="32"/>
  <c r="AQ75" i="32"/>
  <c r="AQ76" i="32" s="1"/>
  <c r="AP75" i="32"/>
  <c r="AP76" i="32" s="1"/>
  <c r="AO75" i="32"/>
  <c r="AN75" i="32"/>
  <c r="AM75" i="32"/>
  <c r="AM76" i="32" s="1"/>
  <c r="AL75" i="32"/>
  <c r="AL81" i="32" s="1"/>
  <c r="AL95" i="32" s="1"/>
  <c r="AK75" i="32"/>
  <c r="AK78" i="32" s="1"/>
  <c r="AJ75" i="32"/>
  <c r="AI75" i="32"/>
  <c r="AI81" i="32" s="1"/>
  <c r="AI95" i="32" s="1"/>
  <c r="AH75" i="32"/>
  <c r="AH80" i="32" s="1"/>
  <c r="AG75" i="32"/>
  <c r="AG76" i="32" s="1"/>
  <c r="AF75" i="32"/>
  <c r="AF76" i="32" s="1"/>
  <c r="AE75" i="32"/>
  <c r="AE76" i="32" s="1"/>
  <c r="AD75" i="32"/>
  <c r="AC75" i="32"/>
  <c r="AC80" i="32" s="1"/>
  <c r="AB75" i="32"/>
  <c r="AA75" i="32"/>
  <c r="AA81" i="32" s="1"/>
  <c r="AA95" i="32" s="1"/>
  <c r="Z75" i="32"/>
  <c r="Y75" i="32"/>
  <c r="Y76" i="32" s="1"/>
  <c r="X75" i="32"/>
  <c r="W75" i="32"/>
  <c r="W80" i="32" s="1"/>
  <c r="V75" i="32"/>
  <c r="V81" i="32" s="1"/>
  <c r="V95" i="32" s="1"/>
  <c r="U75" i="32"/>
  <c r="T75" i="32"/>
  <c r="S75" i="32"/>
  <c r="S76" i="32" s="1"/>
  <c r="R75" i="32"/>
  <c r="Q75" i="32"/>
  <c r="P75" i="32"/>
  <c r="AS70" i="32"/>
  <c r="AR70" i="32"/>
  <c r="AQ70" i="32"/>
  <c r="BV70" i="32" s="1"/>
  <c r="AP70" i="32"/>
  <c r="AO70" i="32"/>
  <c r="AN70" i="32"/>
  <c r="AM70" i="32"/>
  <c r="BU70" i="32" s="1"/>
  <c r="AL70" i="32"/>
  <c r="AK70" i="32"/>
  <c r="AJ70" i="32"/>
  <c r="AI70" i="32"/>
  <c r="BT70" i="32" s="1"/>
  <c r="AH70" i="32"/>
  <c r="AG70" i="32"/>
  <c r="AF70" i="32"/>
  <c r="AE70" i="32"/>
  <c r="BS70" i="32" s="1"/>
  <c r="AD70" i="32"/>
  <c r="AC70" i="32"/>
  <c r="AB70" i="32"/>
  <c r="AA70" i="32"/>
  <c r="BR70" i="32" s="1"/>
  <c r="Z70" i="32"/>
  <c r="Y70" i="32"/>
  <c r="X70" i="32"/>
  <c r="W70" i="32"/>
  <c r="BQ70" i="32" s="1"/>
  <c r="V70" i="32"/>
  <c r="U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BM70" i="32" s="1"/>
  <c r="F70" i="32"/>
  <c r="E70" i="32"/>
  <c r="D70" i="32"/>
  <c r="BV67" i="32"/>
  <c r="BU67" i="32"/>
  <c r="BT67" i="32"/>
  <c r="BS67" i="32"/>
  <c r="BR67" i="32"/>
  <c r="BQ67" i="32"/>
  <c r="BP67" i="32"/>
  <c r="BO67" i="32"/>
  <c r="BN67" i="32"/>
  <c r="BM67" i="32"/>
  <c r="BV66" i="32"/>
  <c r="BU66" i="32"/>
  <c r="BT66" i="32"/>
  <c r="BS66" i="32"/>
  <c r="BR66" i="32"/>
  <c r="BQ66" i="32"/>
  <c r="BP66" i="32"/>
  <c r="BO66" i="32"/>
  <c r="BN66" i="32"/>
  <c r="BM66" i="32"/>
  <c r="BV65" i="32"/>
  <c r="BU65" i="32"/>
  <c r="BT65" i="32"/>
  <c r="BS65" i="32"/>
  <c r="BR65" i="32"/>
  <c r="BQ65" i="32"/>
  <c r="BP65" i="32"/>
  <c r="BO65" i="32"/>
  <c r="BN65" i="32"/>
  <c r="BM65" i="32"/>
  <c r="BW67" i="32"/>
  <c r="AS62" i="32"/>
  <c r="AR62" i="32"/>
  <c r="AR68" i="32" s="1"/>
  <c r="AQ62" i="32"/>
  <c r="AP62" i="32"/>
  <c r="AP68" i="32" s="1"/>
  <c r="AP71" i="32" s="1"/>
  <c r="AO62" i="32"/>
  <c r="AN62" i="32"/>
  <c r="AM62" i="32"/>
  <c r="AL62" i="32"/>
  <c r="AK62" i="32"/>
  <c r="AJ62" i="32"/>
  <c r="AJ68" i="32" s="1"/>
  <c r="AJ71" i="32" s="1"/>
  <c r="AI62" i="32"/>
  <c r="AI68" i="32" s="1"/>
  <c r="AH62" i="32"/>
  <c r="AH68" i="32" s="1"/>
  <c r="AH71" i="32" s="1"/>
  <c r="AG62" i="32"/>
  <c r="AF62" i="32"/>
  <c r="AE62" i="32"/>
  <c r="AD62" i="32"/>
  <c r="AC62" i="32"/>
  <c r="AB62" i="32"/>
  <c r="AB68" i="32" s="1"/>
  <c r="AB71" i="32" s="1"/>
  <c r="AA62" i="32"/>
  <c r="AA68" i="32" s="1"/>
  <c r="Z62" i="32"/>
  <c r="Z68" i="32" s="1"/>
  <c r="Y62" i="32"/>
  <c r="X62" i="32"/>
  <c r="W62" i="32"/>
  <c r="V62" i="32"/>
  <c r="U62" i="32"/>
  <c r="T62" i="32"/>
  <c r="T68" i="32" s="1"/>
  <c r="T71" i="32" s="1"/>
  <c r="S62" i="32"/>
  <c r="S68" i="32" s="1"/>
  <c r="R62" i="32"/>
  <c r="R68" i="32" s="1"/>
  <c r="Q62" i="32"/>
  <c r="P62" i="32"/>
  <c r="O62" i="32"/>
  <c r="N62" i="32"/>
  <c r="M62" i="32"/>
  <c r="L62" i="32"/>
  <c r="L68" i="32" s="1"/>
  <c r="L71" i="32" s="1"/>
  <c r="K62" i="32"/>
  <c r="K68" i="32" s="1"/>
  <c r="J62" i="32"/>
  <c r="J68" i="32" s="1"/>
  <c r="J71" i="32" s="1"/>
  <c r="I62" i="32"/>
  <c r="H62" i="32"/>
  <c r="G62" i="32"/>
  <c r="G68" i="32" s="1"/>
  <c r="F62" i="32"/>
  <c r="E62" i="32"/>
  <c r="D62" i="32"/>
  <c r="D68" i="32" s="1"/>
  <c r="BW61" i="32"/>
  <c r="BV61" i="32"/>
  <c r="BU61" i="32"/>
  <c r="BT61" i="32"/>
  <c r="BS61" i="32"/>
  <c r="BR61" i="32"/>
  <c r="BQ61" i="32"/>
  <c r="BP61" i="32"/>
  <c r="BO61" i="32"/>
  <c r="BN61" i="32"/>
  <c r="BM61" i="32"/>
  <c r="BV60" i="32"/>
  <c r="BU60" i="32"/>
  <c r="BT60" i="32"/>
  <c r="BS60" i="32"/>
  <c r="BR60" i="32"/>
  <c r="BQ60" i="32"/>
  <c r="BP60" i="32"/>
  <c r="BO60" i="32"/>
  <c r="BN60" i="32"/>
  <c r="BM60" i="32"/>
  <c r="BV59" i="32"/>
  <c r="BU59" i="32"/>
  <c r="BT59" i="32"/>
  <c r="BS59" i="32"/>
  <c r="BR59" i="32"/>
  <c r="BQ59" i="32"/>
  <c r="BP59" i="32"/>
  <c r="BO59" i="32"/>
  <c r="BN59" i="32"/>
  <c r="BM59" i="32"/>
  <c r="BV58" i="32"/>
  <c r="BU58" i="32"/>
  <c r="BU62" i="32" s="1"/>
  <c r="BT58" i="32"/>
  <c r="BS58" i="32"/>
  <c r="BR58" i="32"/>
  <c r="BR62" i="32" s="1"/>
  <c r="BR68" i="32" s="1"/>
  <c r="BR71" i="32" s="1"/>
  <c r="BQ58" i="32"/>
  <c r="BP58" i="32"/>
  <c r="BO58" i="32"/>
  <c r="BN58" i="32"/>
  <c r="BM58" i="32"/>
  <c r="BM62" i="32" s="1"/>
  <c r="BM68" i="32" s="1"/>
  <c r="BW60" i="32"/>
  <c r="BW59" i="32"/>
  <c r="AW58" i="32"/>
  <c r="AX58" i="32" s="1"/>
  <c r="AT54" i="32"/>
  <c r="AT50" i="32" s="1"/>
  <c r="AS54" i="32"/>
  <c r="AS49" i="32" s="1"/>
  <c r="AS48" i="32" s="1"/>
  <c r="AR54" i="32"/>
  <c r="AQ54" i="32"/>
  <c r="AQ50" i="32" s="1"/>
  <c r="AP54" i="32"/>
  <c r="AP50" i="32" s="1"/>
  <c r="AO54" i="32"/>
  <c r="AO49" i="32" s="1"/>
  <c r="AO48" i="32" s="1"/>
  <c r="AN54" i="32"/>
  <c r="AN49" i="32" s="1"/>
  <c r="AN48" i="32" s="1"/>
  <c r="AM54" i="32"/>
  <c r="AM49" i="32" s="1"/>
  <c r="AM48" i="32" s="1"/>
  <c r="AL54" i="32"/>
  <c r="AK54" i="32"/>
  <c r="AJ54" i="32"/>
  <c r="AJ49" i="32" s="1"/>
  <c r="AJ48" i="32" s="1"/>
  <c r="AI54" i="32"/>
  <c r="AI49" i="32" s="1"/>
  <c r="AI48" i="32" s="1"/>
  <c r="AH54" i="32"/>
  <c r="AH50" i="32" s="1"/>
  <c r="AG54" i="32"/>
  <c r="AG49" i="32" s="1"/>
  <c r="AG48" i="32" s="1"/>
  <c r="AF54" i="32"/>
  <c r="AF49" i="32" s="1"/>
  <c r="AF48" i="32" s="1"/>
  <c r="AE54" i="32"/>
  <c r="AD54" i="32"/>
  <c r="AD49" i="32" s="1"/>
  <c r="AD48" i="32" s="1"/>
  <c r="AC54" i="32"/>
  <c r="AC49" i="32" s="1"/>
  <c r="AC48" i="32" s="1"/>
  <c r="AB54" i="32"/>
  <c r="AB49" i="32" s="1"/>
  <c r="AB48" i="32" s="1"/>
  <c r="AA54" i="32"/>
  <c r="AA49" i="32" s="1"/>
  <c r="AA48" i="32" s="1"/>
  <c r="Z54" i="32"/>
  <c r="Z50" i="32" s="1"/>
  <c r="Y54" i="32"/>
  <c r="Y49" i="32" s="1"/>
  <c r="Y48" i="32" s="1"/>
  <c r="X54" i="32"/>
  <c r="X49" i="32" s="1"/>
  <c r="X48" i="32" s="1"/>
  <c r="W54" i="32"/>
  <c r="W49" i="32" s="1"/>
  <c r="W48" i="32" s="1"/>
  <c r="V54" i="32"/>
  <c r="V49" i="32" s="1"/>
  <c r="V48" i="32" s="1"/>
  <c r="U54" i="32"/>
  <c r="U49" i="32" s="1"/>
  <c r="U48" i="32" s="1"/>
  <c r="T54" i="32"/>
  <c r="S54" i="32"/>
  <c r="S49" i="32" s="1"/>
  <c r="S48" i="32" s="1"/>
  <c r="R54" i="32"/>
  <c r="Q54" i="32"/>
  <c r="Q49" i="32" s="1"/>
  <c r="Q48" i="32" s="1"/>
  <c r="P54" i="32"/>
  <c r="P49" i="32" s="1"/>
  <c r="P48" i="32" s="1"/>
  <c r="O54" i="32"/>
  <c r="O49" i="32" s="1"/>
  <c r="O48" i="32" s="1"/>
  <c r="N54" i="32"/>
  <c r="N49" i="32" s="1"/>
  <c r="N48" i="32" s="1"/>
  <c r="M54" i="32"/>
  <c r="M49" i="32" s="1"/>
  <c r="M48" i="32" s="1"/>
  <c r="L54" i="32"/>
  <c r="L49" i="32" s="1"/>
  <c r="L48" i="32" s="1"/>
  <c r="K54" i="32"/>
  <c r="J54" i="32"/>
  <c r="J50" i="32" s="1"/>
  <c r="I54" i="32"/>
  <c r="I49" i="32" s="1"/>
  <c r="I48" i="32" s="1"/>
  <c r="H54" i="32"/>
  <c r="G54" i="32"/>
  <c r="G49" i="32" s="1"/>
  <c r="G48" i="32" s="1"/>
  <c r="F54" i="32"/>
  <c r="F50" i="32" s="1"/>
  <c r="E54" i="32"/>
  <c r="E49" i="32" s="1"/>
  <c r="E48" i="32" s="1"/>
  <c r="D54" i="32"/>
  <c r="D49" i="32" s="1"/>
  <c r="D48" i="32" s="1"/>
  <c r="AT53" i="32"/>
  <c r="AT47" i="32" s="1"/>
  <c r="AS53" i="32"/>
  <c r="AS47" i="32" s="1"/>
  <c r="AR53" i="32"/>
  <c r="AR51" i="32" s="1"/>
  <c r="AQ53" i="32"/>
  <c r="AQ47" i="32" s="1"/>
  <c r="AP53" i="32"/>
  <c r="AP47" i="32" s="1"/>
  <c r="AO53" i="32"/>
  <c r="AO47" i="32" s="1"/>
  <c r="AN53" i="32"/>
  <c r="AN47" i="32" s="1"/>
  <c r="AM53" i="32"/>
  <c r="AM47" i="32" s="1"/>
  <c r="AL53" i="32"/>
  <c r="AK53" i="32"/>
  <c r="AK51" i="32" s="1"/>
  <c r="AJ53" i="32"/>
  <c r="AJ51" i="32" s="1"/>
  <c r="AI53" i="32"/>
  <c r="AI51" i="32" s="1"/>
  <c r="AH53" i="32"/>
  <c r="AH51" i="32" s="1"/>
  <c r="AG53" i="32"/>
  <c r="AG51" i="32" s="1"/>
  <c r="AF53" i="32"/>
  <c r="AE53" i="32"/>
  <c r="AE47" i="32" s="1"/>
  <c r="AD53" i="32"/>
  <c r="AD51" i="32" s="1"/>
  <c r="AC53" i="32"/>
  <c r="AC51" i="32" s="1"/>
  <c r="AB53" i="32"/>
  <c r="AA53" i="32"/>
  <c r="AA51" i="32" s="1"/>
  <c r="Z53" i="32"/>
  <c r="Z51" i="32" s="1"/>
  <c r="Y53" i="32"/>
  <c r="X53" i="32"/>
  <c r="X51" i="32" s="1"/>
  <c r="W53" i="32"/>
  <c r="W47" i="32" s="1"/>
  <c r="V53" i="32"/>
  <c r="U53" i="32"/>
  <c r="U51" i="32" s="1"/>
  <c r="T53" i="32"/>
  <c r="T51" i="32" s="1"/>
  <c r="S53" i="32"/>
  <c r="S47" i="32" s="1"/>
  <c r="R53" i="32"/>
  <c r="R51" i="32" s="1"/>
  <c r="Q53" i="32"/>
  <c r="P53" i="32"/>
  <c r="P51" i="32" s="1"/>
  <c r="O53" i="32"/>
  <c r="O51" i="32" s="1"/>
  <c r="N53" i="32"/>
  <c r="N47" i="32" s="1"/>
  <c r="M53" i="32"/>
  <c r="M51" i="32" s="1"/>
  <c r="L53" i="32"/>
  <c r="L51" i="32" s="1"/>
  <c r="K53" i="32"/>
  <c r="J53" i="32"/>
  <c r="J51" i="32" s="1"/>
  <c r="I53" i="32"/>
  <c r="I51" i="32" s="1"/>
  <c r="H53" i="32"/>
  <c r="H47" i="32" s="1"/>
  <c r="G53" i="32"/>
  <c r="G47" i="32" s="1"/>
  <c r="F53" i="32"/>
  <c r="F47" i="32" s="1"/>
  <c r="E53" i="32"/>
  <c r="D53" i="32"/>
  <c r="D47" i="32" s="1"/>
  <c r="BV39" i="32"/>
  <c r="BU39" i="32"/>
  <c r="BT39" i="32"/>
  <c r="BS39" i="32"/>
  <c r="BR39" i="32"/>
  <c r="BQ39" i="32"/>
  <c r="BP39" i="32"/>
  <c r="BO39" i="32"/>
  <c r="BN39" i="32"/>
  <c r="BM39" i="32"/>
  <c r="BX38" i="32"/>
  <c r="BW38" i="32"/>
  <c r="BV37" i="32"/>
  <c r="BU37" i="32"/>
  <c r="BT37" i="32"/>
  <c r="BS37" i="32"/>
  <c r="BR37" i="32"/>
  <c r="BQ37" i="32"/>
  <c r="BP37" i="32"/>
  <c r="BO37" i="32"/>
  <c r="BN37" i="32"/>
  <c r="BM37" i="32"/>
  <c r="BV36" i="32"/>
  <c r="BU36" i="32"/>
  <c r="BT36" i="32"/>
  <c r="BS36" i="32"/>
  <c r="BR36" i="32"/>
  <c r="BQ36" i="32"/>
  <c r="BP36" i="32"/>
  <c r="BO36" i="32"/>
  <c r="BN36" i="32"/>
  <c r="BM36" i="32"/>
  <c r="BV35" i="32"/>
  <c r="BU35" i="32"/>
  <c r="BT35" i="32"/>
  <c r="BS35" i="32"/>
  <c r="BR35" i="32"/>
  <c r="BQ35" i="32"/>
  <c r="BP35" i="32"/>
  <c r="BO35" i="32"/>
  <c r="BN35" i="32"/>
  <c r="BM35" i="32"/>
  <c r="BV34" i="32"/>
  <c r="BU34" i="32"/>
  <c r="BT34" i="32"/>
  <c r="BS34" i="32"/>
  <c r="BR34" i="32"/>
  <c r="BQ34" i="32"/>
  <c r="BP34" i="32"/>
  <c r="BO34" i="32"/>
  <c r="BN34" i="32"/>
  <c r="BM34" i="32"/>
  <c r="BV33" i="32"/>
  <c r="BU33" i="32"/>
  <c r="BT33" i="32"/>
  <c r="BS33" i="32"/>
  <c r="BR33" i="32"/>
  <c r="BQ33" i="32"/>
  <c r="BP33" i="32"/>
  <c r="BO33" i="32"/>
  <c r="BN33" i="32"/>
  <c r="BM33" i="32"/>
  <c r="AT31" i="32"/>
  <c r="AS31" i="32"/>
  <c r="AS41" i="32" s="1"/>
  <c r="AR31" i="32"/>
  <c r="AQ31" i="32"/>
  <c r="AQ41" i="32" s="1"/>
  <c r="AP31" i="32"/>
  <c r="AP41" i="32" s="1"/>
  <c r="AO31" i="32"/>
  <c r="AO41" i="32" s="1"/>
  <c r="AN31" i="32"/>
  <c r="AM31" i="32"/>
  <c r="AM41" i="32" s="1"/>
  <c r="AL31" i="32"/>
  <c r="AK31" i="32"/>
  <c r="AK41" i="32" s="1"/>
  <c r="AJ31" i="32"/>
  <c r="AJ41" i="32" s="1"/>
  <c r="AI31" i="32"/>
  <c r="AI41" i="32" s="1"/>
  <c r="AH31" i="32"/>
  <c r="AH41" i="32" s="1"/>
  <c r="AG31" i="32"/>
  <c r="AG41" i="32" s="1"/>
  <c r="AF31" i="32"/>
  <c r="AF41" i="32" s="1"/>
  <c r="AE31" i="32"/>
  <c r="AE41" i="32" s="1"/>
  <c r="AD31" i="32"/>
  <c r="AD41" i="32" s="1"/>
  <c r="AC31" i="32"/>
  <c r="AC41" i="32" s="1"/>
  <c r="AB31" i="32"/>
  <c r="AB41" i="32" s="1"/>
  <c r="AA31" i="32"/>
  <c r="Z31" i="32"/>
  <c r="Z41" i="32" s="1"/>
  <c r="Y31" i="32"/>
  <c r="Y41" i="32" s="1"/>
  <c r="X31" i="32"/>
  <c r="W31" i="32"/>
  <c r="W41" i="32" s="1"/>
  <c r="V31" i="32"/>
  <c r="V41" i="32" s="1"/>
  <c r="U31" i="32"/>
  <c r="U41" i="32" s="1"/>
  <c r="T31" i="32"/>
  <c r="T41" i="32" s="1"/>
  <c r="S31" i="32"/>
  <c r="S41" i="32" s="1"/>
  <c r="R31" i="32"/>
  <c r="R41" i="32" s="1"/>
  <c r="Q31" i="32"/>
  <c r="Q41" i="32" s="1"/>
  <c r="P31" i="32"/>
  <c r="P41" i="32" s="1"/>
  <c r="O31" i="32"/>
  <c r="O41" i="32" s="1"/>
  <c r="N31" i="32"/>
  <c r="N41" i="32" s="1"/>
  <c r="M31" i="32"/>
  <c r="M41" i="32" s="1"/>
  <c r="L31" i="32"/>
  <c r="K31" i="32"/>
  <c r="K41" i="32" s="1"/>
  <c r="J31" i="32"/>
  <c r="J41" i="32" s="1"/>
  <c r="I31" i="32"/>
  <c r="I41" i="32" s="1"/>
  <c r="H31" i="32"/>
  <c r="G31" i="32"/>
  <c r="G41" i="32" s="1"/>
  <c r="F31" i="32"/>
  <c r="F41" i="32" s="1"/>
  <c r="E31" i="32"/>
  <c r="E41" i="32" s="1"/>
  <c r="D31" i="32"/>
  <c r="D41" i="32" s="1"/>
  <c r="BV30" i="32"/>
  <c r="BU30" i="32"/>
  <c r="BT30" i="32"/>
  <c r="BS30" i="32"/>
  <c r="BR30" i="32"/>
  <c r="BQ30" i="32"/>
  <c r="BP30" i="32"/>
  <c r="BO30" i="32"/>
  <c r="BN30" i="32"/>
  <c r="BM30" i="32"/>
  <c r="BV29" i="32"/>
  <c r="BU29" i="32"/>
  <c r="BT29" i="32"/>
  <c r="BS29" i="32"/>
  <c r="BR29" i="32"/>
  <c r="BQ29" i="32"/>
  <c r="BP29" i="32"/>
  <c r="BO29" i="32"/>
  <c r="BN29" i="32"/>
  <c r="BM29" i="32"/>
  <c r="BV28" i="32"/>
  <c r="BU28" i="32"/>
  <c r="BT28" i="32"/>
  <c r="BS28" i="32"/>
  <c r="BR28" i="32"/>
  <c r="BQ28" i="32"/>
  <c r="BP28" i="32"/>
  <c r="BO28" i="32"/>
  <c r="BN28" i="32"/>
  <c r="BM28" i="32"/>
  <c r="BV27" i="32"/>
  <c r="BU27" i="32"/>
  <c r="BT27" i="32"/>
  <c r="BS27" i="32"/>
  <c r="BR27" i="32"/>
  <c r="BQ27" i="32"/>
  <c r="BP27" i="32"/>
  <c r="BO27" i="32"/>
  <c r="BN27" i="32"/>
  <c r="BM27" i="32"/>
  <c r="BV26" i="32"/>
  <c r="BV31" i="32" s="1"/>
  <c r="BV41" i="32" s="1"/>
  <c r="BU26" i="32"/>
  <c r="BT26" i="32"/>
  <c r="BS26" i="32"/>
  <c r="BR26" i="32"/>
  <c r="BR31" i="32" s="1"/>
  <c r="BR41" i="32" s="1"/>
  <c r="BQ26" i="32"/>
  <c r="BP26" i="32"/>
  <c r="BO26" i="32"/>
  <c r="BO31" i="32" s="1"/>
  <c r="BN26" i="32"/>
  <c r="BN31" i="32" s="1"/>
  <c r="BN41" i="32" s="1"/>
  <c r="BM26" i="32"/>
  <c r="BW30" i="32"/>
  <c r="BW28" i="32"/>
  <c r="BV22" i="32"/>
  <c r="BU22" i="32"/>
  <c r="BT22" i="32"/>
  <c r="BS22" i="32"/>
  <c r="BR22" i="32"/>
  <c r="BQ22" i="32"/>
  <c r="BP22" i="32"/>
  <c r="BO22" i="32"/>
  <c r="BN22" i="32"/>
  <c r="BM22" i="32"/>
  <c r="BV21" i="32"/>
  <c r="BU21" i="32"/>
  <c r="BT21" i="32"/>
  <c r="BS21" i="32"/>
  <c r="BR21" i="32"/>
  <c r="BQ21" i="32"/>
  <c r="BP21" i="32"/>
  <c r="BO21" i="32"/>
  <c r="BN21" i="32"/>
  <c r="BM21" i="32"/>
  <c r="BV20" i="32"/>
  <c r="BU20" i="32"/>
  <c r="BT20" i="32"/>
  <c r="BS20" i="32"/>
  <c r="BR20" i="32"/>
  <c r="BQ20" i="32"/>
  <c r="BP20" i="32"/>
  <c r="BO20" i="32"/>
  <c r="BN20" i="32"/>
  <c r="BM20" i="32"/>
  <c r="BV19" i="32"/>
  <c r="BU19" i="32"/>
  <c r="BT19" i="32"/>
  <c r="BS19" i="32"/>
  <c r="BR19" i="32"/>
  <c r="BQ19" i="32"/>
  <c r="BP19" i="32"/>
  <c r="BO19" i="32"/>
  <c r="BN19" i="32"/>
  <c r="BM19" i="32"/>
  <c r="BV18" i="32"/>
  <c r="BU18" i="32"/>
  <c r="BT18" i="32"/>
  <c r="BS18" i="32"/>
  <c r="BR18" i="32"/>
  <c r="BQ18" i="32"/>
  <c r="BP18" i="32"/>
  <c r="BO18" i="32"/>
  <c r="BN18" i="32"/>
  <c r="BM18" i="32"/>
  <c r="BV17" i="32"/>
  <c r="BU17" i="32"/>
  <c r="BT17" i="32"/>
  <c r="BS17" i="32"/>
  <c r="BR17" i="32"/>
  <c r="BQ17" i="32"/>
  <c r="BP17" i="32"/>
  <c r="BO17" i="32"/>
  <c r="BN17" i="32"/>
  <c r="BM17" i="32"/>
  <c r="BV16" i="32"/>
  <c r="BV71" i="33" s="1"/>
  <c r="BU16" i="32"/>
  <c r="BU71" i="33" s="1"/>
  <c r="BT16" i="32"/>
  <c r="BT71" i="33" s="1"/>
  <c r="BS16" i="32"/>
  <c r="BS71" i="33" s="1"/>
  <c r="BR16" i="32"/>
  <c r="BR71" i="33" s="1"/>
  <c r="BQ16" i="32"/>
  <c r="BQ71" i="33" s="1"/>
  <c r="BP16" i="32"/>
  <c r="BP71" i="33" s="1"/>
  <c r="BO16" i="32"/>
  <c r="BO71" i="33" s="1"/>
  <c r="BN16" i="32"/>
  <c r="BN71" i="33" s="1"/>
  <c r="BM16" i="32"/>
  <c r="BM71" i="33" s="1"/>
  <c r="BW22" i="32"/>
  <c r="BA21" i="32"/>
  <c r="BB21" i="32" s="1"/>
  <c r="BC21" i="32" s="1"/>
  <c r="BW18" i="32"/>
  <c r="BX17" i="32"/>
  <c r="AT14" i="32"/>
  <c r="AT23" i="32" s="1"/>
  <c r="AS14" i="32"/>
  <c r="AS23" i="32" s="1"/>
  <c r="AR14" i="32"/>
  <c r="AR23" i="32" s="1"/>
  <c r="AQ14" i="32"/>
  <c r="AQ23" i="32" s="1"/>
  <c r="AP14" i="32"/>
  <c r="AP23" i="32" s="1"/>
  <c r="AO14" i="32"/>
  <c r="AN14" i="32"/>
  <c r="AN23" i="32" s="1"/>
  <c r="AM14" i="32"/>
  <c r="AL14" i="32"/>
  <c r="AL23" i="32" s="1"/>
  <c r="AK14" i="32"/>
  <c r="AK23" i="32" s="1"/>
  <c r="AJ14" i="32"/>
  <c r="AI14" i="32"/>
  <c r="AI23" i="32" s="1"/>
  <c r="AH14" i="32"/>
  <c r="AH23" i="32" s="1"/>
  <c r="AG14" i="32"/>
  <c r="AF14" i="32"/>
  <c r="AF23" i="32" s="1"/>
  <c r="AE14" i="32"/>
  <c r="AD14" i="32"/>
  <c r="AC14" i="32"/>
  <c r="AC23" i="32" s="1"/>
  <c r="AB14" i="32"/>
  <c r="AA14" i="32"/>
  <c r="AA23" i="32" s="1"/>
  <c r="Z14" i="32"/>
  <c r="Y14" i="32"/>
  <c r="Y23" i="32" s="1"/>
  <c r="X14" i="32"/>
  <c r="X23" i="32" s="1"/>
  <c r="W14" i="32"/>
  <c r="W23" i="32" s="1"/>
  <c r="V14" i="32"/>
  <c r="V23" i="32" s="1"/>
  <c r="U14" i="32"/>
  <c r="U23" i="32" s="1"/>
  <c r="T14" i="32"/>
  <c r="T23" i="32" s="1"/>
  <c r="S14" i="32"/>
  <c r="S23" i="32" s="1"/>
  <c r="R14" i="32"/>
  <c r="R23" i="32" s="1"/>
  <c r="Q14" i="32"/>
  <c r="Q23" i="32" s="1"/>
  <c r="P14" i="32"/>
  <c r="P82" i="32" s="1"/>
  <c r="O14" i="32"/>
  <c r="O23" i="32" s="1"/>
  <c r="N14" i="32"/>
  <c r="M14" i="32"/>
  <c r="L14" i="32"/>
  <c r="L23" i="32" s="1"/>
  <c r="K14" i="32"/>
  <c r="J14" i="32"/>
  <c r="J23" i="32" s="1"/>
  <c r="I14" i="32"/>
  <c r="I23" i="32" s="1"/>
  <c r="H14" i="32"/>
  <c r="H23" i="32" s="1"/>
  <c r="G14" i="32"/>
  <c r="G23" i="32" s="1"/>
  <c r="F14" i="32"/>
  <c r="E14" i="32"/>
  <c r="E23" i="32" s="1"/>
  <c r="D14" i="32"/>
  <c r="BV13" i="32"/>
  <c r="BU13" i="32"/>
  <c r="BT13" i="32"/>
  <c r="BS13" i="32"/>
  <c r="BR13" i="32"/>
  <c r="BQ13" i="32"/>
  <c r="BP13" i="32"/>
  <c r="BO13" i="32"/>
  <c r="BN13" i="32"/>
  <c r="BM13" i="32"/>
  <c r="BV12" i="32"/>
  <c r="BU12" i="32"/>
  <c r="BT12" i="32"/>
  <c r="BS12" i="32"/>
  <c r="BR12" i="32"/>
  <c r="BQ12" i="32"/>
  <c r="BP12" i="32"/>
  <c r="BO12" i="32"/>
  <c r="BN12" i="32"/>
  <c r="BM12" i="32"/>
  <c r="BV11" i="32"/>
  <c r="BU11" i="32"/>
  <c r="BT11" i="32"/>
  <c r="BS11" i="32"/>
  <c r="BR11" i="32"/>
  <c r="BQ11" i="32"/>
  <c r="BP11" i="32"/>
  <c r="BO11" i="32"/>
  <c r="BN11" i="32"/>
  <c r="BM11" i="32"/>
  <c r="BV10" i="32"/>
  <c r="BU10" i="32"/>
  <c r="BT10" i="32"/>
  <c r="BS10" i="32"/>
  <c r="BR10" i="32"/>
  <c r="BQ10" i="32"/>
  <c r="BP10" i="32"/>
  <c r="BO10" i="32"/>
  <c r="BN10" i="32"/>
  <c r="BM10" i="32"/>
  <c r="BV9" i="32"/>
  <c r="BU9" i="32"/>
  <c r="BT9" i="32"/>
  <c r="BS9" i="32"/>
  <c r="BR9" i="32"/>
  <c r="BQ9" i="32"/>
  <c r="BP9" i="32"/>
  <c r="BO9" i="32"/>
  <c r="BN9" i="32"/>
  <c r="BM9" i="32"/>
  <c r="BV8" i="32"/>
  <c r="BV14" i="32" s="1"/>
  <c r="BU8" i="32"/>
  <c r="BT8" i="32"/>
  <c r="BS8" i="32"/>
  <c r="BS56" i="33" s="1"/>
  <c r="BR8" i="32"/>
  <c r="BQ8" i="32"/>
  <c r="BP8" i="32"/>
  <c r="BO8" i="32"/>
  <c r="BO56" i="33" s="1"/>
  <c r="BN8" i="32"/>
  <c r="BN56" i="33" s="1"/>
  <c r="BM8" i="32"/>
  <c r="BZ6" i="32"/>
  <c r="BY6" i="32"/>
  <c r="BY6" i="33" s="1"/>
  <c r="BY61" i="33" s="1"/>
  <c r="BY76" i="33" s="1"/>
  <c r="BY84" i="33" s="1"/>
  <c r="BX6" i="32"/>
  <c r="BX6" i="33" s="1"/>
  <c r="BX61" i="33" s="1"/>
  <c r="BX76" i="33" s="1"/>
  <c r="BX84" i="33" s="1"/>
  <c r="BW6" i="32"/>
  <c r="BW6" i="33" s="1"/>
  <c r="BW61" i="33" s="1"/>
  <c r="BW76" i="33" s="1"/>
  <c r="BW84" i="33" s="1"/>
  <c r="BV6" i="32"/>
  <c r="BV46" i="32" s="1"/>
  <c r="BV57" i="32" s="1"/>
  <c r="BV74" i="32" s="1"/>
  <c r="BU6" i="32"/>
  <c r="BT6" i="32"/>
  <c r="BT6" i="33" s="1"/>
  <c r="BT61" i="33" s="1"/>
  <c r="BT76" i="33" s="1"/>
  <c r="BT84" i="33" s="1"/>
  <c r="BS6" i="32"/>
  <c r="BR6" i="32"/>
  <c r="BQ6" i="32"/>
  <c r="BQ6" i="33" s="1"/>
  <c r="BQ61" i="33" s="1"/>
  <c r="BQ76" i="33" s="1"/>
  <c r="BQ84" i="33" s="1"/>
  <c r="BP6" i="32"/>
  <c r="BO6" i="32"/>
  <c r="BN6" i="32"/>
  <c r="BM6" i="32"/>
  <c r="BM6" i="33" s="1"/>
  <c r="BM61" i="33" s="1"/>
  <c r="BM76" i="33" s="1"/>
  <c r="BM84" i="33" s="1"/>
  <c r="B5" i="32"/>
  <c r="AY6" i="32"/>
  <c r="AX6" i="32"/>
  <c r="AX6" i="33" s="1"/>
  <c r="AX61" i="33" s="1"/>
  <c r="AX76" i="33" s="1"/>
  <c r="AX84" i="33" s="1"/>
  <c r="AW6" i="32"/>
  <c r="AW6" i="33" s="1"/>
  <c r="AW61" i="33" s="1"/>
  <c r="AW76" i="33" s="1"/>
  <c r="AW84" i="33" s="1"/>
  <c r="AV6" i="32"/>
  <c r="AU6" i="32"/>
  <c r="AU46" i="32" s="1"/>
  <c r="AU57" i="32" s="1"/>
  <c r="AU74" i="32" s="1"/>
  <c r="AT6" i="32"/>
  <c r="AT6" i="33" s="1"/>
  <c r="AT61" i="33" s="1"/>
  <c r="AT76" i="33" s="1"/>
  <c r="AT84" i="33" s="1"/>
  <c r="AS6" i="32"/>
  <c r="AS6" i="33" s="1"/>
  <c r="AS61" i="33" s="1"/>
  <c r="AS76" i="33" s="1"/>
  <c r="AS84" i="33" s="1"/>
  <c r="AR6" i="32"/>
  <c r="AR6" i="33" s="1"/>
  <c r="AR61" i="33" s="1"/>
  <c r="AR76" i="33" s="1"/>
  <c r="AR84" i="33" s="1"/>
  <c r="AQ6" i="32"/>
  <c r="AQ6" i="33" s="1"/>
  <c r="AQ61" i="33" s="1"/>
  <c r="AQ76" i="33" s="1"/>
  <c r="AQ84" i="33" s="1"/>
  <c r="AP6" i="32"/>
  <c r="AP6" i="33" s="1"/>
  <c r="AP61" i="33" s="1"/>
  <c r="AP76" i="33" s="1"/>
  <c r="AP84" i="33" s="1"/>
  <c r="AO6" i="32"/>
  <c r="AN6" i="32"/>
  <c r="AM6" i="32"/>
  <c r="AM6" i="33" s="1"/>
  <c r="AM61" i="33" s="1"/>
  <c r="AM76" i="33" s="1"/>
  <c r="AM84" i="33" s="1"/>
  <c r="AL6" i="32"/>
  <c r="AK6" i="32"/>
  <c r="AK6" i="33" s="1"/>
  <c r="AK61" i="33" s="1"/>
  <c r="AK76" i="33" s="1"/>
  <c r="AK84" i="33" s="1"/>
  <c r="AJ6" i="32"/>
  <c r="AI6" i="32"/>
  <c r="AH6" i="32"/>
  <c r="AH6" i="33" s="1"/>
  <c r="AH61" i="33" s="1"/>
  <c r="AH76" i="33" s="1"/>
  <c r="AH84" i="33" s="1"/>
  <c r="AG6" i="32"/>
  <c r="AF6" i="32"/>
  <c r="AE6" i="32"/>
  <c r="AD6" i="32"/>
  <c r="AD6" i="33" s="1"/>
  <c r="AD61" i="33" s="1"/>
  <c r="AD76" i="33" s="1"/>
  <c r="AD84" i="33" s="1"/>
  <c r="AC6" i="32"/>
  <c r="AB6" i="32"/>
  <c r="AA6" i="32"/>
  <c r="AA6" i="33" s="1"/>
  <c r="AA61" i="33" s="1"/>
  <c r="AA76" i="33" s="1"/>
  <c r="AA84" i="33" s="1"/>
  <c r="Z6" i="32"/>
  <c r="Y6" i="32"/>
  <c r="X6" i="32"/>
  <c r="W6" i="32"/>
  <c r="W6" i="33" s="1"/>
  <c r="W61" i="33" s="1"/>
  <c r="W76" i="33" s="1"/>
  <c r="W84" i="33" s="1"/>
  <c r="V6" i="32"/>
  <c r="U6" i="32"/>
  <c r="T6" i="32"/>
  <c r="S6" i="32"/>
  <c r="S6" i="33" s="1"/>
  <c r="S61" i="33" s="1"/>
  <c r="S76" i="33" s="1"/>
  <c r="S84" i="33" s="1"/>
  <c r="R6" i="32"/>
  <c r="Q6" i="32"/>
  <c r="P6" i="32"/>
  <c r="P6" i="33" s="1"/>
  <c r="P61" i="33" s="1"/>
  <c r="P76" i="33" s="1"/>
  <c r="P84" i="33" s="1"/>
  <c r="O6" i="32"/>
  <c r="O6" i="33" s="1"/>
  <c r="O61" i="33" s="1"/>
  <c r="O76" i="33" s="1"/>
  <c r="O84" i="33" s="1"/>
  <c r="N6" i="32"/>
  <c r="N6" i="33" s="1"/>
  <c r="N61" i="33" s="1"/>
  <c r="N76" i="33" s="1"/>
  <c r="N84" i="33" s="1"/>
  <c r="M6" i="32"/>
  <c r="L6" i="32"/>
  <c r="K6" i="32"/>
  <c r="K6" i="33" s="1"/>
  <c r="K61" i="33" s="1"/>
  <c r="K76" i="33" s="1"/>
  <c r="K84" i="33" s="1"/>
  <c r="J6" i="32"/>
  <c r="J6" i="33" s="1"/>
  <c r="J61" i="33" s="1"/>
  <c r="J76" i="33" s="1"/>
  <c r="J84" i="33" s="1"/>
  <c r="I6" i="32"/>
  <c r="I6" i="33" s="1"/>
  <c r="I61" i="33" s="1"/>
  <c r="I76" i="33" s="1"/>
  <c r="I84" i="33" s="1"/>
  <c r="H6" i="32"/>
  <c r="G6" i="32"/>
  <c r="G6" i="33" s="1"/>
  <c r="G61" i="33" s="1"/>
  <c r="G76" i="33" s="1"/>
  <c r="G84" i="33" s="1"/>
  <c r="F6" i="32"/>
  <c r="F6" i="33" s="1"/>
  <c r="F61" i="33" s="1"/>
  <c r="F76" i="33" s="1"/>
  <c r="F84" i="33" s="1"/>
  <c r="E6" i="32"/>
  <c r="E6" i="33" s="1"/>
  <c r="E61" i="33" s="1"/>
  <c r="E76" i="33" s="1"/>
  <c r="E84" i="33" s="1"/>
  <c r="D6" i="32"/>
  <c r="AY5" i="32"/>
  <c r="AY5" i="33" s="1"/>
  <c r="AX5" i="32"/>
  <c r="AW5" i="32"/>
  <c r="AW5" i="33" s="1"/>
  <c r="AV5" i="32"/>
  <c r="AV5" i="33" s="1"/>
  <c r="AU5" i="32"/>
  <c r="AU5" i="33" s="1"/>
  <c r="AT5" i="32"/>
  <c r="AT5" i="33" s="1"/>
  <c r="AS5" i="32"/>
  <c r="AS5" i="33" s="1"/>
  <c r="AR5" i="32"/>
  <c r="AR5" i="33" s="1"/>
  <c r="AQ5" i="32"/>
  <c r="AQ5" i="33" s="1"/>
  <c r="AP5" i="32"/>
  <c r="AP5" i="33" s="1"/>
  <c r="AO5" i="32"/>
  <c r="AO5" i="33" s="1"/>
  <c r="AN5" i="32"/>
  <c r="AN5" i="33" s="1"/>
  <c r="AM5" i="32"/>
  <c r="AM5" i="33" s="1"/>
  <c r="AL5" i="32"/>
  <c r="AL5" i="33" s="1"/>
  <c r="AK5" i="32"/>
  <c r="AK5" i="33" s="1"/>
  <c r="AJ5" i="32"/>
  <c r="AJ5" i="33" s="1"/>
  <c r="AI5" i="32"/>
  <c r="AI5" i="33" s="1"/>
  <c r="AH5" i="32"/>
  <c r="AH5" i="33" s="1"/>
  <c r="AG5" i="32"/>
  <c r="AG5" i="33" s="1"/>
  <c r="AF5" i="32"/>
  <c r="AF5" i="33" s="1"/>
  <c r="AE5" i="32"/>
  <c r="AE5" i="33" s="1"/>
  <c r="AD5" i="32"/>
  <c r="AD5" i="33" s="1"/>
  <c r="AC5" i="32"/>
  <c r="AC5" i="33" s="1"/>
  <c r="AB5" i="32"/>
  <c r="AB5" i="33" s="1"/>
  <c r="AA5" i="32"/>
  <c r="AA5" i="33" s="1"/>
  <c r="Z5" i="32"/>
  <c r="Z5" i="33" s="1"/>
  <c r="Y5" i="32"/>
  <c r="Y5" i="33" s="1"/>
  <c r="X5" i="32"/>
  <c r="X5" i="33" s="1"/>
  <c r="W5" i="32"/>
  <c r="W5" i="33" s="1"/>
  <c r="V5" i="32"/>
  <c r="V5" i="33" s="1"/>
  <c r="U5" i="32"/>
  <c r="U5" i="33" s="1"/>
  <c r="T5" i="32"/>
  <c r="T5" i="33" s="1"/>
  <c r="S5" i="32"/>
  <c r="S5" i="33" s="1"/>
  <c r="R5" i="32"/>
  <c r="R5" i="33" s="1"/>
  <c r="Q5" i="32"/>
  <c r="Q5" i="33" s="1"/>
  <c r="P5" i="32"/>
  <c r="P5" i="33" s="1"/>
  <c r="O5" i="32"/>
  <c r="O5" i="33" s="1"/>
  <c r="N5" i="32"/>
  <c r="N5" i="33" s="1"/>
  <c r="M5" i="32"/>
  <c r="M5" i="33" s="1"/>
  <c r="L5" i="32"/>
  <c r="K5" i="32"/>
  <c r="K5" i="33" s="1"/>
  <c r="J5" i="32"/>
  <c r="J5" i="33" s="1"/>
  <c r="I5" i="32"/>
  <c r="I5" i="33" s="1"/>
  <c r="H5" i="32"/>
  <c r="H5" i="33" s="1"/>
  <c r="G5" i="32"/>
  <c r="G5" i="33" s="1"/>
  <c r="F5" i="32"/>
  <c r="F5" i="33" s="1"/>
  <c r="E5" i="32"/>
  <c r="E5" i="33" s="1"/>
  <c r="D5" i="32"/>
  <c r="D5" i="33" s="1"/>
  <c r="AY4" i="32"/>
  <c r="AX4" i="32"/>
  <c r="AW4" i="32"/>
  <c r="AV4" i="32"/>
  <c r="AU4" i="32"/>
  <c r="AT4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2" i="32"/>
  <c r="AT176" i="31"/>
  <c r="AS176" i="31"/>
  <c r="AR176" i="31"/>
  <c r="AQ176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Z176" i="31"/>
  <c r="Y176" i="31"/>
  <c r="X176" i="31"/>
  <c r="W176" i="31"/>
  <c r="V176" i="31"/>
  <c r="U176" i="31"/>
  <c r="T176" i="31"/>
  <c r="S176" i="31"/>
  <c r="R176" i="31"/>
  <c r="Q176" i="31"/>
  <c r="P176" i="31"/>
  <c r="O176" i="31"/>
  <c r="N176" i="31"/>
  <c r="M176" i="31"/>
  <c r="L176" i="31"/>
  <c r="K176" i="31"/>
  <c r="J176" i="31"/>
  <c r="I176" i="31"/>
  <c r="H176" i="31"/>
  <c r="G176" i="31"/>
  <c r="F176" i="31"/>
  <c r="E176" i="31"/>
  <c r="D176" i="31"/>
  <c r="BZ165" i="31"/>
  <c r="BZ157" i="33" s="1"/>
  <c r="BY165" i="31"/>
  <c r="BY100" i="32" s="1"/>
  <c r="BX165" i="31"/>
  <c r="BX157" i="33" s="1"/>
  <c r="BW165" i="31"/>
  <c r="BW157" i="33" s="1"/>
  <c r="BV165" i="31"/>
  <c r="BV100" i="32" s="1"/>
  <c r="BU165" i="31"/>
  <c r="BU100" i="32" s="1"/>
  <c r="BT165" i="31"/>
  <c r="BT100" i="32" s="1"/>
  <c r="BS165" i="31"/>
  <c r="BS157" i="33" s="1"/>
  <c r="BR165" i="31"/>
  <c r="BR157" i="33" s="1"/>
  <c r="BQ165" i="31"/>
  <c r="BQ100" i="32" s="1"/>
  <c r="BP165" i="31"/>
  <c r="BO165" i="31"/>
  <c r="BO157" i="33" s="1"/>
  <c r="BN165" i="31"/>
  <c r="BM165" i="31"/>
  <c r="BM100" i="32" s="1"/>
  <c r="AY165" i="31"/>
  <c r="AY100" i="32" s="1"/>
  <c r="AX165" i="31"/>
  <c r="AX157" i="33" s="1"/>
  <c r="AW165" i="31"/>
  <c r="AV165" i="31"/>
  <c r="AV100" i="32" s="1"/>
  <c r="AR165" i="31"/>
  <c r="AR100" i="32" s="1"/>
  <c r="AQ165" i="31"/>
  <c r="AP165" i="31"/>
  <c r="AO165" i="31"/>
  <c r="AO100" i="32" s="1"/>
  <c r="AN165" i="31"/>
  <c r="AN100" i="32" s="1"/>
  <c r="AL165" i="31"/>
  <c r="AK165" i="31"/>
  <c r="AK100" i="32" s="1"/>
  <c r="AJ165" i="31"/>
  <c r="AI165" i="31"/>
  <c r="AI100" i="32" s="1"/>
  <c r="AH165" i="31"/>
  <c r="AG165" i="31"/>
  <c r="AG100" i="32" s="1"/>
  <c r="AF165" i="31"/>
  <c r="AE165" i="31"/>
  <c r="AD165" i="31"/>
  <c r="AD157" i="33" s="1"/>
  <c r="AC165" i="31"/>
  <c r="AC100" i="32" s="1"/>
  <c r="AB165" i="31"/>
  <c r="AA165" i="31"/>
  <c r="AA100" i="32" s="1"/>
  <c r="Z165" i="31"/>
  <c r="Z157" i="33" s="1"/>
  <c r="Y165" i="31"/>
  <c r="Y100" i="32" s="1"/>
  <c r="X165" i="31"/>
  <c r="W165" i="31"/>
  <c r="W100" i="32" s="1"/>
  <c r="V165" i="31"/>
  <c r="U165" i="31"/>
  <c r="U100" i="32" s="1"/>
  <c r="T165" i="31"/>
  <c r="S165" i="31"/>
  <c r="S100" i="32" s="1"/>
  <c r="R165" i="31"/>
  <c r="Q165" i="31"/>
  <c r="P165" i="31"/>
  <c r="O165" i="31"/>
  <c r="N165" i="31"/>
  <c r="N157" i="33" s="1"/>
  <c r="M165" i="31"/>
  <c r="M100" i="32" s="1"/>
  <c r="L165" i="31"/>
  <c r="L100" i="32" s="1"/>
  <c r="K165" i="31"/>
  <c r="K157" i="33" s="1"/>
  <c r="J165" i="31"/>
  <c r="I165" i="31"/>
  <c r="I100" i="32" s="1"/>
  <c r="H165" i="31"/>
  <c r="H100" i="32" s="1"/>
  <c r="G165" i="31"/>
  <c r="G100" i="32" s="1"/>
  <c r="F165" i="31"/>
  <c r="F100" i="32" s="1"/>
  <c r="E165" i="31"/>
  <c r="E157" i="33" s="1"/>
  <c r="D165" i="31"/>
  <c r="AM156" i="31"/>
  <c r="AL156" i="31"/>
  <c r="AK156" i="31"/>
  <c r="AJ156" i="31"/>
  <c r="AI156" i="31"/>
  <c r="AH156" i="31"/>
  <c r="AG156" i="31"/>
  <c r="AF156" i="31"/>
  <c r="AE156" i="31"/>
  <c r="AD156" i="31"/>
  <c r="AC156" i="31"/>
  <c r="AB156" i="31"/>
  <c r="AA156" i="31"/>
  <c r="Z156" i="31"/>
  <c r="Y156" i="31"/>
  <c r="X156" i="31"/>
  <c r="W156" i="31"/>
  <c r="V156" i="31"/>
  <c r="U156" i="31"/>
  <c r="T156" i="31"/>
  <c r="S156" i="31"/>
  <c r="R156" i="31"/>
  <c r="Q156" i="31"/>
  <c r="P156" i="31"/>
  <c r="O156" i="31"/>
  <c r="N156" i="31"/>
  <c r="M156" i="31"/>
  <c r="L156" i="31"/>
  <c r="BV145" i="31"/>
  <c r="BU145" i="31"/>
  <c r="BT145" i="31"/>
  <c r="BS145" i="31"/>
  <c r="BR145" i="31"/>
  <c r="BQ145" i="31"/>
  <c r="BP145" i="31"/>
  <c r="BO145" i="31"/>
  <c r="BN145" i="31"/>
  <c r="BM145" i="31"/>
  <c r="BW145" i="31"/>
  <c r="AT143" i="31"/>
  <c r="AS143" i="31"/>
  <c r="AR143" i="31"/>
  <c r="AQ143" i="31"/>
  <c r="BV143" i="31" s="1"/>
  <c r="AP143" i="31"/>
  <c r="AO143" i="31"/>
  <c r="AN143" i="31"/>
  <c r="AM143" i="31"/>
  <c r="BU143" i="31" s="1"/>
  <c r="AL143" i="31"/>
  <c r="AK143" i="31"/>
  <c r="AJ143" i="31"/>
  <c r="AI143" i="31"/>
  <c r="BT143" i="31" s="1"/>
  <c r="AH143" i="31"/>
  <c r="AG143" i="31"/>
  <c r="AF143" i="31"/>
  <c r="AE143" i="31"/>
  <c r="BS143" i="31" s="1"/>
  <c r="AD143" i="31"/>
  <c r="AC143" i="31"/>
  <c r="AB143" i="31"/>
  <c r="AA143" i="31"/>
  <c r="BR143" i="31" s="1"/>
  <c r="Z143" i="31"/>
  <c r="Y143" i="31"/>
  <c r="X143" i="31"/>
  <c r="W143" i="31"/>
  <c r="BQ143" i="31" s="1"/>
  <c r="V143" i="31"/>
  <c r="U143" i="31"/>
  <c r="T143" i="31"/>
  <c r="S143" i="31"/>
  <c r="BP143" i="31" s="1"/>
  <c r="R143" i="31"/>
  <c r="Q143" i="31"/>
  <c r="P143" i="31"/>
  <c r="O143" i="31"/>
  <c r="BO143" i="31" s="1"/>
  <c r="N143" i="31"/>
  <c r="M143" i="31"/>
  <c r="L143" i="31"/>
  <c r="K143" i="31"/>
  <c r="BN143" i="31" s="1"/>
  <c r="J143" i="31"/>
  <c r="I143" i="31"/>
  <c r="H143" i="31"/>
  <c r="G143" i="31"/>
  <c r="BM143" i="31" s="1"/>
  <c r="F143" i="31"/>
  <c r="E143" i="31"/>
  <c r="D143" i="31"/>
  <c r="AT141" i="31"/>
  <c r="AS141" i="31"/>
  <c r="AR141" i="31"/>
  <c r="AQ141" i="31"/>
  <c r="AP141" i="31"/>
  <c r="AO141" i="31"/>
  <c r="AN141" i="31"/>
  <c r="AM141" i="31"/>
  <c r="AL141" i="31"/>
  <c r="AK141" i="31"/>
  <c r="AJ141" i="31"/>
  <c r="AI141" i="31"/>
  <c r="AH141" i="31"/>
  <c r="AG141" i="31"/>
  <c r="AF141" i="31"/>
  <c r="AE141" i="31"/>
  <c r="AD141" i="31"/>
  <c r="AC141" i="31"/>
  <c r="AB141" i="31"/>
  <c r="AA141" i="31"/>
  <c r="Z141" i="31"/>
  <c r="Y141" i="31"/>
  <c r="X141" i="31"/>
  <c r="W141" i="31"/>
  <c r="V141" i="31"/>
  <c r="U141" i="31"/>
  <c r="T141" i="31"/>
  <c r="S141" i="31"/>
  <c r="R141" i="31"/>
  <c r="Q141" i="31"/>
  <c r="P141" i="31"/>
  <c r="O141" i="31"/>
  <c r="N141" i="31"/>
  <c r="M141" i="31"/>
  <c r="L141" i="31"/>
  <c r="K141" i="31"/>
  <c r="J141" i="31"/>
  <c r="I141" i="31"/>
  <c r="H141" i="31"/>
  <c r="G141" i="31"/>
  <c r="F141" i="31"/>
  <c r="E141" i="31"/>
  <c r="D141" i="31"/>
  <c r="O140" i="31"/>
  <c r="O75" i="32" s="1"/>
  <c r="O81" i="32" s="1"/>
  <c r="O95" i="32" s="1"/>
  <c r="N140" i="31"/>
  <c r="N75" i="32" s="1"/>
  <c r="M140" i="31"/>
  <c r="M75" i="32" s="1"/>
  <c r="M80" i="32" s="1"/>
  <c r="L140" i="31"/>
  <c r="L75" i="32" s="1"/>
  <c r="K140" i="31"/>
  <c r="J140" i="31"/>
  <c r="J75" i="32" s="1"/>
  <c r="I140" i="31"/>
  <c r="I75" i="32" s="1"/>
  <c r="I76" i="32" s="1"/>
  <c r="H140" i="31"/>
  <c r="H75" i="32" s="1"/>
  <c r="G140" i="31"/>
  <c r="G75" i="32" s="1"/>
  <c r="G76" i="32" s="1"/>
  <c r="F140" i="31"/>
  <c r="F75" i="32" s="1"/>
  <c r="F80" i="32" s="1"/>
  <c r="E140" i="31"/>
  <c r="D140" i="31"/>
  <c r="D75" i="32" s="1"/>
  <c r="D76" i="32" s="1"/>
  <c r="BV140" i="31"/>
  <c r="BU140" i="31"/>
  <c r="BT140" i="31"/>
  <c r="BS140" i="31"/>
  <c r="BS75" i="32" s="1"/>
  <c r="BR140" i="31"/>
  <c r="BR75" i="32" s="1"/>
  <c r="BQ140" i="31"/>
  <c r="BQ75" i="32" s="1"/>
  <c r="BP140" i="31"/>
  <c r="BP75" i="32" s="1"/>
  <c r="BV139" i="31"/>
  <c r="BU139" i="31"/>
  <c r="BT139" i="31"/>
  <c r="BS139" i="31"/>
  <c r="BR139" i="31"/>
  <c r="BQ139" i="31"/>
  <c r="BP139" i="31"/>
  <c r="BO139" i="31"/>
  <c r="BN139" i="31"/>
  <c r="BM139" i="31"/>
  <c r="AT137" i="31"/>
  <c r="AS137" i="31"/>
  <c r="AR137" i="31"/>
  <c r="AQ137" i="31"/>
  <c r="AP137" i="31"/>
  <c r="AO137" i="31"/>
  <c r="AN137" i="31"/>
  <c r="AM137" i="31"/>
  <c r="AL137" i="31"/>
  <c r="AK137" i="31"/>
  <c r="AJ137" i="31"/>
  <c r="AI137" i="31"/>
  <c r="AH137" i="31"/>
  <c r="AG137" i="31"/>
  <c r="AF137" i="31"/>
  <c r="AE137" i="31"/>
  <c r="AD137" i="31"/>
  <c r="AC137" i="31"/>
  <c r="AB137" i="31"/>
  <c r="AA137" i="31"/>
  <c r="Z137" i="31"/>
  <c r="Y137" i="31"/>
  <c r="X137" i="31"/>
  <c r="W137" i="31"/>
  <c r="V137" i="31"/>
  <c r="U137" i="31"/>
  <c r="T137" i="31"/>
  <c r="S137" i="31"/>
  <c r="R137" i="31"/>
  <c r="Q137" i="31"/>
  <c r="P137" i="31"/>
  <c r="O137" i="31"/>
  <c r="N137" i="31"/>
  <c r="M137" i="31"/>
  <c r="L137" i="31"/>
  <c r="K137" i="31"/>
  <c r="J137" i="31"/>
  <c r="I137" i="31"/>
  <c r="H137" i="31"/>
  <c r="G137" i="31"/>
  <c r="F137" i="31"/>
  <c r="E137" i="31"/>
  <c r="D137" i="31"/>
  <c r="BV136" i="31"/>
  <c r="BU136" i="31"/>
  <c r="BT136" i="31"/>
  <c r="BS136" i="31"/>
  <c r="BR136" i="31"/>
  <c r="BQ136" i="31"/>
  <c r="BP136" i="31"/>
  <c r="BO136" i="31"/>
  <c r="BN136" i="31"/>
  <c r="BM136" i="31"/>
  <c r="BX126" i="31"/>
  <c r="BW126" i="31"/>
  <c r="BV126" i="31"/>
  <c r="BU126" i="31"/>
  <c r="BT126" i="31"/>
  <c r="BS126" i="31"/>
  <c r="BR126" i="31"/>
  <c r="BQ126" i="31"/>
  <c r="BP126" i="31"/>
  <c r="BO126" i="31"/>
  <c r="BN126" i="31"/>
  <c r="BM126" i="31"/>
  <c r="BX119" i="31"/>
  <c r="BW119" i="31"/>
  <c r="BV119" i="31"/>
  <c r="BU119" i="31"/>
  <c r="BT119" i="31"/>
  <c r="BS119" i="31"/>
  <c r="BR119" i="31"/>
  <c r="BQ119" i="31"/>
  <c r="BP119" i="31"/>
  <c r="BO119" i="31"/>
  <c r="BN119" i="31"/>
  <c r="BM119" i="31"/>
  <c r="AT118" i="31"/>
  <c r="AT120" i="31" s="1"/>
  <c r="AT109" i="31" s="1"/>
  <c r="AS118" i="31"/>
  <c r="AS120" i="31" s="1"/>
  <c r="AS109" i="31" s="1"/>
  <c r="AR118" i="31"/>
  <c r="AR120" i="31" s="1"/>
  <c r="AR109" i="31" s="1"/>
  <c r="AQ118" i="31"/>
  <c r="AQ120" i="31" s="1"/>
  <c r="AQ109" i="31" s="1"/>
  <c r="AP118" i="31"/>
  <c r="AO118" i="31"/>
  <c r="AO120" i="31" s="1"/>
  <c r="AO109" i="31" s="1"/>
  <c r="AN118" i="31"/>
  <c r="AN120" i="31" s="1"/>
  <c r="AN109" i="31" s="1"/>
  <c r="AM118" i="31"/>
  <c r="AM120" i="31" s="1"/>
  <c r="AM109" i="31" s="1"/>
  <c r="AL118" i="31"/>
  <c r="AL120" i="31" s="1"/>
  <c r="AL109" i="31" s="1"/>
  <c r="AK118" i="31"/>
  <c r="AK120" i="31" s="1"/>
  <c r="AK109" i="31" s="1"/>
  <c r="AJ118" i="31"/>
  <c r="AJ120" i="31" s="1"/>
  <c r="AJ109" i="31" s="1"/>
  <c r="AI118" i="31"/>
  <c r="AI120" i="31" s="1"/>
  <c r="AI109" i="31" s="1"/>
  <c r="AH118" i="31"/>
  <c r="AG118" i="31"/>
  <c r="AG120" i="31" s="1"/>
  <c r="AG109" i="31" s="1"/>
  <c r="AF118" i="31"/>
  <c r="AF120" i="31" s="1"/>
  <c r="AF109" i="31" s="1"/>
  <c r="AE118" i="31"/>
  <c r="AE120" i="31" s="1"/>
  <c r="AE109" i="31" s="1"/>
  <c r="AD118" i="31"/>
  <c r="AD120" i="31" s="1"/>
  <c r="AD109" i="31" s="1"/>
  <c r="AC118" i="31"/>
  <c r="AC120" i="31" s="1"/>
  <c r="AC109" i="31" s="1"/>
  <c r="AB118" i="31"/>
  <c r="AA118" i="31"/>
  <c r="AA120" i="31" s="1"/>
  <c r="AA109" i="31" s="1"/>
  <c r="Z118" i="31"/>
  <c r="Z120" i="31" s="1"/>
  <c r="Z109" i="31" s="1"/>
  <c r="Y118" i="31"/>
  <c r="X118" i="31"/>
  <c r="X120" i="31" s="1"/>
  <c r="X109" i="31" s="1"/>
  <c r="W118" i="31"/>
  <c r="W120" i="31" s="1"/>
  <c r="W109" i="31" s="1"/>
  <c r="V118" i="31"/>
  <c r="V120" i="31" s="1"/>
  <c r="V109" i="31" s="1"/>
  <c r="U118" i="31"/>
  <c r="T118" i="31"/>
  <c r="T120" i="31" s="1"/>
  <c r="T109" i="31" s="1"/>
  <c r="S118" i="31"/>
  <c r="S120" i="31" s="1"/>
  <c r="S109" i="31" s="1"/>
  <c r="R118" i="31"/>
  <c r="R120" i="31" s="1"/>
  <c r="R109" i="31" s="1"/>
  <c r="Q118" i="31"/>
  <c r="Q120" i="31" s="1"/>
  <c r="Q109" i="31" s="1"/>
  <c r="P118" i="31"/>
  <c r="P120" i="31" s="1"/>
  <c r="P109" i="31" s="1"/>
  <c r="O118" i="31"/>
  <c r="O120" i="31" s="1"/>
  <c r="O109" i="31" s="1"/>
  <c r="N118" i="31"/>
  <c r="N120" i="31" s="1"/>
  <c r="N109" i="31" s="1"/>
  <c r="M118" i="31"/>
  <c r="M120" i="31" s="1"/>
  <c r="M109" i="31" s="1"/>
  <c r="L118" i="31"/>
  <c r="L120" i="31" s="1"/>
  <c r="L109" i="31" s="1"/>
  <c r="K118" i="31"/>
  <c r="K120" i="31" s="1"/>
  <c r="K109" i="31" s="1"/>
  <c r="J118" i="31"/>
  <c r="J120" i="31" s="1"/>
  <c r="J109" i="31" s="1"/>
  <c r="I118" i="31"/>
  <c r="I120" i="31" s="1"/>
  <c r="I109" i="31" s="1"/>
  <c r="H118" i="31"/>
  <c r="H120" i="31" s="1"/>
  <c r="H109" i="31" s="1"/>
  <c r="G118" i="31"/>
  <c r="G120" i="31" s="1"/>
  <c r="G109" i="31" s="1"/>
  <c r="F118" i="31"/>
  <c r="F120" i="31" s="1"/>
  <c r="F109" i="31" s="1"/>
  <c r="E118" i="31"/>
  <c r="E120" i="31" s="1"/>
  <c r="E109" i="31" s="1"/>
  <c r="D118" i="31"/>
  <c r="D120" i="31" s="1"/>
  <c r="D109" i="31" s="1"/>
  <c r="AT115" i="31"/>
  <c r="AT116" i="31" s="1"/>
  <c r="AS115" i="31"/>
  <c r="AS116" i="31" s="1"/>
  <c r="AR115" i="31"/>
  <c r="AR116" i="31" s="1"/>
  <c r="AP115" i="31"/>
  <c r="AP116" i="31" s="1"/>
  <c r="AO115" i="31"/>
  <c r="AO116" i="31" s="1"/>
  <c r="AN115" i="31"/>
  <c r="AN116" i="31" s="1"/>
  <c r="AL115" i="31"/>
  <c r="AL116" i="31" s="1"/>
  <c r="AK115" i="31"/>
  <c r="AK116" i="31" s="1"/>
  <c r="AJ115" i="31"/>
  <c r="AJ116" i="31" s="1"/>
  <c r="AI115" i="31"/>
  <c r="AI116" i="31" s="1"/>
  <c r="AH115" i="31"/>
  <c r="AH116" i="31" s="1"/>
  <c r="AG115" i="31"/>
  <c r="AG116" i="31" s="1"/>
  <c r="AF115" i="31"/>
  <c r="AF116" i="31" s="1"/>
  <c r="AE115" i="31"/>
  <c r="AE116" i="31" s="1"/>
  <c r="AD115" i="31"/>
  <c r="AD116" i="31" s="1"/>
  <c r="AC115" i="31"/>
  <c r="AC116" i="31" s="1"/>
  <c r="AB115" i="31"/>
  <c r="AB116" i="31" s="1"/>
  <c r="AA115" i="31"/>
  <c r="AA116" i="31" s="1"/>
  <c r="Z115" i="31"/>
  <c r="Z116" i="31" s="1"/>
  <c r="Y115" i="31"/>
  <c r="Y116" i="31" s="1"/>
  <c r="X115" i="31"/>
  <c r="X116" i="31" s="1"/>
  <c r="W115" i="31"/>
  <c r="W116" i="31" s="1"/>
  <c r="V115" i="31"/>
  <c r="V116" i="31" s="1"/>
  <c r="U115" i="31"/>
  <c r="U116" i="31" s="1"/>
  <c r="T115" i="31"/>
  <c r="T116" i="31" s="1"/>
  <c r="S115" i="31"/>
  <c r="S116" i="31" s="1"/>
  <c r="R115" i="31"/>
  <c r="R116" i="31" s="1"/>
  <c r="Q115" i="31"/>
  <c r="Q116" i="31" s="1"/>
  <c r="P115" i="31"/>
  <c r="P116" i="31" s="1"/>
  <c r="O115" i="31"/>
  <c r="O116" i="31" s="1"/>
  <c r="N115" i="31"/>
  <c r="N116" i="31" s="1"/>
  <c r="M115" i="31"/>
  <c r="M116" i="31" s="1"/>
  <c r="L115" i="31"/>
  <c r="L116" i="31" s="1"/>
  <c r="K115" i="31"/>
  <c r="K116" i="31" s="1"/>
  <c r="J115" i="31"/>
  <c r="J116" i="31" s="1"/>
  <c r="I115" i="31"/>
  <c r="I116" i="31" s="1"/>
  <c r="H115" i="31"/>
  <c r="H116" i="31" s="1"/>
  <c r="G115" i="31"/>
  <c r="G116" i="31" s="1"/>
  <c r="F115" i="31"/>
  <c r="F116" i="31" s="1"/>
  <c r="E115" i="31"/>
  <c r="E116" i="31" s="1"/>
  <c r="D115" i="31"/>
  <c r="D116" i="31" s="1"/>
  <c r="AS108" i="31"/>
  <c r="AR108" i="31"/>
  <c r="AQ108" i="31"/>
  <c r="AP108" i="31"/>
  <c r="AO108" i="31"/>
  <c r="AN108" i="31"/>
  <c r="AM108" i="31"/>
  <c r="AL108" i="31"/>
  <c r="AK108" i="31"/>
  <c r="AJ108" i="31"/>
  <c r="AI108" i="31"/>
  <c r="AH108" i="31"/>
  <c r="AG108" i="31"/>
  <c r="AF108" i="31"/>
  <c r="AE108" i="31"/>
  <c r="AD108" i="31"/>
  <c r="AC108" i="31"/>
  <c r="AB108" i="31"/>
  <c r="AA108" i="31"/>
  <c r="Z108" i="31"/>
  <c r="Y108" i="31"/>
  <c r="X108" i="31"/>
  <c r="W108" i="31"/>
  <c r="V108" i="31"/>
  <c r="U108" i="31"/>
  <c r="T108" i="31"/>
  <c r="S108" i="31"/>
  <c r="R108" i="31"/>
  <c r="Q108" i="31"/>
  <c r="P108" i="31"/>
  <c r="O108" i="31"/>
  <c r="N108" i="31"/>
  <c r="M108" i="31"/>
  <c r="L108" i="31"/>
  <c r="K108" i="31"/>
  <c r="J108" i="31"/>
  <c r="I108" i="31"/>
  <c r="H108" i="31"/>
  <c r="G108" i="31"/>
  <c r="F108" i="31"/>
  <c r="E108" i="31"/>
  <c r="D108" i="31"/>
  <c r="AS101" i="31"/>
  <c r="AS103" i="31" s="1"/>
  <c r="AR101" i="31"/>
  <c r="AR103" i="31" s="1"/>
  <c r="AP101" i="31"/>
  <c r="AP103" i="31" s="1"/>
  <c r="AO101" i="31"/>
  <c r="AO103" i="31" s="1"/>
  <c r="AN101" i="31"/>
  <c r="AN103" i="31" s="1"/>
  <c r="AL101" i="31"/>
  <c r="AL103" i="31" s="1"/>
  <c r="AK101" i="31"/>
  <c r="AK103" i="31" s="1"/>
  <c r="AJ101" i="31"/>
  <c r="AJ103" i="31" s="1"/>
  <c r="AI101" i="31"/>
  <c r="AI103" i="31" s="1"/>
  <c r="AH101" i="31"/>
  <c r="AH103" i="31" s="1"/>
  <c r="AG101" i="31"/>
  <c r="AG103" i="31" s="1"/>
  <c r="AF101" i="31"/>
  <c r="AF103" i="31" s="1"/>
  <c r="AE101" i="31"/>
  <c r="AE103" i="31" s="1"/>
  <c r="AD101" i="31"/>
  <c r="AD103" i="31" s="1"/>
  <c r="AC101" i="31"/>
  <c r="AC103" i="31" s="1"/>
  <c r="AB101" i="31"/>
  <c r="AB103" i="31" s="1"/>
  <c r="AA101" i="31"/>
  <c r="AA103" i="31" s="1"/>
  <c r="Z101" i="31"/>
  <c r="Z103" i="31" s="1"/>
  <c r="Y101" i="31"/>
  <c r="Y103" i="31" s="1"/>
  <c r="X101" i="31"/>
  <c r="X103" i="31" s="1"/>
  <c r="W101" i="31"/>
  <c r="W103" i="31" s="1"/>
  <c r="V101" i="31"/>
  <c r="V103" i="31" s="1"/>
  <c r="U101" i="31"/>
  <c r="U103" i="31" s="1"/>
  <c r="T101" i="31"/>
  <c r="T103" i="31" s="1"/>
  <c r="S101" i="31"/>
  <c r="S103" i="31" s="1"/>
  <c r="R101" i="31"/>
  <c r="R103" i="31" s="1"/>
  <c r="Q101" i="31"/>
  <c r="Q103" i="31" s="1"/>
  <c r="P101" i="31"/>
  <c r="P103" i="31" s="1"/>
  <c r="O101" i="31"/>
  <c r="O103" i="31" s="1"/>
  <c r="N101" i="31"/>
  <c r="N103" i="31" s="1"/>
  <c r="M101" i="31"/>
  <c r="M103" i="31" s="1"/>
  <c r="L101" i="31"/>
  <c r="L103" i="31" s="1"/>
  <c r="K101" i="31"/>
  <c r="K103" i="31" s="1"/>
  <c r="J101" i="31"/>
  <c r="J103" i="31" s="1"/>
  <c r="I101" i="31"/>
  <c r="I103" i="31" s="1"/>
  <c r="H101" i="31"/>
  <c r="H103" i="31" s="1"/>
  <c r="G101" i="31"/>
  <c r="G103" i="31" s="1"/>
  <c r="F101" i="31"/>
  <c r="F103" i="31" s="1"/>
  <c r="E101" i="31"/>
  <c r="E103" i="31" s="1"/>
  <c r="D101" i="31"/>
  <c r="D103" i="31" s="1"/>
  <c r="BX100" i="31"/>
  <c r="BW100" i="31"/>
  <c r="BV100" i="31"/>
  <c r="BU100" i="31"/>
  <c r="BT100" i="31"/>
  <c r="BS100" i="31"/>
  <c r="BR100" i="31"/>
  <c r="BQ100" i="31"/>
  <c r="BP100" i="31"/>
  <c r="BO100" i="31"/>
  <c r="BN100" i="31"/>
  <c r="BM100" i="31"/>
  <c r="BV99" i="31"/>
  <c r="BU99" i="31"/>
  <c r="BT99" i="31"/>
  <c r="BS99" i="31"/>
  <c r="BR99" i="31"/>
  <c r="BQ99" i="31"/>
  <c r="BP99" i="31"/>
  <c r="BO99" i="31"/>
  <c r="BN99" i="31"/>
  <c r="BM99" i="31"/>
  <c r="AT99" i="31"/>
  <c r="BT98" i="31"/>
  <c r="BS98" i="31"/>
  <c r="BR98" i="31"/>
  <c r="BQ98" i="31"/>
  <c r="BP98" i="31"/>
  <c r="BO98" i="31"/>
  <c r="BN98" i="31"/>
  <c r="BM98" i="31"/>
  <c r="BV96" i="31"/>
  <c r="BU96" i="31"/>
  <c r="BT96" i="31"/>
  <c r="BS96" i="31"/>
  <c r="BR96" i="31"/>
  <c r="BQ96" i="31"/>
  <c r="BP96" i="31"/>
  <c r="BO96" i="31"/>
  <c r="BN96" i="31"/>
  <c r="BM96" i="31"/>
  <c r="BM85" i="31"/>
  <c r="BM83" i="31"/>
  <c r="BV85" i="31"/>
  <c r="BU85" i="31"/>
  <c r="BT85" i="31"/>
  <c r="BS85" i="31"/>
  <c r="BR85" i="31"/>
  <c r="BQ85" i="31"/>
  <c r="BP85" i="31"/>
  <c r="BO85" i="31"/>
  <c r="BN85" i="31"/>
  <c r="BV83" i="31"/>
  <c r="BU83" i="31"/>
  <c r="BT83" i="31"/>
  <c r="BS83" i="31"/>
  <c r="BR83" i="31"/>
  <c r="BQ83" i="31"/>
  <c r="BP83" i="31"/>
  <c r="BO83" i="31"/>
  <c r="BN83" i="31"/>
  <c r="AT82" i="31"/>
  <c r="AS82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X82" i="31"/>
  <c r="W82" i="31"/>
  <c r="V82" i="31"/>
  <c r="U82" i="31"/>
  <c r="T82" i="31"/>
  <c r="S82" i="31"/>
  <c r="R82" i="31"/>
  <c r="Q82" i="31"/>
  <c r="P82" i="31"/>
  <c r="O82" i="31"/>
  <c r="N82" i="31"/>
  <c r="M82" i="31"/>
  <c r="L82" i="31"/>
  <c r="K82" i="31"/>
  <c r="J82" i="31"/>
  <c r="I82" i="31"/>
  <c r="H82" i="31"/>
  <c r="BV81" i="31"/>
  <c r="BV82" i="31" s="1"/>
  <c r="BU81" i="31"/>
  <c r="BT81" i="31"/>
  <c r="BS81" i="31"/>
  <c r="BR81" i="31"/>
  <c r="BQ81" i="31"/>
  <c r="BP81" i="31"/>
  <c r="BO81" i="31"/>
  <c r="BN81" i="31"/>
  <c r="BN82" i="31" s="1"/>
  <c r="BM81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Y80" i="31"/>
  <c r="X80" i="31"/>
  <c r="W80" i="31"/>
  <c r="V80" i="31"/>
  <c r="U80" i="31"/>
  <c r="T80" i="31"/>
  <c r="S80" i="31"/>
  <c r="R80" i="31"/>
  <c r="Q80" i="31"/>
  <c r="P80" i="31"/>
  <c r="O80" i="31"/>
  <c r="N80" i="31"/>
  <c r="M80" i="31"/>
  <c r="L80" i="31"/>
  <c r="K80" i="31"/>
  <c r="J80" i="31"/>
  <c r="I80" i="31"/>
  <c r="H80" i="31"/>
  <c r="G80" i="31"/>
  <c r="F80" i="31"/>
  <c r="E80" i="31"/>
  <c r="BV79" i="31"/>
  <c r="BV80" i="31" s="1"/>
  <c r="BU79" i="31"/>
  <c r="BT79" i="31"/>
  <c r="BS79" i="31"/>
  <c r="BR79" i="31"/>
  <c r="BR80" i="31" s="1"/>
  <c r="BQ79" i="31"/>
  <c r="BP79" i="31"/>
  <c r="BO79" i="31"/>
  <c r="BN79" i="31"/>
  <c r="BM79" i="31"/>
  <c r="AT78" i="31"/>
  <c r="AS78" i="31"/>
  <c r="AS84" i="31" s="1"/>
  <c r="AS87" i="31" s="1"/>
  <c r="AR78" i="31"/>
  <c r="AR84" i="31" s="1"/>
  <c r="AR87" i="31" s="1"/>
  <c r="AQ78" i="31"/>
  <c r="AQ86" i="31" s="1"/>
  <c r="AP78" i="31"/>
  <c r="AP86" i="31" s="1"/>
  <c r="AO78" i="31"/>
  <c r="AO84" i="31" s="1"/>
  <c r="AO87" i="31" s="1"/>
  <c r="AN78" i="31"/>
  <c r="AN86" i="31" s="1"/>
  <c r="AM78" i="31"/>
  <c r="AL78" i="31"/>
  <c r="AL86" i="31" s="1"/>
  <c r="AK78" i="31"/>
  <c r="AJ78" i="31"/>
  <c r="AJ84" i="31" s="1"/>
  <c r="AJ87" i="31" s="1"/>
  <c r="AI78" i="31"/>
  <c r="AI84" i="31" s="1"/>
  <c r="AI87" i="31" s="1"/>
  <c r="AH78" i="31"/>
  <c r="AH84" i="31" s="1"/>
  <c r="AH87" i="31" s="1"/>
  <c r="AG78" i="31"/>
  <c r="AG84" i="31" s="1"/>
  <c r="AG87" i="31" s="1"/>
  <c r="AF78" i="31"/>
  <c r="AF84" i="31" s="1"/>
  <c r="AF87" i="31" s="1"/>
  <c r="AE78" i="31"/>
  <c r="AE84" i="31" s="1"/>
  <c r="AE87" i="31" s="1"/>
  <c r="AD78" i="31"/>
  <c r="AC78" i="31"/>
  <c r="AB78" i="31"/>
  <c r="AA78" i="31"/>
  <c r="AA84" i="31" s="1"/>
  <c r="AA87" i="31" s="1"/>
  <c r="Z78" i="31"/>
  <c r="Z84" i="31" s="1"/>
  <c r="Z87" i="31" s="1"/>
  <c r="Y78" i="31"/>
  <c r="Y84" i="31" s="1"/>
  <c r="Y87" i="31" s="1"/>
  <c r="X78" i="31"/>
  <c r="X86" i="31" s="1"/>
  <c r="W78" i="31"/>
  <c r="V78" i="31"/>
  <c r="V86" i="31" s="1"/>
  <c r="U78" i="31"/>
  <c r="U84" i="31" s="1"/>
  <c r="U87" i="31" s="1"/>
  <c r="T78" i="31"/>
  <c r="S78" i="31"/>
  <c r="S84" i="31" s="1"/>
  <c r="S87" i="31" s="1"/>
  <c r="R78" i="31"/>
  <c r="Q78" i="31"/>
  <c r="Q84" i="31" s="1"/>
  <c r="Q87" i="31" s="1"/>
  <c r="P78" i="31"/>
  <c r="P86" i="31" s="1"/>
  <c r="O78" i="31"/>
  <c r="O84" i="31" s="1"/>
  <c r="O87" i="31" s="1"/>
  <c r="N78" i="31"/>
  <c r="N86" i="31" s="1"/>
  <c r="M78" i="31"/>
  <c r="M84" i="31" s="1"/>
  <c r="M87" i="31" s="1"/>
  <c r="L78" i="31"/>
  <c r="L86" i="31" s="1"/>
  <c r="K78" i="31"/>
  <c r="K86" i="31" s="1"/>
  <c r="J78" i="31"/>
  <c r="I78" i="31"/>
  <c r="H78" i="31"/>
  <c r="H84" i="31" s="1"/>
  <c r="H87" i="31" s="1"/>
  <c r="G78" i="31"/>
  <c r="G84" i="31" s="1"/>
  <c r="G87" i="31" s="1"/>
  <c r="F78" i="31"/>
  <c r="F86" i="31" s="1"/>
  <c r="E78" i="31"/>
  <c r="E84" i="31" s="1"/>
  <c r="E87" i="31" s="1"/>
  <c r="D78" i="31"/>
  <c r="BX62" i="31"/>
  <c r="BW62" i="31"/>
  <c r="BV62" i="31"/>
  <c r="BU62" i="31"/>
  <c r="BT62" i="31"/>
  <c r="BS62" i="31"/>
  <c r="BR62" i="31"/>
  <c r="BQ62" i="31"/>
  <c r="BP62" i="31"/>
  <c r="BO62" i="31"/>
  <c r="BN62" i="31"/>
  <c r="BM62" i="31"/>
  <c r="BV60" i="31"/>
  <c r="BU60" i="31"/>
  <c r="BT60" i="31"/>
  <c r="BS60" i="31"/>
  <c r="BR60" i="31"/>
  <c r="BQ60" i="31"/>
  <c r="BP60" i="31"/>
  <c r="BO60" i="31"/>
  <c r="BN60" i="31"/>
  <c r="BM60" i="31"/>
  <c r="BX59" i="31"/>
  <c r="BW59" i="31"/>
  <c r="BV59" i="31"/>
  <c r="BU59" i="31"/>
  <c r="BT59" i="31"/>
  <c r="BS59" i="31"/>
  <c r="BR59" i="31"/>
  <c r="BQ59" i="31"/>
  <c r="BP59" i="31"/>
  <c r="BO59" i="31"/>
  <c r="BN59" i="31"/>
  <c r="BM59" i="31"/>
  <c r="BX58" i="31"/>
  <c r="BW58" i="31"/>
  <c r="BV58" i="31"/>
  <c r="BU58" i="31"/>
  <c r="BT58" i="31"/>
  <c r="BS58" i="31"/>
  <c r="BR58" i="31"/>
  <c r="BQ58" i="31"/>
  <c r="BP58" i="31"/>
  <c r="BO58" i="31"/>
  <c r="BN58" i="31"/>
  <c r="BM58" i="31"/>
  <c r="BX57" i="31"/>
  <c r="BW57" i="31"/>
  <c r="BV57" i="31"/>
  <c r="BU57" i="31"/>
  <c r="BT57" i="31"/>
  <c r="BS57" i="31"/>
  <c r="BR57" i="31"/>
  <c r="BQ57" i="31"/>
  <c r="BP57" i="31"/>
  <c r="BO57" i="31"/>
  <c r="BN57" i="31"/>
  <c r="BM57" i="31"/>
  <c r="BX56" i="31"/>
  <c r="BW56" i="31"/>
  <c r="BV56" i="31"/>
  <c r="BU56" i="31"/>
  <c r="BT56" i="31"/>
  <c r="BS56" i="31"/>
  <c r="BR56" i="31"/>
  <c r="BQ56" i="31"/>
  <c r="BP56" i="31"/>
  <c r="BO56" i="31"/>
  <c r="BN56" i="31"/>
  <c r="BM56" i="31"/>
  <c r="BX55" i="31"/>
  <c r="BX54" i="31" s="1"/>
  <c r="BW55" i="31"/>
  <c r="BW54" i="31" s="1"/>
  <c r="BV55" i="31"/>
  <c r="BV54" i="31" s="1"/>
  <c r="BV61" i="31" s="1"/>
  <c r="BU55" i="31"/>
  <c r="BT55" i="31"/>
  <c r="BS55" i="31"/>
  <c r="BS54" i="31" s="1"/>
  <c r="BS61" i="31" s="1"/>
  <c r="BR55" i="31"/>
  <c r="BR54" i="31" s="1"/>
  <c r="BR61" i="31" s="1"/>
  <c r="BQ55" i="31"/>
  <c r="BQ54" i="31" s="1"/>
  <c r="BQ61" i="31" s="1"/>
  <c r="BP55" i="31"/>
  <c r="BO55" i="31"/>
  <c r="BN55" i="31"/>
  <c r="BM55" i="31"/>
  <c r="AT54" i="31"/>
  <c r="AS54" i="31"/>
  <c r="AS66" i="31" s="1"/>
  <c r="AR54" i="31"/>
  <c r="AR151" i="31" s="1"/>
  <c r="AQ54" i="31"/>
  <c r="AQ151" i="31" s="1"/>
  <c r="AP54" i="31"/>
  <c r="AP61" i="31" s="1"/>
  <c r="AP63" i="31" s="1"/>
  <c r="AO54" i="31"/>
  <c r="AO152" i="31" s="1"/>
  <c r="AN54" i="31"/>
  <c r="AN151" i="31" s="1"/>
  <c r="AM54" i="31"/>
  <c r="AM66" i="31" s="1"/>
  <c r="AL54" i="31"/>
  <c r="AL152" i="31" s="1"/>
  <c r="AK54" i="31"/>
  <c r="AK152" i="31" s="1"/>
  <c r="AJ54" i="31"/>
  <c r="AJ152" i="31" s="1"/>
  <c r="AI54" i="31"/>
  <c r="AH54" i="31"/>
  <c r="AH152" i="31" s="1"/>
  <c r="AG54" i="31"/>
  <c r="AG151" i="31" s="1"/>
  <c r="AF54" i="31"/>
  <c r="AF61" i="31" s="1"/>
  <c r="AF63" i="31" s="1"/>
  <c r="AE54" i="31"/>
  <c r="AD54" i="31"/>
  <c r="AD66" i="31" s="1"/>
  <c r="AC54" i="31"/>
  <c r="AC151" i="31" s="1"/>
  <c r="AB54" i="31"/>
  <c r="AB152" i="31" s="1"/>
  <c r="AA54" i="31"/>
  <c r="AA66" i="31" s="1"/>
  <c r="Z54" i="31"/>
  <c r="Z152" i="31" s="1"/>
  <c r="Y54" i="31"/>
  <c r="Y66" i="31" s="1"/>
  <c r="X54" i="31"/>
  <c r="X151" i="31" s="1"/>
  <c r="W54" i="31"/>
  <c r="W151" i="31" s="1"/>
  <c r="V54" i="31"/>
  <c r="U54" i="31"/>
  <c r="T54" i="31"/>
  <c r="T152" i="31" s="1"/>
  <c r="S54" i="31"/>
  <c r="S151" i="31" s="1"/>
  <c r="R54" i="31"/>
  <c r="R152" i="31" s="1"/>
  <c r="Q54" i="31"/>
  <c r="Q61" i="31" s="1"/>
  <c r="Q63" i="31" s="1"/>
  <c r="P54" i="31"/>
  <c r="P152" i="31" s="1"/>
  <c r="O54" i="31"/>
  <c r="O151" i="31" s="1"/>
  <c r="N54" i="31"/>
  <c r="N61" i="31" s="1"/>
  <c r="N63" i="31" s="1"/>
  <c r="M54" i="31"/>
  <c r="L54" i="31"/>
  <c r="K54" i="31"/>
  <c r="K66" i="31" s="1"/>
  <c r="J54" i="31"/>
  <c r="J151" i="31" s="1"/>
  <c r="I54" i="31"/>
  <c r="I61" i="31" s="1"/>
  <c r="I63" i="31" s="1"/>
  <c r="H54" i="31"/>
  <c r="G54" i="31"/>
  <c r="G61" i="31" s="1"/>
  <c r="G63" i="31" s="1"/>
  <c r="F54" i="31"/>
  <c r="F66" i="31" s="1"/>
  <c r="E54" i="31"/>
  <c r="E61" i="31" s="1"/>
  <c r="D54" i="31"/>
  <c r="D151" i="31" s="1"/>
  <c r="AS51" i="31"/>
  <c r="AR51" i="31"/>
  <c r="AQ51" i="31"/>
  <c r="AP51" i="31"/>
  <c r="AO51" i="31"/>
  <c r="AN51" i="31"/>
  <c r="AM51" i="31"/>
  <c r="AL51" i="31"/>
  <c r="AK51" i="31"/>
  <c r="AJ51" i="31"/>
  <c r="AI51" i="31"/>
  <c r="AH51" i="31"/>
  <c r="AG51" i="31"/>
  <c r="AF51" i="31"/>
  <c r="AE51" i="31"/>
  <c r="AD51" i="31"/>
  <c r="AC51" i="31"/>
  <c r="AB51" i="31"/>
  <c r="AA51" i="31"/>
  <c r="Z51" i="31"/>
  <c r="Y51" i="31"/>
  <c r="X51" i="31"/>
  <c r="W51" i="31"/>
  <c r="V51" i="31"/>
  <c r="U51" i="31"/>
  <c r="T51" i="31"/>
  <c r="S51" i="31"/>
  <c r="R51" i="31"/>
  <c r="Q51" i="31"/>
  <c r="P51" i="31"/>
  <c r="O51" i="31"/>
  <c r="N51" i="31"/>
  <c r="M51" i="31"/>
  <c r="L51" i="31"/>
  <c r="K51" i="31"/>
  <c r="J51" i="31"/>
  <c r="I51" i="31"/>
  <c r="H51" i="31"/>
  <c r="G51" i="31"/>
  <c r="F51" i="31"/>
  <c r="E51" i="31"/>
  <c r="D51" i="31"/>
  <c r="AS49" i="31"/>
  <c r="AR49" i="31"/>
  <c r="AQ49" i="31"/>
  <c r="AP49" i="31"/>
  <c r="AO49" i="31"/>
  <c r="AN49" i="31"/>
  <c r="AM49" i="31"/>
  <c r="AL49" i="31"/>
  <c r="AK49" i="31"/>
  <c r="AJ49" i="31"/>
  <c r="AI49" i="31"/>
  <c r="AH49" i="31"/>
  <c r="AG49" i="31"/>
  <c r="AF49" i="31"/>
  <c r="AE49" i="31"/>
  <c r="AD49" i="31"/>
  <c r="AC49" i="31"/>
  <c r="AB49" i="31"/>
  <c r="AA49" i="31"/>
  <c r="Z49" i="31"/>
  <c r="Y49" i="31"/>
  <c r="X49" i="31"/>
  <c r="W49" i="31"/>
  <c r="V49" i="31"/>
  <c r="U49" i="31"/>
  <c r="T49" i="31"/>
  <c r="S49" i="31"/>
  <c r="R49" i="31"/>
  <c r="Q49" i="31"/>
  <c r="P49" i="31"/>
  <c r="O49" i="31"/>
  <c r="N49" i="31"/>
  <c r="M49" i="31"/>
  <c r="L49" i="31"/>
  <c r="K49" i="31"/>
  <c r="J49" i="31"/>
  <c r="I49" i="31"/>
  <c r="H49" i="31"/>
  <c r="G49" i="31"/>
  <c r="F49" i="31"/>
  <c r="E49" i="31"/>
  <c r="D49" i="31"/>
  <c r="BX48" i="31"/>
  <c r="BW48" i="31"/>
  <c r="BV48" i="31"/>
  <c r="BU48" i="31"/>
  <c r="BT48" i="31"/>
  <c r="BS48" i="31"/>
  <c r="BR48" i="31"/>
  <c r="BQ48" i="31"/>
  <c r="BP48" i="31"/>
  <c r="BO48" i="31"/>
  <c r="BN48" i="31"/>
  <c r="BM48" i="31"/>
  <c r="BX47" i="31"/>
  <c r="BW47" i="31"/>
  <c r="BV47" i="31"/>
  <c r="BU47" i="31"/>
  <c r="BT47" i="31"/>
  <c r="BS47" i="31"/>
  <c r="BR47" i="31"/>
  <c r="BQ47" i="31"/>
  <c r="BP47" i="31"/>
  <c r="BO47" i="31"/>
  <c r="BN47" i="31"/>
  <c r="BM47" i="31"/>
  <c r="AS45" i="31"/>
  <c r="AR45" i="31"/>
  <c r="AQ45" i="31"/>
  <c r="AP45" i="31"/>
  <c r="AO45" i="31"/>
  <c r="AN45" i="31"/>
  <c r="AM45" i="31"/>
  <c r="AL45" i="31"/>
  <c r="AK45" i="31"/>
  <c r="AJ45" i="31"/>
  <c r="AI45" i="31"/>
  <c r="AH45" i="31"/>
  <c r="AG45" i="31"/>
  <c r="AF45" i="31"/>
  <c r="AE45" i="31"/>
  <c r="AD45" i="31"/>
  <c r="AC45" i="31"/>
  <c r="AB45" i="31"/>
  <c r="AA45" i="31"/>
  <c r="Z45" i="3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I45" i="31"/>
  <c r="H45" i="31"/>
  <c r="G45" i="31"/>
  <c r="F45" i="31"/>
  <c r="E45" i="31"/>
  <c r="D45" i="31"/>
  <c r="BV46" i="31"/>
  <c r="BU46" i="31"/>
  <c r="BT46" i="31"/>
  <c r="BS46" i="31"/>
  <c r="BR46" i="31"/>
  <c r="BQ46" i="31"/>
  <c r="BP46" i="31"/>
  <c r="BO46" i="31"/>
  <c r="BN46" i="31"/>
  <c r="BM46" i="31"/>
  <c r="BV44" i="31"/>
  <c r="BU44" i="31"/>
  <c r="BT44" i="31"/>
  <c r="BS44" i="31"/>
  <c r="BR44" i="31"/>
  <c r="BQ44" i="31"/>
  <c r="BP44" i="31"/>
  <c r="BO44" i="31"/>
  <c r="BN44" i="31"/>
  <c r="BM44" i="31"/>
  <c r="AT44" i="31"/>
  <c r="BW44" i="31" s="1"/>
  <c r="AT41" i="31"/>
  <c r="AS41" i="31"/>
  <c r="AR41" i="31"/>
  <c r="AQ41" i="31"/>
  <c r="AP41" i="31"/>
  <c r="AO41" i="31"/>
  <c r="AN41" i="31"/>
  <c r="AM41" i="31"/>
  <c r="AL41" i="31"/>
  <c r="AK41" i="31"/>
  <c r="AJ41" i="31"/>
  <c r="AI41" i="31"/>
  <c r="AH41" i="31"/>
  <c r="AG41" i="31"/>
  <c r="AF41" i="31"/>
  <c r="AE41" i="31"/>
  <c r="AD41" i="31"/>
  <c r="AC41" i="31"/>
  <c r="AB41" i="31"/>
  <c r="AA41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I41" i="31"/>
  <c r="H41" i="31"/>
  <c r="G41" i="31"/>
  <c r="F41" i="31"/>
  <c r="E41" i="31"/>
  <c r="D41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X38" i="31"/>
  <c r="BW38" i="31"/>
  <c r="BV38" i="31"/>
  <c r="BU38" i="31"/>
  <c r="BT38" i="31"/>
  <c r="BS38" i="31"/>
  <c r="BR38" i="31"/>
  <c r="BQ38" i="31"/>
  <c r="BP38" i="31"/>
  <c r="BO38" i="31"/>
  <c r="BN38" i="31"/>
  <c r="BM38" i="31"/>
  <c r="BX37" i="31"/>
  <c r="BW37" i="31"/>
  <c r="BV37" i="31"/>
  <c r="BU37" i="31"/>
  <c r="BT37" i="31"/>
  <c r="BS37" i="31"/>
  <c r="BR37" i="31"/>
  <c r="BQ37" i="31"/>
  <c r="BP37" i="31"/>
  <c r="BO37" i="31"/>
  <c r="BN37" i="31"/>
  <c r="BM37" i="31"/>
  <c r="AT35" i="31"/>
  <c r="AS35" i="31"/>
  <c r="AR35" i="31"/>
  <c r="AQ35" i="31"/>
  <c r="AP35" i="31"/>
  <c r="AO35" i="31"/>
  <c r="AN35" i="31"/>
  <c r="AM35" i="31"/>
  <c r="AL35" i="31"/>
  <c r="AK35" i="31"/>
  <c r="AJ35" i="31"/>
  <c r="AI35" i="31"/>
  <c r="AH35" i="31"/>
  <c r="AG35" i="31"/>
  <c r="AF35" i="31"/>
  <c r="AE35" i="31"/>
  <c r="AD35" i="31"/>
  <c r="AC35" i="31"/>
  <c r="AB35" i="31"/>
  <c r="AA35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BV36" i="31"/>
  <c r="BU36" i="31"/>
  <c r="BT36" i="31"/>
  <c r="BS36" i="31"/>
  <c r="BR36" i="31"/>
  <c r="BQ36" i="31"/>
  <c r="BP36" i="31"/>
  <c r="BO36" i="31"/>
  <c r="BN36" i="31"/>
  <c r="BM36" i="31"/>
  <c r="BW34" i="31"/>
  <c r="BV34" i="31"/>
  <c r="BU34" i="31"/>
  <c r="BT34" i="31"/>
  <c r="BS34" i="31"/>
  <c r="BS41" i="31" s="1"/>
  <c r="BR34" i="31"/>
  <c r="BR41" i="31" s="1"/>
  <c r="BQ34" i="31"/>
  <c r="BP34" i="31"/>
  <c r="BP41" i="31" s="1"/>
  <c r="BO34" i="31"/>
  <c r="BN34" i="31"/>
  <c r="BN41" i="31" s="1"/>
  <c r="BM34" i="31"/>
  <c r="BM41" i="31" s="1"/>
  <c r="AT25" i="31"/>
  <c r="AT26" i="31" s="1"/>
  <c r="AS25" i="31"/>
  <c r="AS26" i="31" s="1"/>
  <c r="AR25" i="31"/>
  <c r="AR26" i="31" s="1"/>
  <c r="AQ25" i="31"/>
  <c r="AQ26" i="31" s="1"/>
  <c r="AP25" i="31"/>
  <c r="AP26" i="31" s="1"/>
  <c r="AO25" i="31"/>
  <c r="AO26" i="31" s="1"/>
  <c r="AN25" i="31"/>
  <c r="AN26" i="31" s="1"/>
  <c r="AM25" i="31"/>
  <c r="AL25" i="31"/>
  <c r="AL26" i="31" s="1"/>
  <c r="AK25" i="31"/>
  <c r="AK26" i="31" s="1"/>
  <c r="AJ25" i="31"/>
  <c r="AJ26" i="31" s="1"/>
  <c r="AI25" i="31"/>
  <c r="AI26" i="31" s="1"/>
  <c r="AH25" i="31"/>
  <c r="AH26" i="31" s="1"/>
  <c r="AG25" i="31"/>
  <c r="AG26" i="31" s="1"/>
  <c r="AF25" i="31"/>
  <c r="AF26" i="31" s="1"/>
  <c r="AE25" i="31"/>
  <c r="AE26" i="31" s="1"/>
  <c r="AD25" i="31"/>
  <c r="AD26" i="31" s="1"/>
  <c r="AC25" i="31"/>
  <c r="AC26" i="31" s="1"/>
  <c r="AB25" i="31"/>
  <c r="AB26" i="31" s="1"/>
  <c r="AA25" i="31"/>
  <c r="Z25" i="31"/>
  <c r="Z26" i="31" s="1"/>
  <c r="Y25" i="31"/>
  <c r="Y26" i="31" s="1"/>
  <c r="X25" i="31"/>
  <c r="X26" i="31" s="1"/>
  <c r="W25" i="31"/>
  <c r="W26" i="31" s="1"/>
  <c r="V25" i="31"/>
  <c r="V26" i="31" s="1"/>
  <c r="U25" i="31"/>
  <c r="U26" i="31" s="1"/>
  <c r="T25" i="31"/>
  <c r="T26" i="31" s="1"/>
  <c r="S25" i="31"/>
  <c r="S26" i="31" s="1"/>
  <c r="R25" i="31"/>
  <c r="R26" i="31" s="1"/>
  <c r="Q25" i="31"/>
  <c r="Q26" i="31" s="1"/>
  <c r="P25" i="31"/>
  <c r="P26" i="31" s="1"/>
  <c r="O25" i="31"/>
  <c r="O26" i="31" s="1"/>
  <c r="N25" i="31"/>
  <c r="N26" i="31" s="1"/>
  <c r="M25" i="31"/>
  <c r="M26" i="31" s="1"/>
  <c r="L25" i="31"/>
  <c r="K25" i="31"/>
  <c r="K26" i="31" s="1"/>
  <c r="J25" i="31"/>
  <c r="J26" i="31" s="1"/>
  <c r="I25" i="31"/>
  <c r="I26" i="31" s="1"/>
  <c r="H25" i="31"/>
  <c r="H26" i="31" s="1"/>
  <c r="G25" i="31"/>
  <c r="G26" i="31" s="1"/>
  <c r="F25" i="31"/>
  <c r="E25" i="31"/>
  <c r="E26" i="31" s="1"/>
  <c r="D25" i="31"/>
  <c r="D26" i="31" s="1"/>
  <c r="AS22" i="31"/>
  <c r="AR22" i="31"/>
  <c r="AQ22" i="31"/>
  <c r="AP22" i="31"/>
  <c r="AO22" i="31"/>
  <c r="AN22" i="31"/>
  <c r="AM22" i="31"/>
  <c r="AL22" i="31"/>
  <c r="AK22" i="31"/>
  <c r="AJ22" i="31"/>
  <c r="AI22" i="31"/>
  <c r="AH22" i="31"/>
  <c r="AG22" i="31"/>
  <c r="AF22" i="31"/>
  <c r="AE22" i="31"/>
  <c r="AD22" i="31"/>
  <c r="AC22" i="31"/>
  <c r="AB22" i="31"/>
  <c r="AA22" i="31"/>
  <c r="Z22" i="31"/>
  <c r="Y22" i="31"/>
  <c r="X22" i="31"/>
  <c r="W22" i="31"/>
  <c r="V22" i="31"/>
  <c r="U22" i="31"/>
  <c r="T22" i="31"/>
  <c r="S22" i="31"/>
  <c r="R22" i="31"/>
  <c r="Q22" i="31"/>
  <c r="P22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AS20" i="31"/>
  <c r="AR20" i="31"/>
  <c r="AP20" i="31"/>
  <c r="AO20" i="31"/>
  <c r="AN20" i="31"/>
  <c r="AL20" i="31"/>
  <c r="AK20" i="31"/>
  <c r="AJ20" i="31"/>
  <c r="AI20" i="31"/>
  <c r="AH20" i="31"/>
  <c r="AG20" i="31"/>
  <c r="AF20" i="31"/>
  <c r="AE20" i="31"/>
  <c r="AD20" i="31"/>
  <c r="AC20" i="31"/>
  <c r="AB20" i="31"/>
  <c r="AA20" i="31"/>
  <c r="Z20" i="31"/>
  <c r="Y20" i="31"/>
  <c r="X20" i="31"/>
  <c r="W20" i="31"/>
  <c r="V20" i="31"/>
  <c r="U20" i="31"/>
  <c r="T20" i="31"/>
  <c r="S20" i="31"/>
  <c r="R20" i="31"/>
  <c r="Q20" i="31"/>
  <c r="P20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BX19" i="31"/>
  <c r="BW19" i="31"/>
  <c r="BV19" i="31"/>
  <c r="BU19" i="31"/>
  <c r="BT19" i="31"/>
  <c r="BS19" i="31"/>
  <c r="BR19" i="31"/>
  <c r="BQ19" i="31"/>
  <c r="BP19" i="31"/>
  <c r="BO19" i="31"/>
  <c r="BN19" i="31"/>
  <c r="BM19" i="31"/>
  <c r="BV18" i="31"/>
  <c r="BU18" i="31"/>
  <c r="BT18" i="31"/>
  <c r="BS18" i="31"/>
  <c r="BR18" i="31"/>
  <c r="BQ18" i="31"/>
  <c r="BP18" i="31"/>
  <c r="BO18" i="31"/>
  <c r="BN18" i="31"/>
  <c r="BM18" i="31"/>
  <c r="AT18" i="31"/>
  <c r="AQ17" i="31"/>
  <c r="BV17" i="31" s="1"/>
  <c r="AQ16" i="31"/>
  <c r="AM17" i="31"/>
  <c r="BU17" i="31" s="1"/>
  <c r="AM16" i="31"/>
  <c r="AT16" i="31"/>
  <c r="AS16" i="31"/>
  <c r="AR16" i="31"/>
  <c r="AP16" i="31"/>
  <c r="AO16" i="31"/>
  <c r="AN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T17" i="31"/>
  <c r="BS17" i="31"/>
  <c r="BR17" i="31"/>
  <c r="BQ17" i="31"/>
  <c r="BP17" i="31"/>
  <c r="BO17" i="31"/>
  <c r="BN17" i="31"/>
  <c r="BM17" i="31"/>
  <c r="BV15" i="31"/>
  <c r="BV16" i="31" s="1"/>
  <c r="BU15" i="31"/>
  <c r="BT15" i="31"/>
  <c r="BT54" i="32" s="1"/>
  <c r="BT50" i="32" s="1"/>
  <c r="BS15" i="31"/>
  <c r="BR15" i="31"/>
  <c r="BQ15" i="31"/>
  <c r="BQ54" i="32" s="1"/>
  <c r="BQ49" i="32" s="1"/>
  <c r="BQ48" i="32" s="1"/>
  <c r="BP15" i="31"/>
  <c r="BO15" i="31"/>
  <c r="BN15" i="31"/>
  <c r="BM15" i="31"/>
  <c r="BM54" i="32" s="1"/>
  <c r="BM50" i="32" s="1"/>
  <c r="AT13" i="31"/>
  <c r="AS13" i="31"/>
  <c r="AR13" i="31"/>
  <c r="AQ13" i="31"/>
  <c r="AP13" i="31"/>
  <c r="AO13" i="31"/>
  <c r="AN13" i="31"/>
  <c r="AM13" i="31"/>
  <c r="AL13" i="31"/>
  <c r="AK13" i="31"/>
  <c r="AJ13" i="31"/>
  <c r="AI13" i="31"/>
  <c r="AH13" i="31"/>
  <c r="AG13" i="31"/>
  <c r="AF13" i="31"/>
  <c r="AE13" i="31"/>
  <c r="AD13" i="31"/>
  <c r="AC13" i="31"/>
  <c r="AB13" i="31"/>
  <c r="AA13" i="31"/>
  <c r="Z13" i="31"/>
  <c r="Y13" i="31"/>
  <c r="X13" i="31"/>
  <c r="W13" i="31"/>
  <c r="V13" i="31"/>
  <c r="U13" i="31"/>
  <c r="T13" i="31"/>
  <c r="S13" i="31"/>
  <c r="R13" i="31"/>
  <c r="Q13" i="31"/>
  <c r="P13" i="31"/>
  <c r="O13" i="31"/>
  <c r="N13" i="31"/>
  <c r="M13" i="31"/>
  <c r="L13" i="31"/>
  <c r="K13" i="31"/>
  <c r="J13" i="31"/>
  <c r="I13" i="31"/>
  <c r="H13" i="31"/>
  <c r="AT12" i="31"/>
  <c r="AS12" i="31"/>
  <c r="AR12" i="31"/>
  <c r="AQ12" i="31"/>
  <c r="AP12" i="31"/>
  <c r="AO12" i="31"/>
  <c r="AN12" i="31"/>
  <c r="AM12" i="31"/>
  <c r="AL12" i="31"/>
  <c r="AK12" i="31"/>
  <c r="AJ12" i="31"/>
  <c r="AI12" i="31"/>
  <c r="AH12" i="31"/>
  <c r="AG12" i="31"/>
  <c r="AF12" i="31"/>
  <c r="AE12" i="31"/>
  <c r="AD12" i="31"/>
  <c r="AC12" i="31"/>
  <c r="AB12" i="31"/>
  <c r="AA12" i="31"/>
  <c r="Z12" i="31"/>
  <c r="Y12" i="31"/>
  <c r="X12" i="31"/>
  <c r="W12" i="31"/>
  <c r="V12" i="31"/>
  <c r="U12" i="31"/>
  <c r="T12" i="31"/>
  <c r="S12" i="31"/>
  <c r="R12" i="31"/>
  <c r="Q12" i="31"/>
  <c r="P12" i="31"/>
  <c r="O12" i="31"/>
  <c r="N12" i="31"/>
  <c r="M12" i="31"/>
  <c r="L12" i="31"/>
  <c r="K12" i="31"/>
  <c r="J12" i="31"/>
  <c r="I12" i="31"/>
  <c r="H12" i="31"/>
  <c r="AT11" i="31"/>
  <c r="AS11" i="31"/>
  <c r="AR11" i="31"/>
  <c r="AQ11" i="31"/>
  <c r="AP11" i="31"/>
  <c r="AO11" i="31"/>
  <c r="AN11" i="31"/>
  <c r="AM11" i="31"/>
  <c r="AL11" i="31"/>
  <c r="AK11" i="31"/>
  <c r="AJ11" i="31"/>
  <c r="AI11" i="31"/>
  <c r="AH11" i="31"/>
  <c r="AG11" i="31"/>
  <c r="AF11" i="31"/>
  <c r="AE11" i="31"/>
  <c r="AD11" i="31"/>
  <c r="AC11" i="31"/>
  <c r="AB11" i="31"/>
  <c r="AB29" i="31" s="1"/>
  <c r="AB30" i="31" s="1"/>
  <c r="AA11" i="31"/>
  <c r="Z11" i="31"/>
  <c r="Y11" i="31"/>
  <c r="X11" i="31"/>
  <c r="W11" i="31"/>
  <c r="V11" i="31"/>
  <c r="U11" i="31"/>
  <c r="T11" i="31"/>
  <c r="S11" i="31"/>
  <c r="R11" i="31"/>
  <c r="Q11" i="31"/>
  <c r="Q40" i="31" s="1"/>
  <c r="P11" i="31"/>
  <c r="O11" i="31"/>
  <c r="N11" i="31"/>
  <c r="M11" i="31"/>
  <c r="L11" i="31"/>
  <c r="K11" i="31"/>
  <c r="J11" i="31"/>
  <c r="I11" i="31"/>
  <c r="H11" i="31"/>
  <c r="H21" i="31" s="1"/>
  <c r="G12" i="31"/>
  <c r="F12" i="31"/>
  <c r="E12" i="31"/>
  <c r="G11" i="31"/>
  <c r="F11" i="31"/>
  <c r="E11" i="31"/>
  <c r="D11" i="31"/>
  <c r="BU53" i="32"/>
  <c r="BU47" i="32" s="1"/>
  <c r="BT64" i="33"/>
  <c r="BS53" i="32"/>
  <c r="BS51" i="32" s="1"/>
  <c r="BQ53" i="32"/>
  <c r="BP53" i="32"/>
  <c r="BP51" i="32" s="1"/>
  <c r="BO25" i="31"/>
  <c r="BO26" i="31" s="1"/>
  <c r="BM53" i="32"/>
  <c r="AT42" i="26"/>
  <c r="BW52" i="26"/>
  <c r="BW59" i="26"/>
  <c r="BW61" i="26" s="1"/>
  <c r="AT61" i="26"/>
  <c r="AS188" i="26"/>
  <c r="AS228" i="26" s="1"/>
  <c r="D126" i="26"/>
  <c r="D134" i="26" s="1"/>
  <c r="H139" i="26"/>
  <c r="AD140" i="26"/>
  <c r="AL136" i="26"/>
  <c r="CP166" i="26"/>
  <c r="BP174" i="26"/>
  <c r="BS187" i="26"/>
  <c r="BP188" i="26"/>
  <c r="BT188" i="26"/>
  <c r="AK201" i="26"/>
  <c r="BU199" i="26"/>
  <c r="BW45" i="26"/>
  <c r="BV61" i="26"/>
  <c r="AT60" i="26"/>
  <c r="G125" i="26"/>
  <c r="X134" i="26"/>
  <c r="AQ136" i="26"/>
  <c r="BT199" i="26"/>
  <c r="BV153" i="26"/>
  <c r="BQ173" i="26"/>
  <c r="BR174" i="26"/>
  <c r="BS180" i="26"/>
  <c r="BR188" i="26"/>
  <c r="AM201" i="26"/>
  <c r="BP154" i="26"/>
  <c r="BP207" i="26" s="1"/>
  <c r="BT154" i="26"/>
  <c r="BT207" i="26" s="1"/>
  <c r="BP248" i="26"/>
  <c r="BQ254" i="26"/>
  <c r="BR253" i="26"/>
  <c r="BT258" i="26"/>
  <c r="BQ264" i="26"/>
  <c r="I267" i="26"/>
  <c r="J267" i="26"/>
  <c r="K266" i="26"/>
  <c r="L267" i="26" s="1"/>
  <c r="J271" i="26"/>
  <c r="J274" i="26" s="1"/>
  <c r="J269" i="26"/>
  <c r="P271" i="26"/>
  <c r="P274" i="26" s="1"/>
  <c r="P268" i="26"/>
  <c r="Q267" i="26"/>
  <c r="S266" i="26"/>
  <c r="S271" i="26" s="1"/>
  <c r="U269" i="26"/>
  <c r="U271" i="26"/>
  <c r="U267" i="26"/>
  <c r="W266" i="26"/>
  <c r="W269" i="26" s="1"/>
  <c r="Y269" i="26"/>
  <c r="Y271" i="26"/>
  <c r="Y267" i="26"/>
  <c r="AO268" i="26"/>
  <c r="AS267" i="26"/>
  <c r="AO267" i="26"/>
  <c r="Y268" i="26"/>
  <c r="H269" i="26"/>
  <c r="P269" i="26"/>
  <c r="AE274" i="26"/>
  <c r="AO271" i="26"/>
  <c r="I274" i="26"/>
  <c r="L271" i="26"/>
  <c r="L268" i="26"/>
  <c r="N271" i="26"/>
  <c r="R268" i="26"/>
  <c r="N268" i="26"/>
  <c r="O266" i="26"/>
  <c r="O267" i="26" s="1"/>
  <c r="BS269" i="26"/>
  <c r="M267" i="26"/>
  <c r="N269" i="26"/>
  <c r="BR266" i="26"/>
  <c r="R267" i="26"/>
  <c r="V267" i="26"/>
  <c r="Z267" i="26"/>
  <c r="AP267" i="26"/>
  <c r="T268" i="26"/>
  <c r="V268" i="26"/>
  <c r="X268" i="26"/>
  <c r="Z268" i="26"/>
  <c r="AB268" i="26"/>
  <c r="AD268" i="26"/>
  <c r="AP268" i="26"/>
  <c r="I269" i="26"/>
  <c r="BP38" i="33"/>
  <c r="BV38" i="33"/>
  <c r="BW44" i="33"/>
  <c r="BS38" i="33"/>
  <c r="BN14" i="32"/>
  <c r="BN23" i="32" s="1"/>
  <c r="BW13" i="32"/>
  <c r="BS14" i="32"/>
  <c r="BW27" i="32"/>
  <c r="BW29" i="32"/>
  <c r="BU31" i="32"/>
  <c r="F68" i="32"/>
  <c r="N68" i="32"/>
  <c r="V68" i="32"/>
  <c r="AD68" i="32"/>
  <c r="AL68" i="32"/>
  <c r="BW33" i="32"/>
  <c r="BP77" i="32"/>
  <c r="BT77" i="32"/>
  <c r="BW58" i="32"/>
  <c r="BW62" i="32" s="1"/>
  <c r="G71" i="32"/>
  <c r="O68" i="32"/>
  <c r="W68" i="32"/>
  <c r="AE68" i="32"/>
  <c r="AM68" i="32"/>
  <c r="AM71" i="32" s="1"/>
  <c r="AQ68" i="32"/>
  <c r="AQ71" i="32" s="1"/>
  <c r="H68" i="32"/>
  <c r="P68" i="32"/>
  <c r="X68" i="32"/>
  <c r="X71" i="32" s="1"/>
  <c r="AF68" i="32"/>
  <c r="AF71" i="32" s="1"/>
  <c r="AN68" i="32"/>
  <c r="AN71" i="32" s="1"/>
  <c r="R71" i="32"/>
  <c r="AD71" i="32"/>
  <c r="AT20" i="31"/>
  <c r="AQ20" i="31"/>
  <c r="AT49" i="31"/>
  <c r="AS86" i="31"/>
  <c r="AT101" i="31"/>
  <c r="AT103" i="31" s="1"/>
  <c r="T61" i="31"/>
  <c r="T63" i="31" s="1"/>
  <c r="BW99" i="31"/>
  <c r="AX145" i="31"/>
  <c r="BW136" i="31"/>
  <c r="AW140" i="31"/>
  <c r="AW75" i="32" s="1"/>
  <c r="BA60" i="32"/>
  <c r="BB60" i="32" s="1"/>
  <c r="CO59" i="26"/>
  <c r="CO61" i="26" s="1"/>
  <c r="BW41" i="26"/>
  <c r="AX140" i="31"/>
  <c r="BW30" i="26"/>
  <c r="BW8" i="26"/>
  <c r="BW10" i="26" s="1"/>
  <c r="BA85" i="31"/>
  <c r="BB85" i="31" s="1"/>
  <c r="BC85" i="31" s="1"/>
  <c r="BD85" i="31" s="1"/>
  <c r="BW36" i="31"/>
  <c r="BW46" i="31"/>
  <c r="AO157" i="33"/>
  <c r="BQ157" i="33"/>
  <c r="BW140" i="31"/>
  <c r="BT75" i="32"/>
  <c r="BS100" i="32"/>
  <c r="BW139" i="31"/>
  <c r="N100" i="32"/>
  <c r="BA36" i="31"/>
  <c r="BB36" i="31" s="1"/>
  <c r="BY157" i="33"/>
  <c r="BW100" i="32"/>
  <c r="BU157" i="33"/>
  <c r="F157" i="33"/>
  <c r="BO100" i="32"/>
  <c r="AX100" i="32"/>
  <c r="BB51" i="31"/>
  <c r="AQ62" i="26"/>
  <c r="AQ48" i="26"/>
  <c r="J128" i="26"/>
  <c r="R133" i="26"/>
  <c r="X139" i="26"/>
  <c r="Z139" i="26"/>
  <c r="AE226" i="26"/>
  <c r="O201" i="26"/>
  <c r="H133" i="26"/>
  <c r="Z140" i="26"/>
  <c r="H136" i="26"/>
  <c r="AD139" i="26"/>
  <c r="AF139" i="26"/>
  <c r="AH136" i="26"/>
  <c r="AM273" i="26"/>
  <c r="AF135" i="26"/>
  <c r="AH140" i="26"/>
  <c r="AI138" i="26"/>
  <c r="AO55" i="26"/>
  <c r="T139" i="26"/>
  <c r="P221" i="26"/>
  <c r="AO138" i="26"/>
  <c r="J207" i="26"/>
  <c r="S201" i="26"/>
  <c r="AJ135" i="26"/>
  <c r="M140" i="26"/>
  <c r="M128" i="26"/>
  <c r="U133" i="26"/>
  <c r="M134" i="26"/>
  <c r="U136" i="26"/>
  <c r="M139" i="26"/>
  <c r="AO136" i="26"/>
  <c r="L213" i="26"/>
  <c r="L233" i="26" s="1"/>
  <c r="N207" i="26"/>
  <c r="P213" i="26"/>
  <c r="R207" i="26"/>
  <c r="T213" i="26"/>
  <c r="BQ213" i="26" s="1"/>
  <c r="BQ233" i="26" s="1"/>
  <c r="V207" i="26"/>
  <c r="X213" i="26"/>
  <c r="BR213" i="26" s="1"/>
  <c r="Z207" i="26"/>
  <c r="AB213" i="26"/>
  <c r="BS213" i="26" s="1"/>
  <c r="AD207" i="26"/>
  <c r="AF213" i="26"/>
  <c r="AH207" i="26"/>
  <c r="AJ213" i="26"/>
  <c r="AJ233" i="26" s="1"/>
  <c r="AJ236" i="26" s="1"/>
  <c r="AL207" i="26"/>
  <c r="BW35" i="32"/>
  <c r="AW87" i="32"/>
  <c r="BW37" i="32"/>
  <c r="BW46" i="33"/>
  <c r="BW47" i="33"/>
  <c r="AW91" i="32"/>
  <c r="BW9" i="32"/>
  <c r="BW12" i="32"/>
  <c r="U82" i="32"/>
  <c r="BW36" i="32"/>
  <c r="BW65" i="32"/>
  <c r="BW24" i="33"/>
  <c r="BA18" i="32"/>
  <c r="BB18" i="32" s="1"/>
  <c r="BC18" i="32" s="1"/>
  <c r="BW19" i="32"/>
  <c r="BW22" i="33"/>
  <c r="BW37" i="33"/>
  <c r="BW34" i="32"/>
  <c r="BW21" i="33"/>
  <c r="BW17" i="32"/>
  <c r="BW20" i="32"/>
  <c r="BW21" i="32"/>
  <c r="BW25" i="33"/>
  <c r="BW81" i="31"/>
  <c r="K226" i="26"/>
  <c r="AE225" i="26"/>
  <c r="AG225" i="26"/>
  <c r="S226" i="26"/>
  <c r="BW15" i="31"/>
  <c r="BW54" i="32" s="1"/>
  <c r="BW83" i="31"/>
  <c r="BW79" i="31"/>
  <c r="D152" i="31"/>
  <c r="BW77" i="26"/>
  <c r="BW19" i="33"/>
  <c r="BW10" i="32"/>
  <c r="BW11" i="32"/>
  <c r="BW26" i="32"/>
  <c r="BW23" i="33"/>
  <c r="BW20" i="33"/>
  <c r="BW96" i="31"/>
  <c r="BW10" i="33"/>
  <c r="BW80" i="33" s="1"/>
  <c r="AS181" i="26"/>
  <c r="AS223" i="26" s="1"/>
  <c r="AS226" i="26" s="1"/>
  <c r="W126" i="26"/>
  <c r="W133" i="26" s="1"/>
  <c r="BQ119" i="26"/>
  <c r="AL138" i="26"/>
  <c r="AL133" i="26"/>
  <c r="BN154" i="26"/>
  <c r="BN207" i="26" s="1"/>
  <c r="BN119" i="26"/>
  <c r="AM126" i="26"/>
  <c r="AM135" i="26" s="1"/>
  <c r="BU119" i="26"/>
  <c r="AQ134" i="26"/>
  <c r="AS140" i="26"/>
  <c r="AS138" i="26"/>
  <c r="AS135" i="26"/>
  <c r="AS133" i="26"/>
  <c r="BO153" i="26"/>
  <c r="BR199" i="26"/>
  <c r="BR154" i="26"/>
  <c r="BR207" i="26" s="1"/>
  <c r="BV166" i="26"/>
  <c r="BT174" i="26"/>
  <c r="AU60" i="26"/>
  <c r="BS248" i="26"/>
  <c r="BU258" i="26"/>
  <c r="BT263" i="26"/>
  <c r="AT135" i="26"/>
  <c r="AT138" i="26"/>
  <c r="AT140" i="26"/>
  <c r="BU248" i="26"/>
  <c r="BT253" i="26"/>
  <c r="BS258" i="26"/>
  <c r="AU133" i="26"/>
  <c r="AU135" i="26"/>
  <c r="AU138" i="26"/>
  <c r="BW54" i="26"/>
  <c r="AU88" i="32"/>
  <c r="BA17" i="32"/>
  <c r="BB17" i="32" s="1"/>
  <c r="BC17" i="32" s="1"/>
  <c r="BA29" i="32"/>
  <c r="BB29" i="32" s="1"/>
  <c r="BC29" i="32" s="1"/>
  <c r="BX29" i="32"/>
  <c r="BN53" i="32"/>
  <c r="BN47" i="32" s="1"/>
  <c r="BX143" i="31"/>
  <c r="AW143" i="31"/>
  <c r="BO54" i="32"/>
  <c r="BO49" i="32" s="1"/>
  <c r="BO48" i="32" s="1"/>
  <c r="BY44" i="31"/>
  <c r="BW30" i="33"/>
  <c r="BW38" i="33" s="1"/>
  <c r="BX60" i="32"/>
  <c r="BW62" i="33"/>
  <c r="BW64" i="33" s="1"/>
  <c r="BW16" i="32"/>
  <c r="BW71" i="33" s="1"/>
  <c r="BW39" i="32"/>
  <c r="BW70" i="32"/>
  <c r="BW8" i="32"/>
  <c r="BW79" i="32" s="1"/>
  <c r="BS31" i="32" l="1"/>
  <c r="BP31" i="32"/>
  <c r="BP41" i="32" s="1"/>
  <c r="BT31" i="32"/>
  <c r="CN43" i="26"/>
  <c r="AB66" i="31"/>
  <c r="AJ66" i="31"/>
  <c r="AN27" i="31"/>
  <c r="BW43" i="26"/>
  <c r="BT20" i="31"/>
  <c r="BU48" i="26"/>
  <c r="AH42" i="31"/>
  <c r="AF215" i="26"/>
  <c r="P215" i="26"/>
  <c r="AT152" i="31"/>
  <c r="BR49" i="31"/>
  <c r="BV51" i="31"/>
  <c r="F29" i="31"/>
  <c r="F30" i="31" s="1"/>
  <c r="BO20" i="31"/>
  <c r="AJ86" i="31"/>
  <c r="T64" i="31"/>
  <c r="AU23" i="31"/>
  <c r="I43" i="32"/>
  <c r="AA46" i="32"/>
  <c r="AA57" i="32" s="1"/>
  <c r="AA74" i="32" s="1"/>
  <c r="AK80" i="32"/>
  <c r="AP82" i="32"/>
  <c r="J47" i="32"/>
  <c r="AK46" i="32"/>
  <c r="AK57" i="32" s="1"/>
  <c r="AK74" i="32" s="1"/>
  <c r="AC82" i="32"/>
  <c r="Q82" i="32"/>
  <c r="S82" i="32"/>
  <c r="N57" i="33"/>
  <c r="AH57" i="33"/>
  <c r="I57" i="33"/>
  <c r="M57" i="33"/>
  <c r="S57" i="33"/>
  <c r="Y57" i="33"/>
  <c r="AC57" i="33"/>
  <c r="AI57" i="33"/>
  <c r="AO57" i="33"/>
  <c r="AG135" i="26"/>
  <c r="Y200" i="26"/>
  <c r="AC200" i="26"/>
  <c r="P201" i="26"/>
  <c r="AF201" i="26"/>
  <c r="AN201" i="26"/>
  <c r="AP201" i="26"/>
  <c r="I140" i="26"/>
  <c r="Q138" i="26"/>
  <c r="Q135" i="26"/>
  <c r="Q133" i="26"/>
  <c r="AG207" i="26"/>
  <c r="Z201" i="26"/>
  <c r="AH273" i="26"/>
  <c r="AJ273" i="26"/>
  <c r="AN273" i="26"/>
  <c r="AK272" i="26"/>
  <c r="AR134" i="26"/>
  <c r="AG136" i="26"/>
  <c r="Q207" i="26"/>
  <c r="I213" i="26"/>
  <c r="M215" i="26" s="1"/>
  <c r="AP139" i="26"/>
  <c r="AK138" i="26"/>
  <c r="L134" i="26"/>
  <c r="Y133" i="26"/>
  <c r="AE135" i="26"/>
  <c r="T138" i="26"/>
  <c r="L139" i="26"/>
  <c r="Y207" i="26"/>
  <c r="BN82" i="32"/>
  <c r="S88" i="32"/>
  <c r="AA21" i="31"/>
  <c r="I23" i="31"/>
  <c r="U29" i="31"/>
  <c r="U30" i="31" s="1"/>
  <c r="AE52" i="31"/>
  <c r="BY29" i="32"/>
  <c r="BD29" i="32"/>
  <c r="BE29" i="32" s="1"/>
  <c r="BF29" i="32" s="1"/>
  <c r="BG29" i="32" s="1"/>
  <c r="BY21" i="32"/>
  <c r="BD21" i="32"/>
  <c r="BE21" i="32" s="1"/>
  <c r="BF21" i="32" s="1"/>
  <c r="BG21" i="32" s="1"/>
  <c r="K88" i="32"/>
  <c r="O88" i="32"/>
  <c r="AU92" i="32"/>
  <c r="BY17" i="32"/>
  <c r="BD17" i="32"/>
  <c r="BE17" i="32" s="1"/>
  <c r="BF17" i="32" s="1"/>
  <c r="BG17" i="32" s="1"/>
  <c r="BY18" i="32"/>
  <c r="BD18" i="32"/>
  <c r="BE18" i="32" s="1"/>
  <c r="BF18" i="32" s="1"/>
  <c r="BG18" i="32" s="1"/>
  <c r="BX10" i="31"/>
  <c r="BE85" i="31"/>
  <c r="BF85" i="31" s="1"/>
  <c r="BG85" i="31" s="1"/>
  <c r="BH85" i="31" s="1"/>
  <c r="G23" i="31"/>
  <c r="P151" i="31"/>
  <c r="X84" i="31"/>
  <c r="X87" i="31" s="1"/>
  <c r="BO80" i="31"/>
  <c r="BQ80" i="31"/>
  <c r="BS80" i="31"/>
  <c r="P78" i="32"/>
  <c r="Q86" i="31"/>
  <c r="AB151" i="31"/>
  <c r="AO86" i="31"/>
  <c r="P66" i="31"/>
  <c r="P71" i="31" s="1"/>
  <c r="P72" i="31" s="1"/>
  <c r="U86" i="31"/>
  <c r="BU77" i="26"/>
  <c r="BU269" i="26" s="1"/>
  <c r="AT51" i="32"/>
  <c r="AN29" i="31"/>
  <c r="AN30" i="31" s="1"/>
  <c r="M86" i="31"/>
  <c r="Q50" i="32"/>
  <c r="T66" i="31"/>
  <c r="AU152" i="31"/>
  <c r="AH47" i="32"/>
  <c r="AB61" i="31"/>
  <c r="AB63" i="31" s="1"/>
  <c r="AB64" i="31" s="1"/>
  <c r="P61" i="31"/>
  <c r="P63" i="31" s="1"/>
  <c r="P64" i="31" s="1"/>
  <c r="AK81" i="32"/>
  <c r="AK95" i="32" s="1"/>
  <c r="AA50" i="32"/>
  <c r="AD47" i="32"/>
  <c r="AN152" i="31"/>
  <c r="AG86" i="31"/>
  <c r="Y157" i="33"/>
  <c r="S157" i="33"/>
  <c r="BR100" i="32"/>
  <c r="U157" i="33"/>
  <c r="AI157" i="33"/>
  <c r="AG50" i="32"/>
  <c r="BZ100" i="32"/>
  <c r="AR61" i="31"/>
  <c r="AR63" i="31" s="1"/>
  <c r="AR68" i="31" s="1"/>
  <c r="T151" i="31"/>
  <c r="AT50" i="31"/>
  <c r="AC78" i="32"/>
  <c r="BR16" i="31"/>
  <c r="BV25" i="31"/>
  <c r="BV26" i="31" s="1"/>
  <c r="BM45" i="31"/>
  <c r="BP141" i="31"/>
  <c r="BR141" i="31"/>
  <c r="BT141" i="31"/>
  <c r="BV141" i="31"/>
  <c r="AN200" i="26"/>
  <c r="L205" i="26"/>
  <c r="X205" i="26"/>
  <c r="AH205" i="26"/>
  <c r="AD278" i="26"/>
  <c r="BV73" i="26"/>
  <c r="BV75" i="26" s="1"/>
  <c r="CN37" i="26"/>
  <c r="BW73" i="26"/>
  <c r="BW55" i="26" s="1"/>
  <c r="BT160" i="26"/>
  <c r="BS163" i="26"/>
  <c r="BV163" i="26"/>
  <c r="CO163" i="26"/>
  <c r="BS169" i="26"/>
  <c r="BU169" i="26"/>
  <c r="CO169" i="26"/>
  <c r="BV199" i="26"/>
  <c r="BV201" i="26" s="1"/>
  <c r="BO253" i="26"/>
  <c r="BQ253" i="26"/>
  <c r="BT221" i="26"/>
  <c r="S225" i="26"/>
  <c r="AA201" i="26"/>
  <c r="AG201" i="26"/>
  <c r="J272" i="26"/>
  <c r="AO174" i="26"/>
  <c r="AO218" i="26" s="1"/>
  <c r="AO220" i="26" s="1"/>
  <c r="AO181" i="26"/>
  <c r="AO223" i="26" s="1"/>
  <c r="AO226" i="26" s="1"/>
  <c r="AO48" i="26"/>
  <c r="AO188" i="26"/>
  <c r="AO228" i="26" s="1"/>
  <c r="AO231" i="26" s="1"/>
  <c r="AO154" i="26"/>
  <c r="AO213" i="26" s="1"/>
  <c r="AO216" i="26" s="1"/>
  <c r="AQ154" i="26"/>
  <c r="AQ213" i="26" s="1"/>
  <c r="AQ11" i="26"/>
  <c r="AQ188" i="26"/>
  <c r="AQ228" i="26" s="1"/>
  <c r="AQ230" i="26" s="1"/>
  <c r="AQ75" i="26"/>
  <c r="AQ55" i="26"/>
  <c r="AQ181" i="26"/>
  <c r="AQ223" i="26" s="1"/>
  <c r="AQ226" i="26" s="1"/>
  <c r="AS11" i="26"/>
  <c r="AS75" i="26"/>
  <c r="H128" i="26"/>
  <c r="H134" i="26"/>
  <c r="H140" i="26"/>
  <c r="H135" i="26"/>
  <c r="M136" i="26"/>
  <c r="M138" i="26"/>
  <c r="M133" i="26"/>
  <c r="P135" i="26"/>
  <c r="P138" i="26"/>
  <c r="P133" i="26"/>
  <c r="P139" i="26"/>
  <c r="P128" i="26"/>
  <c r="P140" i="26"/>
  <c r="R139" i="26"/>
  <c r="R134" i="26"/>
  <c r="U134" i="26"/>
  <c r="U140" i="26"/>
  <c r="U135" i="26"/>
  <c r="U128" i="26"/>
  <c r="X136" i="26"/>
  <c r="X135" i="26"/>
  <c r="X133" i="26"/>
  <c r="X140" i="26"/>
  <c r="Z138" i="26"/>
  <c r="Z136" i="26"/>
  <c r="Z134" i="26"/>
  <c r="AB139" i="26"/>
  <c r="AB133" i="26"/>
  <c r="AB128" i="26"/>
  <c r="AB138" i="26"/>
  <c r="AB134" i="26"/>
  <c r="AD134" i="26"/>
  <c r="AD138" i="26"/>
  <c r="AD135" i="26"/>
  <c r="AF138" i="26"/>
  <c r="AF136" i="26"/>
  <c r="AF140" i="26"/>
  <c r="AH139" i="26"/>
  <c r="AH128" i="26"/>
  <c r="AH134" i="26"/>
  <c r="AH135" i="26"/>
  <c r="AJ140" i="26"/>
  <c r="AJ138" i="26"/>
  <c r="AL139" i="26"/>
  <c r="AL128" i="26"/>
  <c r="AO135" i="26"/>
  <c r="AO139" i="26"/>
  <c r="AO140" i="26"/>
  <c r="AQ135" i="26"/>
  <c r="AQ138" i="26"/>
  <c r="H221" i="26"/>
  <c r="BN218" i="26"/>
  <c r="BN221" i="26" s="1"/>
  <c r="AB221" i="26"/>
  <c r="BS218" i="26"/>
  <c r="BT220" i="26" s="1"/>
  <c r="U226" i="26"/>
  <c r="U225" i="26"/>
  <c r="BQ228" i="26"/>
  <c r="T230" i="26"/>
  <c r="Q201" i="26"/>
  <c r="U201" i="26"/>
  <c r="W201" i="26"/>
  <c r="AE201" i="26"/>
  <c r="AI200" i="26"/>
  <c r="AI201" i="26"/>
  <c r="AO201" i="26"/>
  <c r="AQ201" i="26"/>
  <c r="AE273" i="26"/>
  <c r="AF272" i="26"/>
  <c r="AI273" i="26"/>
  <c r="AQ273" i="26"/>
  <c r="AQ272" i="26"/>
  <c r="W138" i="26"/>
  <c r="AM140" i="26"/>
  <c r="AQ133" i="26"/>
  <c r="AS134" i="26"/>
  <c r="AS136" i="26"/>
  <c r="AQ140" i="26"/>
  <c r="AS55" i="26"/>
  <c r="AL135" i="26"/>
  <c r="AL140" i="26"/>
  <c r="AS174" i="26"/>
  <c r="AS218" i="26" s="1"/>
  <c r="AS221" i="26" s="1"/>
  <c r="AS62" i="26"/>
  <c r="E240" i="26"/>
  <c r="BP228" i="26"/>
  <c r="Q225" i="26"/>
  <c r="AO133" i="26"/>
  <c r="U138" i="26"/>
  <c r="M135" i="26"/>
  <c r="AB136" i="26"/>
  <c r="AJ134" i="26"/>
  <c r="H207" i="26"/>
  <c r="L220" i="26"/>
  <c r="AO62" i="26"/>
  <c r="AD136" i="26"/>
  <c r="AD133" i="26"/>
  <c r="AB135" i="26"/>
  <c r="AK273" i="26"/>
  <c r="AO75" i="26"/>
  <c r="AO134" i="26"/>
  <c r="AO74" i="26"/>
  <c r="AF128" i="26"/>
  <c r="AI274" i="26"/>
  <c r="AH133" i="26"/>
  <c r="AF134" i="26"/>
  <c r="AD128" i="26"/>
  <c r="AB140" i="26"/>
  <c r="R140" i="26"/>
  <c r="Z128" i="26"/>
  <c r="P134" i="26"/>
  <c r="Z133" i="26"/>
  <c r="X128" i="26"/>
  <c r="U139" i="26"/>
  <c r="P136" i="26"/>
  <c r="H138" i="26"/>
  <c r="AQ174" i="26"/>
  <c r="AQ218" i="26" s="1"/>
  <c r="AQ220" i="26" s="1"/>
  <c r="AO11" i="26"/>
  <c r="AS154" i="26"/>
  <c r="AS213" i="26" s="1"/>
  <c r="AS216" i="26" s="1"/>
  <c r="AQ139" i="26"/>
  <c r="Z135" i="26"/>
  <c r="AL134" i="26"/>
  <c r="AF133" i="26"/>
  <c r="AS48" i="26"/>
  <c r="AJ128" i="26"/>
  <c r="AH138" i="26"/>
  <c r="X138" i="26"/>
  <c r="BT205" i="26"/>
  <c r="AP74" i="26"/>
  <c r="CL199" i="26"/>
  <c r="AO205" i="26"/>
  <c r="AI272" i="26"/>
  <c r="AQ278" i="26"/>
  <c r="AJ216" i="26"/>
  <c r="D140" i="26"/>
  <c r="AP79" i="26"/>
  <c r="J278" i="26"/>
  <c r="AP278" i="26"/>
  <c r="F66" i="33"/>
  <c r="AS57" i="33"/>
  <c r="F57" i="33"/>
  <c r="H57" i="33"/>
  <c r="J57" i="33"/>
  <c r="L57" i="33"/>
  <c r="P57" i="33"/>
  <c r="R57" i="33"/>
  <c r="T57" i="33"/>
  <c r="V57" i="33"/>
  <c r="X57" i="33"/>
  <c r="Z57" i="33"/>
  <c r="AB57" i="33"/>
  <c r="AD57" i="33"/>
  <c r="AF57" i="33"/>
  <c r="AJ57" i="33"/>
  <c r="AL57" i="33"/>
  <c r="AN57" i="33"/>
  <c r="AP57" i="33"/>
  <c r="U43" i="32"/>
  <c r="Y43" i="32"/>
  <c r="AK43" i="32"/>
  <c r="G82" i="32"/>
  <c r="AC76" i="32"/>
  <c r="AM50" i="32"/>
  <c r="S50" i="32"/>
  <c r="AN51" i="32"/>
  <c r="T47" i="32"/>
  <c r="F51" i="32"/>
  <c r="O50" i="32"/>
  <c r="AG80" i="32"/>
  <c r="AS50" i="32"/>
  <c r="Y50" i="32"/>
  <c r="I50" i="32"/>
  <c r="L47" i="32"/>
  <c r="AQ81" i="32"/>
  <c r="AQ95" i="32" s="1"/>
  <c r="W82" i="32"/>
  <c r="O82" i="32"/>
  <c r="AS46" i="32"/>
  <c r="AS57" i="32" s="1"/>
  <c r="AS74" i="32" s="1"/>
  <c r="S46" i="32"/>
  <c r="S57" i="32" s="1"/>
  <c r="S74" i="32" s="1"/>
  <c r="P23" i="32"/>
  <c r="P43" i="32" s="1"/>
  <c r="BY46" i="32"/>
  <c r="BY57" i="32" s="1"/>
  <c r="BY74" i="32" s="1"/>
  <c r="BB46" i="32"/>
  <c r="BB57" i="32" s="1"/>
  <c r="BB74" i="32" s="1"/>
  <c r="AM46" i="32"/>
  <c r="AM57" i="32" s="1"/>
  <c r="AM74" i="32" s="1"/>
  <c r="W46" i="32"/>
  <c r="W57" i="32" s="1"/>
  <c r="W74" i="32" s="1"/>
  <c r="BM46" i="32"/>
  <c r="BM57" i="32" s="1"/>
  <c r="BM74" i="32" s="1"/>
  <c r="AQ82" i="32"/>
  <c r="AB51" i="32"/>
  <c r="AB47" i="32"/>
  <c r="AF51" i="32"/>
  <c r="AF47" i="32"/>
  <c r="AL51" i="32"/>
  <c r="AL47" i="32"/>
  <c r="K50" i="32"/>
  <c r="K49" i="32"/>
  <c r="K48" i="32" s="1"/>
  <c r="Q76" i="32"/>
  <c r="Q78" i="32"/>
  <c r="Q80" i="32"/>
  <c r="U76" i="32"/>
  <c r="U81" i="32"/>
  <c r="U95" i="32" s="1"/>
  <c r="Y78" i="32"/>
  <c r="Y81" i="32"/>
  <c r="Y95" i="32" s="1"/>
  <c r="AO78" i="32"/>
  <c r="AO76" i="32"/>
  <c r="AO81" i="32"/>
  <c r="AO95" i="32" s="1"/>
  <c r="AS80" i="32"/>
  <c r="AS76" i="32"/>
  <c r="AK76" i="32"/>
  <c r="AA76" i="32"/>
  <c r="W76" i="32"/>
  <c r="AI50" i="32"/>
  <c r="W50" i="32"/>
  <c r="G50" i="32"/>
  <c r="AP51" i="32"/>
  <c r="AJ47" i="32"/>
  <c r="X47" i="32"/>
  <c r="R47" i="32"/>
  <c r="H51" i="32"/>
  <c r="D51" i="32"/>
  <c r="Z47" i="32"/>
  <c r="AG78" i="32"/>
  <c r="AZ157" i="33"/>
  <c r="P47" i="32"/>
  <c r="AO50" i="32"/>
  <c r="AC50" i="32"/>
  <c r="U50" i="32"/>
  <c r="M50" i="32"/>
  <c r="E50" i="32"/>
  <c r="AR47" i="32"/>
  <c r="U80" i="32"/>
  <c r="Q81" i="32"/>
  <c r="Q95" i="32" s="1"/>
  <c r="U78" i="32"/>
  <c r="BM47" i="32"/>
  <c r="BM51" i="32"/>
  <c r="G52" i="31"/>
  <c r="G27" i="31"/>
  <c r="G28" i="31" s="1"/>
  <c r="D66" i="31"/>
  <c r="D71" i="31" s="1"/>
  <c r="D89" i="31" s="1"/>
  <c r="D90" i="31" s="1"/>
  <c r="D61" i="31"/>
  <c r="D63" i="31" s="1"/>
  <c r="D64" i="31" s="1"/>
  <c r="H152" i="31"/>
  <c r="H61" i="31"/>
  <c r="H67" i="31" s="1"/>
  <c r="X152" i="31"/>
  <c r="X61" i="31"/>
  <c r="X63" i="31" s="1"/>
  <c r="X64" i="31" s="1"/>
  <c r="X66" i="31"/>
  <c r="X71" i="31" s="1"/>
  <c r="AJ151" i="31"/>
  <c r="AJ61" i="31"/>
  <c r="AJ63" i="31" s="1"/>
  <c r="AN61" i="31"/>
  <c r="AN63" i="31" s="1"/>
  <c r="AN64" i="31" s="1"/>
  <c r="AN66" i="31"/>
  <c r="AN71" i="31" s="1"/>
  <c r="I84" i="31"/>
  <c r="I87" i="31" s="1"/>
  <c r="I86" i="31"/>
  <c r="AC84" i="31"/>
  <c r="AC87" i="31" s="1"/>
  <c r="AC86" i="31"/>
  <c r="AK84" i="31"/>
  <c r="AK87" i="31" s="1"/>
  <c r="AK86" i="31"/>
  <c r="AM84" i="31"/>
  <c r="AM87" i="31" s="1"/>
  <c r="AM86" i="31"/>
  <c r="F76" i="32"/>
  <c r="F81" i="32"/>
  <c r="F95" i="32" s="1"/>
  <c r="M46" i="32"/>
  <c r="M57" i="32" s="1"/>
  <c r="M74" i="32" s="1"/>
  <c r="M6" i="33"/>
  <c r="M61" i="33" s="1"/>
  <c r="M76" i="33" s="1"/>
  <c r="M84" i="33" s="1"/>
  <c r="Q6" i="33"/>
  <c r="Q61" i="33" s="1"/>
  <c r="Q76" i="33" s="1"/>
  <c r="Q84" i="33" s="1"/>
  <c r="Q46" i="32"/>
  <c r="Q57" i="32" s="1"/>
  <c r="Q74" i="32" s="1"/>
  <c r="U6" i="33"/>
  <c r="U61" i="33" s="1"/>
  <c r="U76" i="33" s="1"/>
  <c r="U84" i="33" s="1"/>
  <c r="U46" i="32"/>
  <c r="U57" i="32" s="1"/>
  <c r="U74" i="32" s="1"/>
  <c r="Y6" i="33"/>
  <c r="Y61" i="33" s="1"/>
  <c r="Y76" i="33" s="1"/>
  <c r="Y84" i="33" s="1"/>
  <c r="Y46" i="32"/>
  <c r="Y57" i="32" s="1"/>
  <c r="Y74" i="32" s="1"/>
  <c r="AC6" i="33"/>
  <c r="AC61" i="33" s="1"/>
  <c r="AC76" i="33" s="1"/>
  <c r="AC84" i="33" s="1"/>
  <c r="AC46" i="32"/>
  <c r="AC57" i="32" s="1"/>
  <c r="AC74" i="32" s="1"/>
  <c r="AE6" i="33"/>
  <c r="AE61" i="33" s="1"/>
  <c r="AE76" i="33" s="1"/>
  <c r="AE84" i="33" s="1"/>
  <c r="AE46" i="32"/>
  <c r="AE57" i="32" s="1"/>
  <c r="AE74" i="32" s="1"/>
  <c r="AO6" i="33"/>
  <c r="AO61" i="33" s="1"/>
  <c r="AO76" i="33" s="1"/>
  <c r="AO84" i="33" s="1"/>
  <c r="AO46" i="32"/>
  <c r="AO57" i="32" s="1"/>
  <c r="AO74" i="32" s="1"/>
  <c r="AY6" i="33"/>
  <c r="AY61" i="33" s="1"/>
  <c r="AY76" i="33" s="1"/>
  <c r="AY84" i="33" s="1"/>
  <c r="AY46" i="32"/>
  <c r="AY57" i="32" s="1"/>
  <c r="AY74" i="32" s="1"/>
  <c r="BU6" i="33"/>
  <c r="BU61" i="33" s="1"/>
  <c r="BU76" i="33" s="1"/>
  <c r="BU84" i="33" s="1"/>
  <c r="BU46" i="32"/>
  <c r="BU57" i="32" s="1"/>
  <c r="BU74" i="32" s="1"/>
  <c r="O29" i="31"/>
  <c r="O30" i="31" s="1"/>
  <c r="W23" i="31"/>
  <c r="AI29" i="31"/>
  <c r="AI30" i="31" s="1"/>
  <c r="AS50" i="31"/>
  <c r="F234" i="26"/>
  <c r="U21" i="31"/>
  <c r="AA27" i="31"/>
  <c r="AA28" i="31" s="1"/>
  <c r="AE27" i="31"/>
  <c r="AE28" i="31" s="1"/>
  <c r="AQ29" i="31"/>
  <c r="AQ30" i="31" s="1"/>
  <c r="BS11" i="31"/>
  <c r="BS42" i="31" s="1"/>
  <c r="BT11" i="31"/>
  <c r="BT21" i="31" s="1"/>
  <c r="D21" i="31"/>
  <c r="L21" i="31"/>
  <c r="AB21" i="31"/>
  <c r="AF21" i="31"/>
  <c r="H29" i="31"/>
  <c r="H30" i="31" s="1"/>
  <c r="T23" i="31"/>
  <c r="AB23" i="31"/>
  <c r="AF29" i="31"/>
  <c r="AF30" i="31" s="1"/>
  <c r="AJ23" i="31"/>
  <c r="I40" i="31"/>
  <c r="L52" i="31"/>
  <c r="P220" i="26"/>
  <c r="BU220" i="26"/>
  <c r="M225" i="26"/>
  <c r="AA225" i="26"/>
  <c r="AI225" i="26"/>
  <c r="AU42" i="31"/>
  <c r="AO40" i="31"/>
  <c r="L84" i="31"/>
  <c r="L87" i="31" s="1"/>
  <c r="AF86" i="31"/>
  <c r="AU47" i="32"/>
  <c r="BR205" i="26"/>
  <c r="T216" i="26"/>
  <c r="G240" i="26"/>
  <c r="AF23" i="31"/>
  <c r="W66" i="31"/>
  <c r="W71" i="31" s="1"/>
  <c r="W72" i="31" s="1"/>
  <c r="T231" i="26"/>
  <c r="AI226" i="26"/>
  <c r="AK225" i="26"/>
  <c r="O225" i="26"/>
  <c r="AF221" i="26"/>
  <c r="AF220" i="26"/>
  <c r="L221" i="26"/>
  <c r="AZ46" i="32"/>
  <c r="AZ57" i="32" s="1"/>
  <c r="AZ74" i="32" s="1"/>
  <c r="BA157" i="33"/>
  <c r="AK240" i="26"/>
  <c r="BV205" i="26"/>
  <c r="AI224" i="26"/>
  <c r="Z205" i="26"/>
  <c r="AF205" i="26"/>
  <c r="AN205" i="26"/>
  <c r="AN274" i="26"/>
  <c r="AU29" i="31"/>
  <c r="AU30" i="31" s="1"/>
  <c r="N274" i="26"/>
  <c r="N273" i="26"/>
  <c r="N278" i="26"/>
  <c r="AO278" i="26"/>
  <c r="AO272" i="26"/>
  <c r="Y274" i="26"/>
  <c r="Y273" i="26"/>
  <c r="BV55" i="26"/>
  <c r="BV47" i="26"/>
  <c r="BV48" i="26"/>
  <c r="AT64" i="26"/>
  <c r="AU64" i="26"/>
  <c r="AN55" i="26"/>
  <c r="CM73" i="26"/>
  <c r="AN174" i="26"/>
  <c r="AN218" i="26" s="1"/>
  <c r="AN220" i="26" s="1"/>
  <c r="AN11" i="26"/>
  <c r="AN75" i="26"/>
  <c r="AN181" i="26"/>
  <c r="AN223" i="26" s="1"/>
  <c r="AN226" i="26" s="1"/>
  <c r="AN79" i="26"/>
  <c r="AN154" i="26"/>
  <c r="AN213" i="26" s="1"/>
  <c r="AN62" i="26"/>
  <c r="AP48" i="26"/>
  <c r="AP188" i="26"/>
  <c r="AP228" i="26" s="1"/>
  <c r="AP230" i="26" s="1"/>
  <c r="AP174" i="26"/>
  <c r="AP218" i="26" s="1"/>
  <c r="AP221" i="26" s="1"/>
  <c r="AP75" i="26"/>
  <c r="AP181" i="26"/>
  <c r="AP223" i="26" s="1"/>
  <c r="AP226" i="26" s="1"/>
  <c r="AP62" i="26"/>
  <c r="AQ74" i="26"/>
  <c r="CN73" i="26"/>
  <c r="AR154" i="26"/>
  <c r="AR213" i="26" s="1"/>
  <c r="AR74" i="26"/>
  <c r="AR181" i="26"/>
  <c r="AR223" i="26" s="1"/>
  <c r="AR226" i="26" s="1"/>
  <c r="AR79" i="26"/>
  <c r="AR75" i="26"/>
  <c r="BV90" i="26"/>
  <c r="E138" i="26"/>
  <c r="E133" i="26"/>
  <c r="E128" i="26"/>
  <c r="E136" i="26"/>
  <c r="E135" i="26"/>
  <c r="F139" i="26"/>
  <c r="F135" i="26"/>
  <c r="F128" i="26"/>
  <c r="F138" i="26"/>
  <c r="F134" i="26"/>
  <c r="F133" i="26"/>
  <c r="I139" i="26"/>
  <c r="I134" i="26"/>
  <c r="I133" i="26"/>
  <c r="I138" i="26"/>
  <c r="L133" i="26"/>
  <c r="L140" i="26"/>
  <c r="L135" i="26"/>
  <c r="L136" i="26"/>
  <c r="N136" i="26"/>
  <c r="N128" i="26"/>
  <c r="N135" i="26"/>
  <c r="N138" i="26"/>
  <c r="N139" i="26"/>
  <c r="Q139" i="26"/>
  <c r="Q134" i="26"/>
  <c r="Q140" i="26"/>
  <c r="T133" i="26"/>
  <c r="T140" i="26"/>
  <c r="T128" i="26"/>
  <c r="T134" i="26"/>
  <c r="V135" i="26"/>
  <c r="V128" i="26"/>
  <c r="V140" i="26"/>
  <c r="V138" i="26"/>
  <c r="V133" i="26"/>
  <c r="V136" i="26"/>
  <c r="Y139" i="26"/>
  <c r="Y134" i="26"/>
  <c r="Y135" i="26"/>
  <c r="Y140" i="26"/>
  <c r="AA135" i="26"/>
  <c r="AA128" i="26"/>
  <c r="AA140" i="26"/>
  <c r="AA133" i="26"/>
  <c r="AA139" i="26"/>
  <c r="AC133" i="26"/>
  <c r="AC136" i="26"/>
  <c r="AC140" i="26"/>
  <c r="AC134" i="26"/>
  <c r="AC135" i="26"/>
  <c r="AC139" i="26"/>
  <c r="AE136" i="26"/>
  <c r="AE140" i="26"/>
  <c r="AE138" i="26"/>
  <c r="AG139" i="26"/>
  <c r="AG134" i="26"/>
  <c r="AG133" i="26"/>
  <c r="AG138" i="26"/>
  <c r="AI128" i="26"/>
  <c r="AI140" i="26"/>
  <c r="AI136" i="26"/>
  <c r="AI139" i="26"/>
  <c r="AI134" i="26"/>
  <c r="AK139" i="26"/>
  <c r="AK140" i="26"/>
  <c r="AK135" i="26"/>
  <c r="AK128" i="26"/>
  <c r="AK136" i="26"/>
  <c r="AN135" i="26"/>
  <c r="AN134" i="26"/>
  <c r="AN138" i="26"/>
  <c r="AN140" i="26"/>
  <c r="AN133" i="26"/>
  <c r="AN136" i="26"/>
  <c r="AP138" i="26"/>
  <c r="AP135" i="26"/>
  <c r="AP133" i="26"/>
  <c r="AP136" i="26"/>
  <c r="AR128" i="26"/>
  <c r="AR140" i="26"/>
  <c r="AR138" i="26"/>
  <c r="AR135" i="26"/>
  <c r="AR133" i="26"/>
  <c r="BP153" i="26"/>
  <c r="BO199" i="26"/>
  <c r="BO205" i="26" s="1"/>
  <c r="BR153" i="26"/>
  <c r="BQ199" i="26"/>
  <c r="BT153" i="26"/>
  <c r="BS153" i="26"/>
  <c r="BU154" i="26"/>
  <c r="O213" i="26"/>
  <c r="O216" i="26" s="1"/>
  <c r="O207" i="26"/>
  <c r="S213" i="26"/>
  <c r="S207" i="26"/>
  <c r="W213" i="26"/>
  <c r="W216" i="26" s="1"/>
  <c r="W207" i="26"/>
  <c r="AA213" i="26"/>
  <c r="AA233" i="26" s="1"/>
  <c r="AA236" i="26" s="1"/>
  <c r="AA207" i="26"/>
  <c r="AC215" i="26"/>
  <c r="AE213" i="26"/>
  <c r="AE233" i="26" s="1"/>
  <c r="AE207" i="26"/>
  <c r="AI213" i="26"/>
  <c r="AI216" i="26" s="1"/>
  <c r="AI207" i="26"/>
  <c r="AM213" i="26"/>
  <c r="AM207" i="26"/>
  <c r="BO174" i="26"/>
  <c r="BO173" i="26"/>
  <c r="BS174" i="26"/>
  <c r="BS173" i="26"/>
  <c r="BU174" i="26"/>
  <c r="BN181" i="26"/>
  <c r="BN199" i="26"/>
  <c r="BN205" i="26" s="1"/>
  <c r="BP199" i="26"/>
  <c r="BP205" i="26" s="1"/>
  <c r="BP181" i="26"/>
  <c r="X226" i="26"/>
  <c r="BR223" i="26"/>
  <c r="BR226" i="26" s="1"/>
  <c r="BO188" i="26"/>
  <c r="BO187" i="26"/>
  <c r="BQ188" i="26"/>
  <c r="BQ187" i="26"/>
  <c r="BQ231" i="26"/>
  <c r="BU188" i="26"/>
  <c r="BU187" i="26"/>
  <c r="I200" i="26"/>
  <c r="H205" i="26"/>
  <c r="K200" i="26"/>
  <c r="J205" i="26"/>
  <c r="L201" i="26"/>
  <c r="Q200" i="26"/>
  <c r="P200" i="26"/>
  <c r="P205" i="26"/>
  <c r="R201" i="26"/>
  <c r="R200" i="26"/>
  <c r="T201" i="26"/>
  <c r="T205" i="26"/>
  <c r="V201" i="26"/>
  <c r="X201" i="26"/>
  <c r="AB200" i="26"/>
  <c r="AB201" i="26"/>
  <c r="AD200" i="26"/>
  <c r="AD201" i="26"/>
  <c r="AJ201" i="26"/>
  <c r="AK200" i="26"/>
  <c r="AJ200" i="26"/>
  <c r="AJ205" i="26"/>
  <c r="AM200" i="26"/>
  <c r="AL201" i="26"/>
  <c r="AP200" i="26"/>
  <c r="CN199" i="26"/>
  <c r="AP205" i="26"/>
  <c r="AS200" i="26"/>
  <c r="AR200" i="26"/>
  <c r="BN249" i="26"/>
  <c r="BO248" i="26"/>
  <c r="BP249" i="26"/>
  <c r="BQ248" i="26"/>
  <c r="BT249" i="26"/>
  <c r="BT247" i="26"/>
  <c r="BU247" i="26"/>
  <c r="BT248" i="26"/>
  <c r="BS252" i="26"/>
  <c r="BS254" i="26"/>
  <c r="BS271" i="26"/>
  <c r="BU254" i="26"/>
  <c r="BU252" i="26"/>
  <c r="BU271" i="26"/>
  <c r="BU274" i="26" s="1"/>
  <c r="BU253" i="26"/>
  <c r="BN259" i="26"/>
  <c r="BO258" i="26"/>
  <c r="BR259" i="26"/>
  <c r="BS257" i="26"/>
  <c r="BR258" i="26"/>
  <c r="BT259" i="26"/>
  <c r="BT257" i="26"/>
  <c r="BU257" i="26"/>
  <c r="BO264" i="26"/>
  <c r="BP263" i="26"/>
  <c r="BO263" i="26"/>
  <c r="BQ263" i="26"/>
  <c r="BR263" i="26"/>
  <c r="BT262" i="26"/>
  <c r="BS264" i="26"/>
  <c r="BU263" i="26"/>
  <c r="BU262" i="26"/>
  <c r="H274" i="26"/>
  <c r="I272" i="26"/>
  <c r="BT269" i="26"/>
  <c r="BU267" i="26"/>
  <c r="BT267" i="26"/>
  <c r="R274" i="26"/>
  <c r="R273" i="26"/>
  <c r="AB274" i="26"/>
  <c r="AB272" i="26"/>
  <c r="AC272" i="26"/>
  <c r="AD274" i="26"/>
  <c r="AD272" i="26"/>
  <c r="AE272" i="26"/>
  <c r="AF274" i="26"/>
  <c r="AF273" i="26"/>
  <c r="AF278" i="26"/>
  <c r="AJ272" i="26"/>
  <c r="AJ274" i="26"/>
  <c r="AL274" i="26"/>
  <c r="AL273" i="26"/>
  <c r="AR273" i="26"/>
  <c r="AU139" i="26"/>
  <c r="AU136" i="26"/>
  <c r="AU134" i="26"/>
  <c r="AT139" i="26"/>
  <c r="AT136" i="26"/>
  <c r="AT134" i="26"/>
  <c r="AH274" i="26"/>
  <c r="AR174" i="26"/>
  <c r="AR218" i="26" s="1"/>
  <c r="AR136" i="26"/>
  <c r="AT71" i="26"/>
  <c r="AT156" i="31" s="1"/>
  <c r="AU157" i="31" s="1"/>
  <c r="BU173" i="26"/>
  <c r="BO154" i="26"/>
  <c r="BO207" i="26" s="1"/>
  <c r="AC273" i="26"/>
  <c r="BS154" i="26"/>
  <c r="BS207" i="26" s="1"/>
  <c r="AP128" i="26"/>
  <c r="AE128" i="26"/>
  <c r="AS74" i="26"/>
  <c r="AL278" i="26"/>
  <c r="AB205" i="26"/>
  <c r="R205" i="26"/>
  <c r="AE133" i="26"/>
  <c r="K213" i="26"/>
  <c r="K233" i="26" s="1"/>
  <c r="L234" i="26" s="1"/>
  <c r="AK134" i="26"/>
  <c r="AC128" i="26"/>
  <c r="E140" i="26"/>
  <c r="T136" i="26"/>
  <c r="T200" i="26"/>
  <c r="Y278" i="26"/>
  <c r="Y138" i="26"/>
  <c r="I135" i="26"/>
  <c r="AG128" i="26"/>
  <c r="Y128" i="26"/>
  <c r="Q128" i="26"/>
  <c r="I128" i="26"/>
  <c r="E134" i="26"/>
  <c r="AA134" i="26"/>
  <c r="AE134" i="26"/>
  <c r="AP11" i="26"/>
  <c r="F136" i="26"/>
  <c r="L128" i="26"/>
  <c r="N133" i="26"/>
  <c r="V134" i="26"/>
  <c r="V200" i="26"/>
  <c r="AM272" i="26"/>
  <c r="AN272" i="26"/>
  <c r="R278" i="26"/>
  <c r="N140" i="26"/>
  <c r="F140" i="26"/>
  <c r="CK199" i="26"/>
  <c r="AN139" i="26"/>
  <c r="AI135" i="26"/>
  <c r="AN48" i="26"/>
  <c r="AH201" i="26"/>
  <c r="AL272" i="26"/>
  <c r="AP272" i="26"/>
  <c r="CM199" i="26"/>
  <c r="W200" i="26"/>
  <c r="N134" i="26"/>
  <c r="AP55" i="26"/>
  <c r="AN188" i="26"/>
  <c r="AN228" i="26" s="1"/>
  <c r="AO229" i="26" s="1"/>
  <c r="AA138" i="26"/>
  <c r="AE200" i="26"/>
  <c r="BV181" i="26"/>
  <c r="BR269" i="26"/>
  <c r="BS267" i="26"/>
  <c r="BU264" i="26"/>
  <c r="BQ258" i="26"/>
  <c r="BP258" i="26"/>
  <c r="BT252" i="26"/>
  <c r="BT271" i="26"/>
  <c r="AR201" i="26"/>
  <c r="AF200" i="26"/>
  <c r="AK207" i="26"/>
  <c r="AC207" i="26"/>
  <c r="U207" i="26"/>
  <c r="M207" i="26"/>
  <c r="AP140" i="26"/>
  <c r="BU221" i="26"/>
  <c r="AR274" i="26"/>
  <c r="AT128" i="26"/>
  <c r="W139" i="26"/>
  <c r="X215" i="26"/>
  <c r="P216" i="26"/>
  <c r="K271" i="26"/>
  <c r="L272" i="26" s="1"/>
  <c r="W268" i="26"/>
  <c r="AN128" i="26"/>
  <c r="M157" i="31"/>
  <c r="N157" i="31"/>
  <c r="V157" i="31"/>
  <c r="Z157" i="31"/>
  <c r="AC157" i="31"/>
  <c r="AD157" i="31"/>
  <c r="AH157" i="31"/>
  <c r="AL157" i="31"/>
  <c r="BW63" i="26"/>
  <c r="W136" i="26"/>
  <c r="W135" i="26"/>
  <c r="BN226" i="26"/>
  <c r="M224" i="26"/>
  <c r="Q224" i="26"/>
  <c r="BT226" i="26"/>
  <c r="BU226" i="26"/>
  <c r="Q229" i="26"/>
  <c r="AH229" i="26"/>
  <c r="AM229" i="26"/>
  <c r="I205" i="26"/>
  <c r="K205" i="26"/>
  <c r="Q205" i="26"/>
  <c r="W205" i="26"/>
  <c r="Y205" i="26"/>
  <c r="AC205" i="26"/>
  <c r="AE205" i="26"/>
  <c r="AG205" i="26"/>
  <c r="AK205" i="26"/>
  <c r="AM205" i="26"/>
  <c r="AS205" i="26"/>
  <c r="I278" i="26"/>
  <c r="AA278" i="26"/>
  <c r="AC278" i="26"/>
  <c r="AE278" i="26"/>
  <c r="AG278" i="26"/>
  <c r="AK278" i="26"/>
  <c r="AM278" i="26"/>
  <c r="AS278" i="26"/>
  <c r="AV33" i="26"/>
  <c r="AV39" i="26"/>
  <c r="W134" i="26"/>
  <c r="W140" i="26"/>
  <c r="W128" i="26"/>
  <c r="AT73" i="26"/>
  <c r="AT79" i="26" s="1"/>
  <c r="AX61" i="26"/>
  <c r="AV42" i="26"/>
  <c r="D29" i="31"/>
  <c r="D30" i="31" s="1"/>
  <c r="D27" i="31"/>
  <c r="D28" i="31" s="1"/>
  <c r="AM52" i="31"/>
  <c r="AM23" i="31"/>
  <c r="BM20" i="31"/>
  <c r="BM25" i="31"/>
  <c r="BM26" i="31" s="1"/>
  <c r="BM16" i="31"/>
  <c r="BU25" i="31"/>
  <c r="BU26" i="31" s="1"/>
  <c r="BU16" i="31"/>
  <c r="AL27" i="31"/>
  <c r="AL21" i="31"/>
  <c r="AO21" i="31"/>
  <c r="AH29" i="31"/>
  <c r="AH30" i="31" s="1"/>
  <c r="AH23" i="31"/>
  <c r="AA40" i="31"/>
  <c r="AC40" i="31"/>
  <c r="F50" i="31"/>
  <c r="M66" i="31"/>
  <c r="M71" i="31" s="1"/>
  <c r="M175" i="31" s="1"/>
  <c r="M177" i="31" s="1"/>
  <c r="M61" i="31"/>
  <c r="M63" i="31" s="1"/>
  <c r="M68" i="31" s="1"/>
  <c r="M152" i="31"/>
  <c r="U61" i="31"/>
  <c r="U63" i="31" s="1"/>
  <c r="U64" i="31" s="1"/>
  <c r="U66" i="31"/>
  <c r="U71" i="31" s="1"/>
  <c r="U89" i="31" s="1"/>
  <c r="AE61" i="31"/>
  <c r="AE63" i="31" s="1"/>
  <c r="AE64" i="31" s="1"/>
  <c r="AE152" i="31"/>
  <c r="AG152" i="31"/>
  <c r="AG61" i="31"/>
  <c r="AG63" i="31" s="1"/>
  <c r="AG68" i="31" s="1"/>
  <c r="AI66" i="31"/>
  <c r="AI71" i="31" s="1"/>
  <c r="AI175" i="31" s="1"/>
  <c r="AI177" i="31" s="1"/>
  <c r="AI61" i="31"/>
  <c r="AI63" i="31" s="1"/>
  <c r="AI64" i="31" s="1"/>
  <c r="AM61" i="31"/>
  <c r="AM63" i="31" s="1"/>
  <c r="AM64" i="31" s="1"/>
  <c r="AM152" i="31"/>
  <c r="BU54" i="31"/>
  <c r="BU61" i="31" s="1"/>
  <c r="BU63" i="31" s="1"/>
  <c r="D86" i="31"/>
  <c r="D84" i="31"/>
  <c r="R86" i="31"/>
  <c r="R84" i="31"/>
  <c r="R87" i="31" s="1"/>
  <c r="AB84" i="31"/>
  <c r="AB87" i="31" s="1"/>
  <c r="AB86" i="31"/>
  <c r="BT80" i="31"/>
  <c r="BT78" i="31"/>
  <c r="BT86" i="31" s="1"/>
  <c r="BV75" i="32"/>
  <c r="BV76" i="32" s="1"/>
  <c r="O100" i="32"/>
  <c r="O157" i="33"/>
  <c r="Q100" i="32"/>
  <c r="Q157" i="33"/>
  <c r="AE100" i="32"/>
  <c r="AE157" i="33"/>
  <c r="AP100" i="32"/>
  <c r="AP157" i="33"/>
  <c r="AW157" i="33"/>
  <c r="AW100" i="32"/>
  <c r="BN157" i="33"/>
  <c r="BN100" i="32"/>
  <c r="BP100" i="32"/>
  <c r="BP157" i="33"/>
  <c r="AU66" i="31"/>
  <c r="AU71" i="31" s="1"/>
  <c r="AU89" i="31" s="1"/>
  <c r="AB71" i="31"/>
  <c r="AB175" i="31" s="1"/>
  <c r="AB177" i="31" s="1"/>
  <c r="BR35" i="31"/>
  <c r="BQ20" i="31"/>
  <c r="BO22" i="31"/>
  <c r="AR86" i="31"/>
  <c r="S66" i="31"/>
  <c r="S71" i="31" s="1"/>
  <c r="S89" i="31" s="1"/>
  <c r="S90" i="31" s="1"/>
  <c r="BU54" i="32"/>
  <c r="BP64" i="33"/>
  <c r="H86" i="31"/>
  <c r="H23" i="31"/>
  <c r="P84" i="31"/>
  <c r="P87" i="31" s="1"/>
  <c r="M151" i="31"/>
  <c r="BV6" i="33"/>
  <c r="BV61" i="33" s="1"/>
  <c r="BV76" i="33" s="1"/>
  <c r="BV84" i="33" s="1"/>
  <c r="I152" i="31"/>
  <c r="AN84" i="31"/>
  <c r="AN87" i="31" s="1"/>
  <c r="AQ61" i="31"/>
  <c r="AQ63" i="31" s="1"/>
  <c r="AQ64" i="31" s="1"/>
  <c r="AC152" i="31"/>
  <c r="AS152" i="31"/>
  <c r="AL229" i="26"/>
  <c r="I224" i="26"/>
  <c r="AM231" i="26"/>
  <c r="X224" i="26"/>
  <c r="BV157" i="33"/>
  <c r="E66" i="31"/>
  <c r="E71" i="31" s="1"/>
  <c r="E89" i="31" s="1"/>
  <c r="AJ71" i="31"/>
  <c r="AJ89" i="31" s="1"/>
  <c r="T71" i="31"/>
  <c r="T89" i="31" s="1"/>
  <c r="AN42" i="31"/>
  <c r="AT42" i="31"/>
  <c r="BR22" i="31"/>
  <c r="I27" i="31"/>
  <c r="I28" i="31" s="1"/>
  <c r="Q21" i="31"/>
  <c r="I29" i="31"/>
  <c r="I30" i="31" s="1"/>
  <c r="Q23" i="31"/>
  <c r="BQ151" i="31"/>
  <c r="BV45" i="31"/>
  <c r="G50" i="31"/>
  <c r="AA50" i="31"/>
  <c r="AE50" i="31"/>
  <c r="AC52" i="31"/>
  <c r="BO78" i="31"/>
  <c r="BO86" i="31" s="1"/>
  <c r="BR101" i="31"/>
  <c r="BR103" i="31" s="1"/>
  <c r="BP101" i="31"/>
  <c r="BP103" i="31" s="1"/>
  <c r="BO101" i="31"/>
  <c r="BO103" i="31" s="1"/>
  <c r="BM101" i="31"/>
  <c r="BM103" i="31" s="1"/>
  <c r="AD50" i="32"/>
  <c r="AF219" i="26"/>
  <c r="AQ128" i="26"/>
  <c r="P224" i="26"/>
  <c r="AK215" i="26"/>
  <c r="AT49" i="32"/>
  <c r="AT48" i="32" s="1"/>
  <c r="AK224" i="26"/>
  <c r="H226" i="26"/>
  <c r="AK220" i="26"/>
  <c r="F46" i="32"/>
  <c r="F57" i="32" s="1"/>
  <c r="F74" i="32" s="1"/>
  <c r="AB50" i="32"/>
  <c r="BX46" i="32"/>
  <c r="BX57" i="32" s="1"/>
  <c r="BX74" i="32" s="1"/>
  <c r="AL78" i="32"/>
  <c r="AG216" i="26"/>
  <c r="AG215" i="26"/>
  <c r="Y233" i="26"/>
  <c r="Y240" i="26" s="1"/>
  <c r="Y215" i="26"/>
  <c r="U216" i="26"/>
  <c r="U215" i="26"/>
  <c r="D6" i="33"/>
  <c r="D61" i="33" s="1"/>
  <c r="D76" i="33" s="1"/>
  <c r="D84" i="33" s="1"/>
  <c r="D46" i="32"/>
  <c r="D57" i="32" s="1"/>
  <c r="D74" i="32" s="1"/>
  <c r="H6" i="33"/>
  <c r="H61" i="33" s="1"/>
  <c r="H76" i="33" s="1"/>
  <c r="H84" i="33" s="1"/>
  <c r="H46" i="32"/>
  <c r="H57" i="32" s="1"/>
  <c r="H74" i="32" s="1"/>
  <c r="L6" i="33"/>
  <c r="L61" i="33" s="1"/>
  <c r="L76" i="33" s="1"/>
  <c r="L84" i="33" s="1"/>
  <c r="L46" i="32"/>
  <c r="L57" i="32" s="1"/>
  <c r="L74" i="32" s="1"/>
  <c r="R6" i="33"/>
  <c r="R61" i="33" s="1"/>
  <c r="R76" i="33" s="1"/>
  <c r="R84" i="33" s="1"/>
  <c r="R46" i="32"/>
  <c r="R57" i="32" s="1"/>
  <c r="R74" i="32" s="1"/>
  <c r="T6" i="33"/>
  <c r="T61" i="33" s="1"/>
  <c r="T76" i="33" s="1"/>
  <c r="T84" i="33" s="1"/>
  <c r="T46" i="32"/>
  <c r="T57" i="32" s="1"/>
  <c r="T74" i="32" s="1"/>
  <c r="V6" i="33"/>
  <c r="V61" i="33" s="1"/>
  <c r="V76" i="33" s="1"/>
  <c r="V84" i="33" s="1"/>
  <c r="V46" i="32"/>
  <c r="V57" i="32" s="1"/>
  <c r="V74" i="32" s="1"/>
  <c r="X6" i="33"/>
  <c r="X61" i="33" s="1"/>
  <c r="X76" i="33" s="1"/>
  <c r="X84" i="33" s="1"/>
  <c r="X46" i="32"/>
  <c r="X57" i="32" s="1"/>
  <c r="X74" i="32" s="1"/>
  <c r="Z6" i="33"/>
  <c r="Z61" i="33" s="1"/>
  <c r="Z76" i="33" s="1"/>
  <c r="Z84" i="33" s="1"/>
  <c r="Z46" i="32"/>
  <c r="Z57" i="32" s="1"/>
  <c r="Z74" i="32" s="1"/>
  <c r="AB6" i="33"/>
  <c r="AB61" i="33" s="1"/>
  <c r="AB76" i="33" s="1"/>
  <c r="AB84" i="33" s="1"/>
  <c r="AB46" i="32"/>
  <c r="AB57" i="32" s="1"/>
  <c r="AB74" i="32" s="1"/>
  <c r="AL6" i="33"/>
  <c r="AL61" i="33" s="1"/>
  <c r="AL76" i="33" s="1"/>
  <c r="AL84" i="33" s="1"/>
  <c r="AL46" i="32"/>
  <c r="AL57" i="32" s="1"/>
  <c r="AL74" i="32" s="1"/>
  <c r="AN6" i="33"/>
  <c r="AN61" i="33" s="1"/>
  <c r="AN76" i="33" s="1"/>
  <c r="AN84" i="33" s="1"/>
  <c r="AN46" i="32"/>
  <c r="AN57" i="32" s="1"/>
  <c r="AN74" i="32" s="1"/>
  <c r="BZ6" i="33"/>
  <c r="BZ61" i="33" s="1"/>
  <c r="BZ76" i="33" s="1"/>
  <c r="BZ84" i="33" s="1"/>
  <c r="BZ46" i="32"/>
  <c r="BZ57" i="32" s="1"/>
  <c r="BZ74" i="32" s="1"/>
  <c r="E51" i="32"/>
  <c r="E47" i="32"/>
  <c r="K47" i="32"/>
  <c r="K51" i="32"/>
  <c r="Q51" i="32"/>
  <c r="Q47" i="32"/>
  <c r="H49" i="32"/>
  <c r="H48" i="32" s="1"/>
  <c r="H50" i="32"/>
  <c r="R50" i="32"/>
  <c r="R49" i="32"/>
  <c r="R48" i="32" s="1"/>
  <c r="AL50" i="32"/>
  <c r="AL49" i="32"/>
  <c r="AL48" i="32" s="1"/>
  <c r="AR49" i="32"/>
  <c r="AR48" i="32" s="1"/>
  <c r="AR50" i="32"/>
  <c r="T78" i="32"/>
  <c r="T76" i="32"/>
  <c r="Z78" i="32"/>
  <c r="Z80" i="32"/>
  <c r="AD81" i="32"/>
  <c r="AD95" i="32" s="1"/>
  <c r="AD78" i="32"/>
  <c r="AJ76" i="32"/>
  <c r="AJ78" i="32"/>
  <c r="AO79" i="26"/>
  <c r="AO269" i="26"/>
  <c r="AO274" i="26"/>
  <c r="AS128" i="26"/>
  <c r="AS274" i="26"/>
  <c r="AG221" i="26"/>
  <c r="AG219" i="26"/>
  <c r="AI221" i="26"/>
  <c r="AI220" i="26"/>
  <c r="AM220" i="26"/>
  <c r="J226" i="26"/>
  <c r="K224" i="26"/>
  <c r="BO223" i="26"/>
  <c r="BO226" i="26" s="1"/>
  <c r="L225" i="26"/>
  <c r="R226" i="26"/>
  <c r="R224" i="26"/>
  <c r="S224" i="26"/>
  <c r="AH226" i="26"/>
  <c r="AH224" i="26"/>
  <c r="AH225" i="26"/>
  <c r="W229" i="26"/>
  <c r="W231" i="26"/>
  <c r="D236" i="26"/>
  <c r="E234" i="26"/>
  <c r="F236" i="26"/>
  <c r="F240" i="26"/>
  <c r="BB100" i="32"/>
  <c r="BB157" i="33"/>
  <c r="Z216" i="26"/>
  <c r="BQ205" i="26"/>
  <c r="AF226" i="26"/>
  <c r="AD214" i="26"/>
  <c r="G234" i="26"/>
  <c r="D240" i="26"/>
  <c r="AA47" i="32"/>
  <c r="AE157" i="31"/>
  <c r="AC216" i="26"/>
  <c r="P46" i="32"/>
  <c r="P57" i="32" s="1"/>
  <c r="P74" i="32" s="1"/>
  <c r="M47" i="32"/>
  <c r="AQ51" i="32"/>
  <c r="U47" i="32"/>
  <c r="L224" i="26"/>
  <c r="M233" i="26"/>
  <c r="M234" i="26" s="1"/>
  <c r="AJ219" i="26"/>
  <c r="AF225" i="26"/>
  <c r="L226" i="26"/>
  <c r="AS269" i="26"/>
  <c r="AO128" i="26"/>
  <c r="AH76" i="32"/>
  <c r="Y220" i="26"/>
  <c r="P226" i="26"/>
  <c r="AN219" i="26"/>
  <c r="BC46" i="32"/>
  <c r="BC57" i="32" s="1"/>
  <c r="BC74" i="32" s="1"/>
  <c r="J46" i="32"/>
  <c r="J57" i="32" s="1"/>
  <c r="J74" i="32" s="1"/>
  <c r="V78" i="32"/>
  <c r="S278" i="26"/>
  <c r="U278" i="26"/>
  <c r="BU205" i="26"/>
  <c r="S157" i="31"/>
  <c r="W157" i="31"/>
  <c r="BS156" i="31"/>
  <c r="AI278" i="26"/>
  <c r="BW56" i="33"/>
  <c r="BS79" i="32"/>
  <c r="E43" i="32"/>
  <c r="H92" i="32"/>
  <c r="AF92" i="32"/>
  <c r="AH92" i="32"/>
  <c r="AJ92" i="32"/>
  <c r="AL92" i="32"/>
  <c r="AN92" i="32"/>
  <c r="BP14" i="32"/>
  <c r="BR14" i="32"/>
  <c r="Y82" i="32"/>
  <c r="AK82" i="32"/>
  <c r="BN77" i="32"/>
  <c r="BR77" i="32"/>
  <c r="BV77" i="32"/>
  <c r="F78" i="32"/>
  <c r="AI47" i="32"/>
  <c r="O47" i="32"/>
  <c r="AE51" i="32"/>
  <c r="F49" i="32"/>
  <c r="F48" i="32" s="1"/>
  <c r="AP49" i="32"/>
  <c r="AP48" i="32" s="1"/>
  <c r="J49" i="32"/>
  <c r="J48" i="32" s="1"/>
  <c r="AG47" i="32"/>
  <c r="I47" i="32"/>
  <c r="AK47" i="32"/>
  <c r="N50" i="32"/>
  <c r="Z76" i="32"/>
  <c r="P76" i="32"/>
  <c r="W51" i="32"/>
  <c r="S51" i="32"/>
  <c r="BS47" i="32"/>
  <c r="AM51" i="32"/>
  <c r="AW46" i="32"/>
  <c r="AW57" i="32" s="1"/>
  <c r="AW74" i="32" s="1"/>
  <c r="AQ46" i="32"/>
  <c r="AQ57" i="32" s="1"/>
  <c r="AQ74" i="32" s="1"/>
  <c r="O46" i="32"/>
  <c r="O57" i="32" s="1"/>
  <c r="O74" i="32" s="1"/>
  <c r="K46" i="32"/>
  <c r="K57" i="32" s="1"/>
  <c r="K74" i="32" s="1"/>
  <c r="I46" i="32"/>
  <c r="I57" i="32" s="1"/>
  <c r="I74" i="32" s="1"/>
  <c r="G46" i="32"/>
  <c r="G57" i="32" s="1"/>
  <c r="G74" i="32" s="1"/>
  <c r="E46" i="32"/>
  <c r="E57" i="32" s="1"/>
  <c r="E74" i="32" s="1"/>
  <c r="AJ50" i="32"/>
  <c r="P50" i="32"/>
  <c r="BQ46" i="32"/>
  <c r="BQ57" i="32" s="1"/>
  <c r="BQ74" i="32" s="1"/>
  <c r="AL76" i="32"/>
  <c r="AD76" i="32"/>
  <c r="V76" i="32"/>
  <c r="Z81" i="32"/>
  <c r="Z95" i="32" s="1"/>
  <c r="BO50" i="32"/>
  <c r="I78" i="32"/>
  <c r="O76" i="32"/>
  <c r="AP46" i="32"/>
  <c r="AP57" i="32" s="1"/>
  <c r="AP74" i="32" s="1"/>
  <c r="AO51" i="32"/>
  <c r="V50" i="32"/>
  <c r="Z49" i="32"/>
  <c r="Z48" i="32" s="1"/>
  <c r="AC47" i="32"/>
  <c r="AH49" i="32"/>
  <c r="AH48" i="32" s="1"/>
  <c r="BQ50" i="32"/>
  <c r="AH81" i="32"/>
  <c r="AH95" i="32" s="1"/>
  <c r="BA46" i="32"/>
  <c r="BA57" i="32" s="1"/>
  <c r="BA74" i="32" s="1"/>
  <c r="G51" i="32"/>
  <c r="AX46" i="32"/>
  <c r="AX57" i="32" s="1"/>
  <c r="AX74" i="32" s="1"/>
  <c r="AT46" i="32"/>
  <c r="AT57" i="32" s="1"/>
  <c r="AT74" i="32" s="1"/>
  <c r="AR46" i="32"/>
  <c r="AR57" i="32" s="1"/>
  <c r="AR74" i="32" s="1"/>
  <c r="AH46" i="32"/>
  <c r="AH57" i="32" s="1"/>
  <c r="AH74" i="32" s="1"/>
  <c r="AD46" i="32"/>
  <c r="AD57" i="32" s="1"/>
  <c r="AD74" i="32" s="1"/>
  <c r="N46" i="32"/>
  <c r="N57" i="32" s="1"/>
  <c r="N74" i="32" s="1"/>
  <c r="AN50" i="32"/>
  <c r="AF50" i="32"/>
  <c r="X50" i="32"/>
  <c r="L50" i="32"/>
  <c r="D50" i="32"/>
  <c r="BW46" i="32"/>
  <c r="BW57" i="32" s="1"/>
  <c r="BW74" i="32" s="1"/>
  <c r="BT46" i="32"/>
  <c r="BT57" i="32" s="1"/>
  <c r="BT74" i="32" s="1"/>
  <c r="AL80" i="32"/>
  <c r="AD80" i="32"/>
  <c r="V80" i="32"/>
  <c r="AF78" i="32"/>
  <c r="AH78" i="32"/>
  <c r="AT157" i="31"/>
  <c r="BQ141" i="31"/>
  <c r="BU141" i="31"/>
  <c r="BN141" i="31"/>
  <c r="AU80" i="32"/>
  <c r="O80" i="32"/>
  <c r="I81" i="32"/>
  <c r="I95" i="32" s="1"/>
  <c r="BT101" i="31"/>
  <c r="BT103" i="31" s="1"/>
  <c r="N84" i="31"/>
  <c r="N87" i="31" s="1"/>
  <c r="AP84" i="31"/>
  <c r="AP87" i="31" s="1"/>
  <c r="BM78" i="31"/>
  <c r="BM86" i="31" s="1"/>
  <c r="G86" i="31"/>
  <c r="AQ84" i="31"/>
  <c r="AQ87" i="31" s="1"/>
  <c r="AH86" i="31"/>
  <c r="S86" i="31"/>
  <c r="Z86" i="31"/>
  <c r="V84" i="31"/>
  <c r="V87" i="31" s="1"/>
  <c r="I80" i="32"/>
  <c r="AP80" i="32"/>
  <c r="AP81" i="32"/>
  <c r="AP95" i="32" s="1"/>
  <c r="AP78" i="32"/>
  <c r="M76" i="32"/>
  <c r="BO140" i="31"/>
  <c r="BO75" i="32" s="1"/>
  <c r="BO76" i="32" s="1"/>
  <c r="Q29" i="31"/>
  <c r="Q30" i="31" s="1"/>
  <c r="AP27" i="31"/>
  <c r="AP28" i="31" s="1"/>
  <c r="O50" i="31"/>
  <c r="AI50" i="31"/>
  <c r="AQ50" i="31"/>
  <c r="BR45" i="31"/>
  <c r="I52" i="31"/>
  <c r="AQ67" i="31"/>
  <c r="BR151" i="31"/>
  <c r="BV151" i="31"/>
  <c r="BR152" i="31"/>
  <c r="AD61" i="31"/>
  <c r="AD63" i="31" s="1"/>
  <c r="O86" i="31"/>
  <c r="BQ78" i="31"/>
  <c r="BQ86" i="31" s="1"/>
  <c r="AI86" i="31"/>
  <c r="AU84" i="31"/>
  <c r="AU87" i="31" s="1"/>
  <c r="AA86" i="31"/>
  <c r="K84" i="31"/>
  <c r="K87" i="31" s="1"/>
  <c r="AE86" i="31"/>
  <c r="BT78" i="32"/>
  <c r="BT16" i="31"/>
  <c r="M27" i="31"/>
  <c r="M28" i="31" s="1"/>
  <c r="S27" i="31"/>
  <c r="S28" i="31" s="1"/>
  <c r="W21" i="31"/>
  <c r="AC21" i="31"/>
  <c r="AE29" i="31"/>
  <c r="AE30" i="31" s="1"/>
  <c r="H27" i="31"/>
  <c r="H28" i="31" s="1"/>
  <c r="J21" i="31"/>
  <c r="L27" i="31"/>
  <c r="L28" i="31" s="1"/>
  <c r="P21" i="31"/>
  <c r="X21" i="31"/>
  <c r="AB27" i="31"/>
  <c r="AB28" i="31" s="1"/>
  <c r="AD27" i="31"/>
  <c r="AD28" i="31" s="1"/>
  <c r="D23" i="31"/>
  <c r="L29" i="31"/>
  <c r="L30" i="31" s="1"/>
  <c r="X29" i="31"/>
  <c r="X30" i="31" s="1"/>
  <c r="BO45" i="31"/>
  <c r="BQ45" i="31"/>
  <c r="AD50" i="31"/>
  <c r="P40" i="31"/>
  <c r="X40" i="31"/>
  <c r="BT76" i="32"/>
  <c r="D78" i="32"/>
  <c r="W81" i="32"/>
  <c r="W95" i="32" s="1"/>
  <c r="Y80" i="32"/>
  <c r="AA80" i="32"/>
  <c r="AC81" i="32"/>
  <c r="AC95" i="32" s="1"/>
  <c r="AG81" i="32"/>
  <c r="AG95" i="32" s="1"/>
  <c r="AO80" i="32"/>
  <c r="AQ80" i="32"/>
  <c r="AS81" i="32"/>
  <c r="AS95" i="32" s="1"/>
  <c r="BX21" i="32"/>
  <c r="BX13" i="32"/>
  <c r="AB23" i="32"/>
  <c r="AB43" i="32" s="1"/>
  <c r="AB82" i="32"/>
  <c r="AO23" i="32"/>
  <c r="AO43" i="32" s="1"/>
  <c r="AO82" i="32"/>
  <c r="L41" i="32"/>
  <c r="L43" i="32" s="1"/>
  <c r="L82" i="32"/>
  <c r="AU94" i="32"/>
  <c r="E82" i="32"/>
  <c r="J82" i="32"/>
  <c r="BV82" i="32"/>
  <c r="BV23" i="32"/>
  <c r="BP23" i="32"/>
  <c r="BP82" i="32"/>
  <c r="K23" i="32"/>
  <c r="K43" i="32" s="1"/>
  <c r="K82" i="32"/>
  <c r="M23" i="32"/>
  <c r="M43" i="32" s="1"/>
  <c r="M82" i="32"/>
  <c r="AA41" i="32"/>
  <c r="AA43" i="32" s="1"/>
  <c r="AA82" i="32"/>
  <c r="AT41" i="32"/>
  <c r="AT43" i="32" s="1"/>
  <c r="AT82" i="32"/>
  <c r="BP70" i="32"/>
  <c r="S71" i="32"/>
  <c r="S81" i="32"/>
  <c r="S95" i="32" s="1"/>
  <c r="S80" i="32"/>
  <c r="AE81" i="32"/>
  <c r="AE95" i="32" s="1"/>
  <c r="AE80" i="32"/>
  <c r="E92" i="32"/>
  <c r="G92" i="32"/>
  <c r="M92" i="32"/>
  <c r="O92" i="32"/>
  <c r="O94" i="32" s="1"/>
  <c r="W92" i="32"/>
  <c r="AE92" i="32"/>
  <c r="AK92" i="32"/>
  <c r="AM92" i="32"/>
  <c r="L78" i="32"/>
  <c r="AE71" i="32"/>
  <c r="BO82" i="31"/>
  <c r="BQ82" i="31"/>
  <c r="BS82" i="31"/>
  <c r="J43" i="32"/>
  <c r="N82" i="32"/>
  <c r="AI71" i="32"/>
  <c r="D71" i="32"/>
  <c r="AS92" i="32"/>
  <c r="E57" i="33"/>
  <c r="G57" i="33"/>
  <c r="K57" i="33"/>
  <c r="O57" i="33"/>
  <c r="Q57" i="33"/>
  <c r="U57" i="33"/>
  <c r="W57" i="33"/>
  <c r="AA57" i="33"/>
  <c r="AE57" i="33"/>
  <c r="AG57" i="33"/>
  <c r="AK57" i="33"/>
  <c r="AM57" i="33"/>
  <c r="AQ57" i="33"/>
  <c r="AT71" i="32"/>
  <c r="AX130" i="31"/>
  <c r="AX132" i="31"/>
  <c r="N78" i="32"/>
  <c r="N80" i="32"/>
  <c r="AH215" i="26"/>
  <c r="BU51" i="32"/>
  <c r="BP47" i="32"/>
  <c r="Z214" i="26"/>
  <c r="AH216" i="26"/>
  <c r="M214" i="26"/>
  <c r="F21" i="31"/>
  <c r="U233" i="26"/>
  <c r="Y216" i="26"/>
  <c r="AC233" i="26"/>
  <c r="AC240" i="26" s="1"/>
  <c r="AG233" i="26"/>
  <c r="AK235" i="26" s="1"/>
  <c r="AE21" i="31"/>
  <c r="I21" i="31"/>
  <c r="Q27" i="31"/>
  <c r="Q28" i="31" s="1"/>
  <c r="O23" i="31"/>
  <c r="AE23" i="31"/>
  <c r="AQ23" i="31"/>
  <c r="BV152" i="31"/>
  <c r="BV66" i="31"/>
  <c r="BV71" i="31" s="1"/>
  <c r="I66" i="31"/>
  <c r="I71" i="31" s="1"/>
  <c r="I72" i="31" s="1"/>
  <c r="S61" i="31"/>
  <c r="S63" i="31" s="1"/>
  <c r="S64" i="31" s="1"/>
  <c r="G152" i="31"/>
  <c r="BQ16" i="31"/>
  <c r="L23" i="31"/>
  <c r="Z29" i="31"/>
  <c r="Z30" i="31" s="1"/>
  <c r="AQ49" i="32"/>
  <c r="AQ48" i="32" s="1"/>
  <c r="I42" i="31"/>
  <c r="D52" i="31"/>
  <c r="AX5" i="33"/>
  <c r="BS115" i="31"/>
  <c r="BS116" i="31" s="1"/>
  <c r="BW80" i="31"/>
  <c r="BS63" i="31"/>
  <c r="J50" i="31"/>
  <c r="AH50" i="31"/>
  <c r="AL50" i="31"/>
  <c r="BO51" i="31"/>
  <c r="BS51" i="31"/>
  <c r="BU45" i="31"/>
  <c r="AB52" i="31"/>
  <c r="AF52" i="31"/>
  <c r="BP20" i="31"/>
  <c r="BN51" i="32"/>
  <c r="AW76" i="32"/>
  <c r="AW78" i="32"/>
  <c r="AW80" i="32"/>
  <c r="AW81" i="32"/>
  <c r="U274" i="26"/>
  <c r="U157" i="31"/>
  <c r="AG157" i="31"/>
  <c r="AK157" i="31"/>
  <c r="AR62" i="26"/>
  <c r="BR126" i="26"/>
  <c r="BR134" i="26" s="1"/>
  <c r="BT166" i="26"/>
  <c r="AB224" i="26"/>
  <c r="AJ224" i="26"/>
  <c r="BV10" i="26"/>
  <c r="BV12" i="26"/>
  <c r="BW14" i="26" s="1"/>
  <c r="BV20" i="26"/>
  <c r="BW22" i="26" s="1"/>
  <c r="BV16" i="26"/>
  <c r="BW18" i="26" s="1"/>
  <c r="BV24" i="26"/>
  <c r="BW26" i="26" s="1"/>
  <c r="P157" i="31"/>
  <c r="BR156" i="31"/>
  <c r="H278" i="26"/>
  <c r="AR55" i="26"/>
  <c r="BU181" i="26"/>
  <c r="BU75" i="26"/>
  <c r="L229" i="26"/>
  <c r="O221" i="26"/>
  <c r="S220" i="26"/>
  <c r="O219" i="26"/>
  <c r="P219" i="26"/>
  <c r="V226" i="26"/>
  <c r="V224" i="26"/>
  <c r="Z240" i="26"/>
  <c r="R221" i="26"/>
  <c r="R220" i="26"/>
  <c r="V220" i="26"/>
  <c r="S219" i="26"/>
  <c r="AH214" i="26"/>
  <c r="CN169" i="26"/>
  <c r="O205" i="26"/>
  <c r="S205" i="26"/>
  <c r="AA205" i="26"/>
  <c r="AI205" i="26"/>
  <c r="AQ205" i="26"/>
  <c r="AR272" i="26"/>
  <c r="AD215" i="26"/>
  <c r="AH233" i="26"/>
  <c r="BT163" i="26"/>
  <c r="BQ180" i="26"/>
  <c r="J229" i="26"/>
  <c r="N230" i="26"/>
  <c r="J231" i="26"/>
  <c r="AC229" i="26"/>
  <c r="AD229" i="26"/>
  <c r="AC231" i="26"/>
  <c r="AM230" i="26"/>
  <c r="AI231" i="26"/>
  <c r="AI230" i="26"/>
  <c r="BT228" i="26"/>
  <c r="BT230" i="26" s="1"/>
  <c r="AG229" i="26"/>
  <c r="AF231" i="26"/>
  <c r="Z236" i="26"/>
  <c r="L216" i="26"/>
  <c r="P233" i="26"/>
  <c r="P236" i="26" s="1"/>
  <c r="T233" i="26"/>
  <c r="T240" i="26" s="1"/>
  <c r="M200" i="26"/>
  <c r="U200" i="26"/>
  <c r="AG200" i="26"/>
  <c r="T215" i="26"/>
  <c r="BU213" i="26"/>
  <c r="BU216" i="26" s="1"/>
  <c r="U214" i="26"/>
  <c r="BR160" i="26"/>
  <c r="CP160" i="26"/>
  <c r="CN166" i="26"/>
  <c r="BS231" i="26"/>
  <c r="AF229" i="26"/>
  <c r="AK236" i="26"/>
  <c r="BO213" i="26"/>
  <c r="BO216" i="26" s="1"/>
  <c r="T43" i="32"/>
  <c r="AF43" i="32"/>
  <c r="AS43" i="32"/>
  <c r="BT82" i="31"/>
  <c r="BO41" i="32"/>
  <c r="BS77" i="32"/>
  <c r="AL71" i="32"/>
  <c r="AR71" i="32"/>
  <c r="AN78" i="32"/>
  <c r="AR78" i="32"/>
  <c r="H88" i="32"/>
  <c r="H94" i="32" s="1"/>
  <c r="J88" i="32"/>
  <c r="AQ88" i="32"/>
  <c r="D92" i="32"/>
  <c r="F92" i="32"/>
  <c r="W43" i="32"/>
  <c r="F71" i="32"/>
  <c r="H71" i="32"/>
  <c r="N71" i="32"/>
  <c r="X88" i="32"/>
  <c r="Z88" i="32"/>
  <c r="AN88" i="32"/>
  <c r="AP88" i="32"/>
  <c r="AN94" i="32"/>
  <c r="X92" i="32"/>
  <c r="BR82" i="32"/>
  <c r="BR23" i="32"/>
  <c r="BR43" i="32" s="1"/>
  <c r="BQ56" i="33"/>
  <c r="BQ14" i="32"/>
  <c r="BQ23" i="32" s="1"/>
  <c r="V43" i="32"/>
  <c r="AC43" i="32"/>
  <c r="BT79" i="32"/>
  <c r="BT80" i="32" s="1"/>
  <c r="BT14" i="32"/>
  <c r="BT23" i="32" s="1"/>
  <c r="Z23" i="32"/>
  <c r="Z43" i="32" s="1"/>
  <c r="Z82" i="32"/>
  <c r="AE23" i="32"/>
  <c r="AE43" i="32" s="1"/>
  <c r="AE82" i="32"/>
  <c r="AH43" i="32"/>
  <c r="AL41" i="32"/>
  <c r="AL43" i="32" s="1"/>
  <c r="AL82" i="32"/>
  <c r="BW50" i="32"/>
  <c r="Q43" i="32"/>
  <c r="I82" i="32"/>
  <c r="BU80" i="31"/>
  <c r="BT49" i="32"/>
  <c r="BT48" i="32" s="1"/>
  <c r="AA71" i="32"/>
  <c r="W71" i="32"/>
  <c r="BP43" i="32"/>
  <c r="BO77" i="32"/>
  <c r="BW31" i="32"/>
  <c r="BW41" i="32" s="1"/>
  <c r="V82" i="32"/>
  <c r="N23" i="32"/>
  <c r="N43" i="32" s="1"/>
  <c r="BO14" i="32"/>
  <c r="BO23" i="32" s="1"/>
  <c r="AI82" i="32"/>
  <c r="R82" i="32"/>
  <c r="T82" i="32"/>
  <c r="AJ82" i="32"/>
  <c r="AJ23" i="32"/>
  <c r="AJ43" i="32" s="1"/>
  <c r="AM23" i="32"/>
  <c r="AM43" i="32" s="1"/>
  <c r="AM82" i="32"/>
  <c r="AS82" i="32"/>
  <c r="BN43" i="32"/>
  <c r="BV43" i="32"/>
  <c r="G43" i="32"/>
  <c r="H41" i="32"/>
  <c r="H43" i="32" s="1"/>
  <c r="H82" i="32"/>
  <c r="AI43" i="32"/>
  <c r="AQ43" i="32"/>
  <c r="AR41" i="32"/>
  <c r="AR43" i="32" s="1"/>
  <c r="AR82" i="32"/>
  <c r="AA88" i="32"/>
  <c r="AE88" i="32"/>
  <c r="AE94" i="32" s="1"/>
  <c r="P92" i="32"/>
  <c r="R92" i="32"/>
  <c r="T92" i="32"/>
  <c r="V92" i="32"/>
  <c r="BT56" i="33"/>
  <c r="E67" i="33"/>
  <c r="P71" i="32"/>
  <c r="BP82" i="31"/>
  <c r="BU82" i="31"/>
  <c r="BS76" i="32"/>
  <c r="BR79" i="32"/>
  <c r="BR81" i="32" s="1"/>
  <c r="AF82" i="32"/>
  <c r="AH82" i="32"/>
  <c r="BS41" i="32"/>
  <c r="BM31" i="32"/>
  <c r="BQ31" i="32"/>
  <c r="BO62" i="32"/>
  <c r="BQ62" i="32"/>
  <c r="BQ68" i="32" s="1"/>
  <c r="BQ71" i="32" s="1"/>
  <c r="BS62" i="32"/>
  <c r="BS68" i="32" s="1"/>
  <c r="V71" i="32"/>
  <c r="G88" i="32"/>
  <c r="G94" i="32" s="1"/>
  <c r="P88" i="32"/>
  <c r="R88" i="32"/>
  <c r="W88" i="32"/>
  <c r="W94" i="32" s="1"/>
  <c r="AF88" i="32"/>
  <c r="AF94" i="32" s="1"/>
  <c r="AH88" i="32"/>
  <c r="AH94" i="32" s="1"/>
  <c r="AM88" i="32"/>
  <c r="AM94" i="32" s="1"/>
  <c r="J92" i="32"/>
  <c r="J94" i="32" s="1"/>
  <c r="L92" i="32"/>
  <c r="N92" i="32"/>
  <c r="Z92" i="32"/>
  <c r="Z94" i="32" s="1"/>
  <c r="AB92" i="32"/>
  <c r="AD92" i="32"/>
  <c r="AP92" i="32"/>
  <c r="AR92" i="32"/>
  <c r="AT92" i="32"/>
  <c r="E100" i="32"/>
  <c r="M157" i="33"/>
  <c r="G157" i="33"/>
  <c r="K100" i="32"/>
  <c r="AW132" i="31"/>
  <c r="AW130" i="31"/>
  <c r="D42" i="31"/>
  <c r="I50" i="31"/>
  <c r="M50" i="31"/>
  <c r="Q50" i="31"/>
  <c r="O52" i="31"/>
  <c r="AS71" i="31"/>
  <c r="AS72" i="31" s="1"/>
  <c r="AX75" i="32"/>
  <c r="BO35" i="31"/>
  <c r="D40" i="31"/>
  <c r="AF40" i="31"/>
  <c r="AN40" i="31"/>
  <c r="M42" i="31"/>
  <c r="Q42" i="31"/>
  <c r="AM42" i="31"/>
  <c r="AQ42" i="31"/>
  <c r="BW45" i="31"/>
  <c r="F52" i="31"/>
  <c r="AD71" i="31"/>
  <c r="AD175" i="31" s="1"/>
  <c r="AD177" i="31" s="1"/>
  <c r="AB219" i="26"/>
  <c r="AC220" i="26"/>
  <c r="K219" i="26"/>
  <c r="BR228" i="26"/>
  <c r="X231" i="26"/>
  <c r="X229" i="26"/>
  <c r="Z219" i="26"/>
  <c r="AA219" i="26"/>
  <c r="Z221" i="26"/>
  <c r="V229" i="26"/>
  <c r="U229" i="26"/>
  <c r="I219" i="26"/>
  <c r="I221" i="26"/>
  <c r="R231" i="26"/>
  <c r="R230" i="26"/>
  <c r="V230" i="26"/>
  <c r="O230" i="26"/>
  <c r="O229" i="26"/>
  <c r="P229" i="26"/>
  <c r="S230" i="26"/>
  <c r="O231" i="26"/>
  <c r="BW37" i="26"/>
  <c r="AL200" i="26"/>
  <c r="O215" i="26"/>
  <c r="AJ240" i="26"/>
  <c r="P278" i="26"/>
  <c r="AB278" i="26"/>
  <c r="AN278" i="26"/>
  <c r="AR278" i="26"/>
  <c r="BT278" i="26"/>
  <c r="CN54" i="26"/>
  <c r="BU153" i="26"/>
  <c r="CN160" i="26"/>
  <c r="BR163" i="26"/>
  <c r="CP163" i="26"/>
  <c r="BT173" i="26"/>
  <c r="BV187" i="26"/>
  <c r="O200" i="26"/>
  <c r="S200" i="26"/>
  <c r="AA200" i="26"/>
  <c r="BR166" i="26"/>
  <c r="BQ181" i="26"/>
  <c r="V271" i="26"/>
  <c r="J235" i="26"/>
  <c r="J240" i="26"/>
  <c r="J236" i="26"/>
  <c r="R225" i="26"/>
  <c r="Q157" i="31"/>
  <c r="BQ156" i="31"/>
  <c r="AB225" i="26"/>
  <c r="AC224" i="26"/>
  <c r="AD220" i="26"/>
  <c r="O224" i="26"/>
  <c r="L231" i="26"/>
  <c r="P230" i="26"/>
  <c r="AI229" i="26"/>
  <c r="BO228" i="26"/>
  <c r="AB157" i="31"/>
  <c r="AJ157" i="31"/>
  <c r="AK234" i="26"/>
  <c r="J216" i="26"/>
  <c r="AG224" i="26"/>
  <c r="J224" i="26"/>
  <c r="BP156" i="31"/>
  <c r="AB231" i="26"/>
  <c r="Y225" i="26"/>
  <c r="AJ226" i="26"/>
  <c r="AC225" i="26"/>
  <c r="AA221" i="26"/>
  <c r="BS223" i="26"/>
  <c r="Z224" i="26"/>
  <c r="AQ79" i="26"/>
  <c r="AE231" i="26"/>
  <c r="V225" i="26"/>
  <c r="AF230" i="26"/>
  <c r="Z225" i="26"/>
  <c r="Y157" i="31"/>
  <c r="AH230" i="26"/>
  <c r="AB230" i="26"/>
  <c r="AQ274" i="26"/>
  <c r="AB226" i="26"/>
  <c r="R219" i="26"/>
  <c r="AD219" i="26"/>
  <c r="AK230" i="26"/>
  <c r="Q219" i="26"/>
  <c r="N219" i="26"/>
  <c r="M219" i="26"/>
  <c r="M220" i="26"/>
  <c r="W219" i="26"/>
  <c r="W221" i="26"/>
  <c r="W220" i="26"/>
  <c r="AA220" i="26"/>
  <c r="I229" i="26"/>
  <c r="BN228" i="26"/>
  <c r="BN231" i="26" s="1"/>
  <c r="AA230" i="26"/>
  <c r="AE230" i="26"/>
  <c r="AB220" i="26"/>
  <c r="X219" i="26"/>
  <c r="X221" i="26"/>
  <c r="Q230" i="26"/>
  <c r="M231" i="26"/>
  <c r="M229" i="26"/>
  <c r="N229" i="26"/>
  <c r="BQ223" i="26"/>
  <c r="BQ226" i="26" s="1"/>
  <c r="X225" i="26"/>
  <c r="T226" i="26"/>
  <c r="T224" i="26"/>
  <c r="AL226" i="26"/>
  <c r="AL225" i="26"/>
  <c r="AM224" i="26"/>
  <c r="AM134" i="26"/>
  <c r="W271" i="26"/>
  <c r="W273" i="26" s="1"/>
  <c r="D128" i="26"/>
  <c r="X267" i="26"/>
  <c r="AJ133" i="26"/>
  <c r="AJ139" i="26"/>
  <c r="CN61" i="26"/>
  <c r="BU160" i="26"/>
  <c r="BO180" i="26"/>
  <c r="AM138" i="26"/>
  <c r="BN213" i="26"/>
  <c r="BN216" i="26" s="1"/>
  <c r="BU207" i="26"/>
  <c r="AT36" i="26"/>
  <c r="BT156" i="31"/>
  <c r="BV100" i="26"/>
  <c r="BU126" i="26"/>
  <c r="BU138" i="26" s="1"/>
  <c r="BS160" i="26"/>
  <c r="BR169" i="26"/>
  <c r="BP187" i="26"/>
  <c r="AM128" i="26"/>
  <c r="CO35" i="26"/>
  <c r="CO37" i="26" s="1"/>
  <c r="BQ266" i="26"/>
  <c r="BQ271" i="26" s="1"/>
  <c r="BQ278" i="26" s="1"/>
  <c r="AJ136" i="26"/>
  <c r="K126" i="26"/>
  <c r="K140" i="26" s="1"/>
  <c r="BO181" i="26"/>
  <c r="AL205" i="26"/>
  <c r="AS157" i="31"/>
  <c r="Y231" i="26"/>
  <c r="Y230" i="26"/>
  <c r="Y229" i="26"/>
  <c r="AC230" i="26"/>
  <c r="BQ126" i="26"/>
  <c r="BQ139" i="26" s="1"/>
  <c r="T274" i="26"/>
  <c r="U272" i="26"/>
  <c r="T273" i="26"/>
  <c r="T278" i="26"/>
  <c r="AH220" i="26"/>
  <c r="AI219" i="26"/>
  <c r="AH219" i="26"/>
  <c r="AH221" i="26"/>
  <c r="BU228" i="26"/>
  <c r="BU231" i="26" s="1"/>
  <c r="AJ229" i="26"/>
  <c r="AR188" i="26"/>
  <c r="AR228" i="26" s="1"/>
  <c r="AS229" i="26" s="1"/>
  <c r="AV75" i="26"/>
  <c r="BV95" i="26"/>
  <c r="Y201" i="26"/>
  <c r="AU11" i="26"/>
  <c r="AV74" i="26"/>
  <c r="AU34" i="26"/>
  <c r="AS79" i="26"/>
  <c r="O126" i="26"/>
  <c r="O135" i="26" s="1"/>
  <c r="S126" i="26"/>
  <c r="S140" i="26" s="1"/>
  <c r="BV160" i="26"/>
  <c r="CO160" i="26"/>
  <c r="CP169" i="26"/>
  <c r="BR173" i="26"/>
  <c r="BT180" i="26"/>
  <c r="U230" i="26"/>
  <c r="J200" i="26"/>
  <c r="AO200" i="26"/>
  <c r="T269" i="26"/>
  <c r="AH278" i="26"/>
  <c r="AO273" i="26"/>
  <c r="CN47" i="26"/>
  <c r="CO47" i="26"/>
  <c r="CN163" i="26"/>
  <c r="CO166" i="26"/>
  <c r="BT169" i="26"/>
  <c r="BV173" i="26"/>
  <c r="BU180" i="26"/>
  <c r="AH200" i="26"/>
  <c r="AS201" i="26"/>
  <c r="N205" i="26"/>
  <c r="V205" i="26"/>
  <c r="AD205" i="26"/>
  <c r="BU201" i="26"/>
  <c r="BW36" i="26"/>
  <c r="CN34" i="26"/>
  <c r="BU163" i="26"/>
  <c r="BS166" i="26"/>
  <c r="BV169" i="26"/>
  <c r="BP173" i="26"/>
  <c r="BP180" i="26"/>
  <c r="BR180" i="26"/>
  <c r="BV180" i="26"/>
  <c r="AM225" i="26"/>
  <c r="BR187" i="26"/>
  <c r="L200" i="26"/>
  <c r="X200" i="26"/>
  <c r="BS263" i="26"/>
  <c r="AJ278" i="26"/>
  <c r="AU37" i="26"/>
  <c r="AV36" i="26"/>
  <c r="BR38" i="33"/>
  <c r="BN38" i="33"/>
  <c r="BO47" i="33"/>
  <c r="BQ47" i="33"/>
  <c r="BS47" i="33"/>
  <c r="D72" i="33"/>
  <c r="BS118" i="31"/>
  <c r="BS120" i="31" s="1"/>
  <c r="BS109" i="31" s="1"/>
  <c r="AM40" i="31"/>
  <c r="R66" i="31"/>
  <c r="R71" i="31" s="1"/>
  <c r="R175" i="31" s="1"/>
  <c r="R177" i="31" s="1"/>
  <c r="BR39" i="31"/>
  <c r="BR67" i="31" s="1"/>
  <c r="BR108" i="31"/>
  <c r="BS39" i="31"/>
  <c r="BO41" i="31"/>
  <c r="AB120" i="31"/>
  <c r="AB109" i="31" s="1"/>
  <c r="BN108" i="31"/>
  <c r="BN115" i="31"/>
  <c r="BN116" i="31" s="1"/>
  <c r="BM108" i="31"/>
  <c r="AA52" i="31"/>
  <c r="BN51" i="31"/>
  <c r="O61" i="31"/>
  <c r="O63" i="31" s="1"/>
  <c r="O68" i="31" s="1"/>
  <c r="AP67" i="31"/>
  <c r="AL66" i="31"/>
  <c r="AL71" i="31" s="1"/>
  <c r="AL72" i="31" s="1"/>
  <c r="G151" i="31"/>
  <c r="W152" i="31"/>
  <c r="AA151" i="31"/>
  <c r="AH61" i="31"/>
  <c r="AH63" i="31" s="1"/>
  <c r="AH68" i="31" s="1"/>
  <c r="AE66" i="31"/>
  <c r="AE71" i="31" s="1"/>
  <c r="AE72" i="31" s="1"/>
  <c r="AH151" i="31"/>
  <c r="O152" i="31"/>
  <c r="AP66" i="31"/>
  <c r="AP71" i="31" s="1"/>
  <c r="AP175" i="31" s="1"/>
  <c r="AP177" i="31" s="1"/>
  <c r="G66" i="31"/>
  <c r="G71" i="31" s="1"/>
  <c r="G89" i="31" s="1"/>
  <c r="W61" i="31"/>
  <c r="AA61" i="31"/>
  <c r="AA63" i="31" s="1"/>
  <c r="AE151" i="31"/>
  <c r="AH66" i="31"/>
  <c r="AH71" i="31" s="1"/>
  <c r="AH175" i="31" s="1"/>
  <c r="AH177" i="31" s="1"/>
  <c r="AA152" i="31"/>
  <c r="O66" i="31"/>
  <c r="O71" i="31" s="1"/>
  <c r="O72" i="31" s="1"/>
  <c r="AP152" i="31"/>
  <c r="S152" i="31"/>
  <c r="AP151" i="31"/>
  <c r="BU51" i="31"/>
  <c r="BU35" i="31"/>
  <c r="BM35" i="31"/>
  <c r="H40" i="31"/>
  <c r="T67" i="31"/>
  <c r="BU41" i="31"/>
  <c r="AU40" i="31"/>
  <c r="BS35" i="31"/>
  <c r="BW49" i="31"/>
  <c r="BW151" i="31"/>
  <c r="BV49" i="31"/>
  <c r="R151" i="31"/>
  <c r="J61" i="31"/>
  <c r="J67" i="31" s="1"/>
  <c r="BS66" i="31"/>
  <c r="R61" i="31"/>
  <c r="AD152" i="31"/>
  <c r="AS61" i="31"/>
  <c r="J152" i="31"/>
  <c r="BS152" i="31"/>
  <c r="J66" i="31"/>
  <c r="J71" i="31" s="1"/>
  <c r="J72" i="31" s="1"/>
  <c r="AD151" i="31"/>
  <c r="AS151" i="31"/>
  <c r="AK61" i="31"/>
  <c r="AK67" i="31" s="1"/>
  <c r="Z61" i="31"/>
  <c r="Z63" i="31" s="1"/>
  <c r="Z64" i="31" s="1"/>
  <c r="Z151" i="31"/>
  <c r="AK151" i="31"/>
  <c r="Z66" i="31"/>
  <c r="Z71" i="31" s="1"/>
  <c r="Z89" i="31" s="1"/>
  <c r="Z90" i="31" s="1"/>
  <c r="BS78" i="32"/>
  <c r="BU39" i="31"/>
  <c r="AS51" i="32"/>
  <c r="AV6" i="33"/>
  <c r="AV61" i="33" s="1"/>
  <c r="AV76" i="33" s="1"/>
  <c r="AV84" i="33" s="1"/>
  <c r="AV46" i="32"/>
  <c r="AV57" i="32" s="1"/>
  <c r="AV74" i="32" s="1"/>
  <c r="BM157" i="33"/>
  <c r="AA157" i="33"/>
  <c r="AR157" i="33"/>
  <c r="AC157" i="33"/>
  <c r="AN157" i="33"/>
  <c r="Z100" i="32"/>
  <c r="BX44" i="33"/>
  <c r="BX61" i="32"/>
  <c r="BX11" i="33"/>
  <c r="AZ61" i="32"/>
  <c r="BX35" i="32"/>
  <c r="BA35" i="32"/>
  <c r="BB35" i="32" s="1"/>
  <c r="BC35" i="32" s="1"/>
  <c r="BA19" i="32"/>
  <c r="BB19" i="32" s="1"/>
  <c r="BC19" i="32" s="1"/>
  <c r="BD19" i="32" s="1"/>
  <c r="BX19" i="32"/>
  <c r="BX34" i="32"/>
  <c r="BA34" i="32"/>
  <c r="BB34" i="32" s="1"/>
  <c r="BC34" i="32" s="1"/>
  <c r="AZ22" i="33"/>
  <c r="BP220" i="26"/>
  <c r="BP221" i="26"/>
  <c r="AQ27" i="31"/>
  <c r="AQ28" i="31" s="1"/>
  <c r="AQ21" i="31"/>
  <c r="BR53" i="32"/>
  <c r="BR64" i="33"/>
  <c r="BV64" i="33"/>
  <c r="BV77" i="26"/>
  <c r="P29" i="31"/>
  <c r="P30" i="31" s="1"/>
  <c r="P50" i="31"/>
  <c r="T21" i="31"/>
  <c r="T52" i="31"/>
  <c r="T27" i="31"/>
  <c r="T28" i="31" s="1"/>
  <c r="X52" i="31"/>
  <c r="X27" i="31"/>
  <c r="X28" i="31" s="1"/>
  <c r="AD29" i="31"/>
  <c r="AD30" i="31" s="1"/>
  <c r="AD42" i="31"/>
  <c r="AD23" i="31"/>
  <c r="AJ40" i="31"/>
  <c r="AJ50" i="31"/>
  <c r="AJ27" i="31"/>
  <c r="AJ21" i="31"/>
  <c r="Q216" i="26"/>
  <c r="Q215" i="26"/>
  <c r="BO16" i="31"/>
  <c r="BO53" i="32"/>
  <c r="BO47" i="32" s="1"/>
  <c r="Y224" i="26"/>
  <c r="AU20" i="31"/>
  <c r="AU27" i="31" s="1"/>
  <c r="AV32" i="31" s="1"/>
  <c r="AU64" i="31"/>
  <c r="BW53" i="32"/>
  <c r="BW51" i="32" s="1"/>
  <c r="BV108" i="31"/>
  <c r="K23" i="31"/>
  <c r="M23" i="31"/>
  <c r="S21" i="31"/>
  <c r="U23" i="31"/>
  <c r="W29" i="31"/>
  <c r="W30" i="31" s="1"/>
  <c r="AK27" i="31"/>
  <c r="AK28" i="31" s="1"/>
  <c r="AM29" i="31"/>
  <c r="AM30" i="31" s="1"/>
  <c r="T29" i="31"/>
  <c r="T30" i="31" s="1"/>
  <c r="X23" i="31"/>
  <c r="BN39" i="31"/>
  <c r="BW51" i="31"/>
  <c r="G68" i="31"/>
  <c r="Q68" i="31"/>
  <c r="BM54" i="31"/>
  <c r="BM61" i="31" s="1"/>
  <c r="BN101" i="31"/>
  <c r="BN103" i="31" s="1"/>
  <c r="BQ137" i="31"/>
  <c r="BX36" i="31"/>
  <c r="BA82" i="31"/>
  <c r="BB82" i="31" s="1"/>
  <c r="BC82" i="31" s="1"/>
  <c r="AY58" i="32"/>
  <c r="BX59" i="32"/>
  <c r="AZ59" i="32"/>
  <c r="BA59" i="32" s="1"/>
  <c r="BB59" i="32" s="1"/>
  <c r="BC59" i="32" s="1"/>
  <c r="BX100" i="32"/>
  <c r="AU157" i="33"/>
  <c r="AG157" i="33"/>
  <c r="AV157" i="33"/>
  <c r="BC157" i="33"/>
  <c r="AK157" i="33"/>
  <c r="BT157" i="33"/>
  <c r="L157" i="33"/>
  <c r="I157" i="33"/>
  <c r="W157" i="33"/>
  <c r="AD100" i="32"/>
  <c r="AY157" i="33"/>
  <c r="BS216" i="26"/>
  <c r="BS233" i="26"/>
  <c r="BS236" i="26" s="1"/>
  <c r="BR78" i="32"/>
  <c r="BR76" i="32"/>
  <c r="AX137" i="31"/>
  <c r="AW137" i="31"/>
  <c r="AW141" i="31"/>
  <c r="BP78" i="32"/>
  <c r="BP76" i="32"/>
  <c r="V236" i="26"/>
  <c r="Z235" i="26"/>
  <c r="V240" i="26"/>
  <c r="BP22" i="31"/>
  <c r="AH40" i="31"/>
  <c r="AL40" i="31"/>
  <c r="AP40" i="31"/>
  <c r="AT40" i="31"/>
  <c r="W42" i="31"/>
  <c r="AA42" i="31"/>
  <c r="AJ52" i="31"/>
  <c r="Y71" i="31"/>
  <c r="Y72" i="31" s="1"/>
  <c r="BN78" i="31"/>
  <c r="BN86" i="31" s="1"/>
  <c r="BR78" i="31"/>
  <c r="BR86" i="31" s="1"/>
  <c r="BS64" i="33"/>
  <c r="Z215" i="26"/>
  <c r="BT213" i="26"/>
  <c r="AJ215" i="26"/>
  <c r="N214" i="26"/>
  <c r="X233" i="26"/>
  <c r="AB216" i="26"/>
  <c r="V214" i="26"/>
  <c r="AB215" i="26"/>
  <c r="BP39" i="31"/>
  <c r="BT108" i="31"/>
  <c r="G67" i="31"/>
  <c r="O67" i="31"/>
  <c r="AE40" i="31"/>
  <c r="AQ40" i="31"/>
  <c r="L42" i="31"/>
  <c r="T42" i="31"/>
  <c r="X42" i="31"/>
  <c r="AF42" i="31"/>
  <c r="BS45" i="31"/>
  <c r="Q52" i="31"/>
  <c r="K71" i="31"/>
  <c r="K72" i="31" s="1"/>
  <c r="AF216" i="26"/>
  <c r="N233" i="26"/>
  <c r="N236" i="26" s="1"/>
  <c r="Y214" i="26"/>
  <c r="AB233" i="26"/>
  <c r="H233" i="26"/>
  <c r="L235" i="26" s="1"/>
  <c r="V216" i="26"/>
  <c r="BP45" i="31"/>
  <c r="BT51" i="31"/>
  <c r="BQ51" i="31"/>
  <c r="D50" i="31"/>
  <c r="L50" i="31"/>
  <c r="X50" i="31"/>
  <c r="AN50" i="31"/>
  <c r="AL52" i="31"/>
  <c r="R157" i="31"/>
  <c r="AI157" i="31"/>
  <c r="AM157" i="31"/>
  <c r="L215" i="26"/>
  <c r="AG214" i="26"/>
  <c r="X216" i="26"/>
  <c r="AC214" i="26"/>
  <c r="BP25" i="31"/>
  <c r="BP26" i="31" s="1"/>
  <c r="AF27" i="31"/>
  <c r="AF28" i="31" s="1"/>
  <c r="BQ22" i="31"/>
  <c r="U50" i="31"/>
  <c r="AF64" i="31"/>
  <c r="AT151" i="31"/>
  <c r="BM137" i="31"/>
  <c r="BO137" i="31"/>
  <c r="BP137" i="31"/>
  <c r="BR137" i="31"/>
  <c r="BS137" i="31"/>
  <c r="BT137" i="31"/>
  <c r="BU137" i="31"/>
  <c r="AU108" i="31"/>
  <c r="BA145" i="31"/>
  <c r="BB145" i="31" s="1"/>
  <c r="BC145" i="31" s="1"/>
  <c r="BD145" i="31" s="1"/>
  <c r="BW137" i="31"/>
  <c r="BO141" i="31"/>
  <c r="BS141" i="31"/>
  <c r="BW141" i="31"/>
  <c r="BN137" i="31"/>
  <c r="BV137" i="31"/>
  <c r="J81" i="32"/>
  <c r="J95" i="32" s="1"/>
  <c r="J80" i="32"/>
  <c r="J78" i="32"/>
  <c r="J76" i="32"/>
  <c r="N76" i="32"/>
  <c r="G80" i="32"/>
  <c r="AN76" i="32"/>
  <c r="L76" i="32"/>
  <c r="N81" i="32"/>
  <c r="N95" i="32" s="1"/>
  <c r="G81" i="32"/>
  <c r="G95" i="32" s="1"/>
  <c r="AR76" i="32"/>
  <c r="L240" i="26"/>
  <c r="L236" i="26"/>
  <c r="Q214" i="26"/>
  <c r="G78" i="32"/>
  <c r="O78" i="32"/>
  <c r="S78" i="32"/>
  <c r="W78" i="32"/>
  <c r="AA78" i="32"/>
  <c r="AE78" i="32"/>
  <c r="L230" i="26"/>
  <c r="AB229" i="26"/>
  <c r="AR205" i="26"/>
  <c r="AF233" i="26"/>
  <c r="AD233" i="26"/>
  <c r="BO115" i="31"/>
  <c r="BO116" i="31" s="1"/>
  <c r="T157" i="31"/>
  <c r="X157" i="31"/>
  <c r="AA157" i="31"/>
  <c r="AF157" i="31"/>
  <c r="S229" i="26"/>
  <c r="AL230" i="26"/>
  <c r="BP54" i="31"/>
  <c r="BP152" i="31" s="1"/>
  <c r="BV63" i="31"/>
  <c r="AJ225" i="26"/>
  <c r="R229" i="26"/>
  <c r="W230" i="26"/>
  <c r="BN54" i="31"/>
  <c r="BN151" i="31" s="1"/>
  <c r="BS101" i="31"/>
  <c r="BS103" i="31" s="1"/>
  <c r="BV78" i="31"/>
  <c r="BR82" i="31"/>
  <c r="F84" i="31"/>
  <c r="F87" i="31" s="1"/>
  <c r="BS78" i="31"/>
  <c r="BS86" i="31" s="1"/>
  <c r="BQ63" i="31"/>
  <c r="BM118" i="31"/>
  <c r="BM120" i="31" s="1"/>
  <c r="BM109" i="31" s="1"/>
  <c r="BM63" i="31"/>
  <c r="AG64" i="31"/>
  <c r="E67" i="31"/>
  <c r="E63" i="31"/>
  <c r="E64" i="31" s="1"/>
  <c r="BW66" i="31"/>
  <c r="W175" i="31"/>
  <c r="W177" i="31" s="1"/>
  <c r="AO151" i="31"/>
  <c r="AC66" i="31"/>
  <c r="AC71" i="31" s="1"/>
  <c r="AC89" i="31" s="1"/>
  <c r="AO61" i="31"/>
  <c r="AR66" i="31"/>
  <c r="AR71" i="31" s="1"/>
  <c r="AR72" i="31" s="1"/>
  <c r="K151" i="31"/>
  <c r="AF152" i="31"/>
  <c r="AL151" i="31"/>
  <c r="AR152" i="31"/>
  <c r="BO54" i="31"/>
  <c r="BO152" i="31" s="1"/>
  <c r="AI67" i="31"/>
  <c r="BT54" i="31"/>
  <c r="BT151" i="31" s="1"/>
  <c r="BW152" i="31"/>
  <c r="U152" i="31"/>
  <c r="E151" i="31"/>
  <c r="AL61" i="31"/>
  <c r="AI151" i="31"/>
  <c r="U151" i="31"/>
  <c r="K61" i="31"/>
  <c r="K63" i="31" s="1"/>
  <c r="AO66" i="31"/>
  <c r="AO71" i="31" s="1"/>
  <c r="AO175" i="31" s="1"/>
  <c r="AO177" i="31" s="1"/>
  <c r="AC61" i="31"/>
  <c r="AF66" i="31"/>
  <c r="AF71" i="31" s="1"/>
  <c r="AF89" i="31" s="1"/>
  <c r="AF151" i="31"/>
  <c r="H151" i="31"/>
  <c r="AI152" i="31"/>
  <c r="Q151" i="31"/>
  <c r="E152" i="31"/>
  <c r="AF67" i="31"/>
  <c r="AP68" i="31"/>
  <c r="K152" i="31"/>
  <c r="Q66" i="31"/>
  <c r="Q71" i="31" s="1"/>
  <c r="Q175" i="31" s="1"/>
  <c r="Q177" i="31" s="1"/>
  <c r="Q152" i="31"/>
  <c r="Q67" i="31"/>
  <c r="BY54" i="31"/>
  <c r="BT49" i="31"/>
  <c r="BW118" i="31"/>
  <c r="BW120" i="31" s="1"/>
  <c r="BW109" i="31" s="1"/>
  <c r="BO118" i="31"/>
  <c r="BO120" i="31" s="1"/>
  <c r="BO109" i="31" s="1"/>
  <c r="H50" i="31"/>
  <c r="BQ49" i="31"/>
  <c r="BU49" i="31"/>
  <c r="BN49" i="31"/>
  <c r="BR51" i="31"/>
  <c r="BO49" i="31"/>
  <c r="BP118" i="31"/>
  <c r="BP120" i="31" s="1"/>
  <c r="BP109" i="31" s="1"/>
  <c r="AJ67" i="31"/>
  <c r="BP49" i="31"/>
  <c r="S175" i="31"/>
  <c r="S177" i="31" s="1"/>
  <c r="BU118" i="31"/>
  <c r="BU120" i="31" s="1"/>
  <c r="BU109" i="31" s="1"/>
  <c r="T68" i="31"/>
  <c r="BR115" i="31"/>
  <c r="BR116" i="31" s="1"/>
  <c r="BX118" i="31"/>
  <c r="BX120" i="31" s="1"/>
  <c r="BX109" i="31" s="1"/>
  <c r="AB42" i="31"/>
  <c r="BP35" i="31"/>
  <c r="BM39" i="31"/>
  <c r="BT39" i="31"/>
  <c r="AF68" i="31"/>
  <c r="BT41" i="31"/>
  <c r="G40" i="31"/>
  <c r="L40" i="31"/>
  <c r="P42" i="31"/>
  <c r="AJ42" i="31"/>
  <c r="BQ115" i="31"/>
  <c r="BQ116" i="31" s="1"/>
  <c r="BV39" i="31"/>
  <c r="E40" i="31"/>
  <c r="E21" i="31"/>
  <c r="E42" i="31"/>
  <c r="E23" i="31"/>
  <c r="E50" i="31"/>
  <c r="E27" i="31"/>
  <c r="N27" i="31"/>
  <c r="N28" i="31" s="1"/>
  <c r="N40" i="31"/>
  <c r="N23" i="31"/>
  <c r="N29" i="31"/>
  <c r="N30" i="31" s="1"/>
  <c r="N42" i="31"/>
  <c r="N21" i="31"/>
  <c r="V50" i="31"/>
  <c r="V42" i="31"/>
  <c r="V52" i="31"/>
  <c r="V40" i="31"/>
  <c r="V23" i="31"/>
  <c r="V29" i="31"/>
  <c r="V30" i="31" s="1"/>
  <c r="E29" i="31"/>
  <c r="E30" i="31" s="1"/>
  <c r="Y27" i="31"/>
  <c r="Y28" i="31" s="1"/>
  <c r="Y52" i="31"/>
  <c r="Y21" i="31"/>
  <c r="Y23" i="31"/>
  <c r="Y42" i="31"/>
  <c r="Y50" i="31"/>
  <c r="AC50" i="31"/>
  <c r="AC29" i="31"/>
  <c r="AC30" i="31" s="1"/>
  <c r="AC23" i="31"/>
  <c r="AC27" i="31"/>
  <c r="AC42" i="31"/>
  <c r="AG21" i="31"/>
  <c r="AG52" i="31"/>
  <c r="AG27" i="31"/>
  <c r="AG28" i="31" s="1"/>
  <c r="BV11" i="31"/>
  <c r="BV52" i="31" s="1"/>
  <c r="AO27" i="31"/>
  <c r="AO32" i="31" s="1"/>
  <c r="AO23" i="31"/>
  <c r="AO52" i="31"/>
  <c r="AO50" i="31"/>
  <c r="R40" i="31"/>
  <c r="J42" i="31"/>
  <c r="J27" i="31"/>
  <c r="J29" i="31"/>
  <c r="J30" i="31" s="1"/>
  <c r="J23" i="31"/>
  <c r="R50" i="31"/>
  <c r="R21" i="31"/>
  <c r="R42" i="31"/>
  <c r="R52" i="31"/>
  <c r="R27" i="31"/>
  <c r="R23" i="31"/>
  <c r="R29" i="31"/>
  <c r="R30" i="31" s="1"/>
  <c r="E52" i="31"/>
  <c r="V21" i="31"/>
  <c r="AL28" i="31"/>
  <c r="J40" i="31"/>
  <c r="AO29" i="31"/>
  <c r="AO30" i="31" s="1"/>
  <c r="N52" i="31"/>
  <c r="F27" i="31"/>
  <c r="AD40" i="31"/>
  <c r="AD21" i="31"/>
  <c r="AL29" i="31"/>
  <c r="AL30" i="31" s="1"/>
  <c r="F23" i="31"/>
  <c r="AH21" i="31"/>
  <c r="AH27" i="31"/>
  <c r="AH28" i="31" s="1"/>
  <c r="O42" i="31"/>
  <c r="O40" i="31"/>
  <c r="S52" i="31"/>
  <c r="K21" i="31"/>
  <c r="K29" i="31"/>
  <c r="K30" i="31" s="1"/>
  <c r="AP21" i="31"/>
  <c r="V27" i="31"/>
  <c r="V28" i="31" s="1"/>
  <c r="Z21" i="31"/>
  <c r="T40" i="31"/>
  <c r="AB40" i="31"/>
  <c r="AO42" i="31"/>
  <c r="AS42" i="31"/>
  <c r="W50" i="31"/>
  <c r="AM50" i="31"/>
  <c r="AP50" i="31"/>
  <c r="W52" i="31"/>
  <c r="AD52" i="31"/>
  <c r="AH52" i="31"/>
  <c r="AS52" i="31"/>
  <c r="Q64" i="31"/>
  <c r="BQ108" i="31"/>
  <c r="AS23" i="31"/>
  <c r="W40" i="31"/>
  <c r="N50" i="31"/>
  <c r="J52" i="31"/>
  <c r="F42" i="31"/>
  <c r="O21" i="31"/>
  <c r="K52" i="31"/>
  <c r="AL23" i="31"/>
  <c r="AP64" i="31"/>
  <c r="AP52" i="31"/>
  <c r="O27" i="31"/>
  <c r="W27" i="31"/>
  <c r="AS21" i="31"/>
  <c r="AS40" i="31"/>
  <c r="Z42" i="31"/>
  <c r="AL42" i="31"/>
  <c r="AP42" i="31"/>
  <c r="T50" i="31"/>
  <c r="AB50" i="31"/>
  <c r="AF50" i="31"/>
  <c r="BT22" i="31"/>
  <c r="BN118" i="31"/>
  <c r="BN120" i="31" s="1"/>
  <c r="BN109" i="31" s="1"/>
  <c r="BM22" i="31"/>
  <c r="BO108" i="31"/>
  <c r="AU78" i="32"/>
  <c r="AU81" i="32"/>
  <c r="AU95" i="32" s="1"/>
  <c r="AQ78" i="32"/>
  <c r="BY51" i="31"/>
  <c r="V235" i="26"/>
  <c r="R236" i="26"/>
  <c r="R234" i="26"/>
  <c r="R240" i="26"/>
  <c r="E175" i="31"/>
  <c r="E177" i="31" s="1"/>
  <c r="BN126" i="26"/>
  <c r="BN133" i="26" s="1"/>
  <c r="BQ236" i="26"/>
  <c r="BQ240" i="26"/>
  <c r="AL233" i="26"/>
  <c r="AL215" i="26"/>
  <c r="AL216" i="26"/>
  <c r="AL214" i="26"/>
  <c r="BR233" i="26"/>
  <c r="BS215" i="26"/>
  <c r="BR215" i="26"/>
  <c r="N64" i="31"/>
  <c r="N68" i="31"/>
  <c r="BN22" i="31"/>
  <c r="BN54" i="32"/>
  <c r="BN20" i="31"/>
  <c r="BN16" i="31"/>
  <c r="I68" i="31"/>
  <c r="I75" i="31" s="1"/>
  <c r="I64" i="31"/>
  <c r="BP6" i="33"/>
  <c r="BP61" i="33" s="1"/>
  <c r="BP76" i="33" s="1"/>
  <c r="BP84" i="33" s="1"/>
  <c r="BP46" i="32"/>
  <c r="BP57" i="32" s="1"/>
  <c r="BP74" i="32" s="1"/>
  <c r="AE50" i="32"/>
  <c r="AE49" i="32"/>
  <c r="AE48" i="32" s="1"/>
  <c r="E68" i="32"/>
  <c r="E71" i="32" s="1"/>
  <c r="AG68" i="32"/>
  <c r="AG71" i="32" s="1"/>
  <c r="R76" i="32"/>
  <c r="R78" i="32"/>
  <c r="R81" i="32"/>
  <c r="R95" i="32" s="1"/>
  <c r="R80" i="32"/>
  <c r="X76" i="32"/>
  <c r="X78" i="32"/>
  <c r="AI80" i="32"/>
  <c r="AI76" i="32"/>
  <c r="D81" i="32"/>
  <c r="D95" i="32" s="1"/>
  <c r="D80" i="32"/>
  <c r="P81" i="32"/>
  <c r="P95" i="32" s="1"/>
  <c r="P80" i="32"/>
  <c r="AB80" i="32"/>
  <c r="AF80" i="32"/>
  <c r="AF81" i="32"/>
  <c r="AF95" i="32" s="1"/>
  <c r="AN81" i="32"/>
  <c r="AN95" i="32" s="1"/>
  <c r="AN80" i="32"/>
  <c r="AS88" i="32"/>
  <c r="AS94" i="32" s="1"/>
  <c r="AZ67" i="32"/>
  <c r="BA67" i="32" s="1"/>
  <c r="BB67" i="32" s="1"/>
  <c r="BC67" i="32" s="1"/>
  <c r="BX67" i="32"/>
  <c r="BQ51" i="32"/>
  <c r="BQ47" i="32"/>
  <c r="H76" i="32"/>
  <c r="H78" i="32"/>
  <c r="AW151" i="31"/>
  <c r="BY85" i="31"/>
  <c r="BC60" i="32"/>
  <c r="BM49" i="32"/>
  <c r="BM48" i="32" s="1"/>
  <c r="BX22" i="32"/>
  <c r="BX83" i="31"/>
  <c r="BX18" i="32"/>
  <c r="BR201" i="26"/>
  <c r="BX37" i="32"/>
  <c r="BW49" i="32"/>
  <c r="BW48" i="32" s="1"/>
  <c r="BW14" i="32"/>
  <c r="BR216" i="26"/>
  <c r="BW82" i="31"/>
  <c r="BW78" i="31"/>
  <c r="AM80" i="32"/>
  <c r="K235" i="26"/>
  <c r="G66" i="33"/>
  <c r="F78" i="33"/>
  <c r="BU20" i="31"/>
  <c r="BU22" i="31"/>
  <c r="Y152" i="31"/>
  <c r="Y61" i="31"/>
  <c r="Y151" i="31"/>
  <c r="J84" i="31"/>
  <c r="J87" i="31" s="1"/>
  <c r="J86" i="31"/>
  <c r="T86" i="31"/>
  <c r="T84" i="31"/>
  <c r="T87" i="31" s="1"/>
  <c r="W86" i="31"/>
  <c r="W84" i="31"/>
  <c r="W87" i="31" s="1"/>
  <c r="W89" i="31"/>
  <c r="AD86" i="31"/>
  <c r="AD84" i="31"/>
  <c r="AD87" i="31" s="1"/>
  <c r="BN80" i="31"/>
  <c r="BM56" i="33"/>
  <c r="BM79" i="32"/>
  <c r="BM14" i="32"/>
  <c r="L151" i="31"/>
  <c r="L61" i="31"/>
  <c r="L152" i="31"/>
  <c r="L66" i="31"/>
  <c r="L71" i="31" s="1"/>
  <c r="BS6" i="33"/>
  <c r="BS61" i="33" s="1"/>
  <c r="BS76" i="33" s="1"/>
  <c r="BS84" i="33" s="1"/>
  <c r="BS46" i="32"/>
  <c r="BS57" i="32" s="1"/>
  <c r="BS74" i="32" s="1"/>
  <c r="Y51" i="32"/>
  <c r="Y47" i="32"/>
  <c r="M68" i="32"/>
  <c r="M71" i="32" s="1"/>
  <c r="Y68" i="32"/>
  <c r="Y71" i="32" s="1"/>
  <c r="AO68" i="32"/>
  <c r="AO71" i="32" s="1"/>
  <c r="L81" i="32"/>
  <c r="L95" i="32" s="1"/>
  <c r="L80" i="32"/>
  <c r="I67" i="31"/>
  <c r="I73" i="31" s="1"/>
  <c r="N67" i="31"/>
  <c r="BA10" i="31"/>
  <c r="BB10" i="31" s="1"/>
  <c r="BC10" i="31" s="1"/>
  <c r="BD10" i="31" s="1"/>
  <c r="Q68" i="32"/>
  <c r="Q71" i="32" s="1"/>
  <c r="AR29" i="31"/>
  <c r="AR52" i="31"/>
  <c r="BW11" i="31"/>
  <c r="AR27" i="31"/>
  <c r="AR21" i="31"/>
  <c r="AR40" i="31"/>
  <c r="AR50" i="31"/>
  <c r="AP23" i="31"/>
  <c r="AP29" i="31"/>
  <c r="L26" i="31"/>
  <c r="AA26" i="31"/>
  <c r="AA71" i="31"/>
  <c r="AM26" i="31"/>
  <c r="AM71" i="31"/>
  <c r="AQ52" i="31"/>
  <c r="BX27" i="32"/>
  <c r="AX91" i="32"/>
  <c r="Q236" i="26"/>
  <c r="R215" i="26"/>
  <c r="V215" i="26"/>
  <c r="R216" i="26"/>
  <c r="R214" i="26"/>
  <c r="V47" i="32"/>
  <c r="V51" i="32"/>
  <c r="I68" i="32"/>
  <c r="I71" i="32" s="1"/>
  <c r="U68" i="32"/>
  <c r="U71" i="32" s="1"/>
  <c r="AC68" i="32"/>
  <c r="AC71" i="32" s="1"/>
  <c r="AK68" i="32"/>
  <c r="AK71" i="32" s="1"/>
  <c r="AS68" i="32"/>
  <c r="AS71" i="32" s="1"/>
  <c r="BS71" i="32"/>
  <c r="AB78" i="32"/>
  <c r="AB76" i="32"/>
  <c r="AT81" i="32"/>
  <c r="AT95" i="32" s="1"/>
  <c r="AT76" i="32"/>
  <c r="AT80" i="32"/>
  <c r="AT78" i="32"/>
  <c r="AI78" i="32"/>
  <c r="AM78" i="32"/>
  <c r="H81" i="32"/>
  <c r="H95" i="32" s="1"/>
  <c r="H80" i="32"/>
  <c r="T80" i="32"/>
  <c r="T81" i="32"/>
  <c r="T95" i="32" s="1"/>
  <c r="X80" i="32"/>
  <c r="X81" i="32"/>
  <c r="X95" i="32" s="1"/>
  <c r="AJ81" i="32"/>
  <c r="AJ95" i="32" s="1"/>
  <c r="AJ80" i="32"/>
  <c r="AR81" i="32"/>
  <c r="AR95" i="32" s="1"/>
  <c r="AR80" i="32"/>
  <c r="M88" i="32"/>
  <c r="M94" i="32" s="1"/>
  <c r="Q88" i="32"/>
  <c r="Q240" i="26"/>
  <c r="BW62" i="26"/>
  <c r="BQ216" i="26"/>
  <c r="BA36" i="32"/>
  <c r="BB36" i="32" s="1"/>
  <c r="BC36" i="32" s="1"/>
  <c r="BX36" i="32"/>
  <c r="T72" i="31"/>
  <c r="L273" i="26"/>
  <c r="L274" i="26"/>
  <c r="P273" i="26"/>
  <c r="BW77" i="32"/>
  <c r="BX85" i="31"/>
  <c r="L278" i="26"/>
  <c r="BA11" i="33"/>
  <c r="BB11" i="33" s="1"/>
  <c r="BC11" i="33" s="1"/>
  <c r="BD11" i="33" s="1"/>
  <c r="AX87" i="32"/>
  <c r="AB81" i="32"/>
  <c r="AB95" i="32" s="1"/>
  <c r="AM81" i="32"/>
  <c r="AM95" i="32" s="1"/>
  <c r="BQ35" i="31"/>
  <c r="BQ25" i="31"/>
  <c r="BT35" i="31"/>
  <c r="BT25" i="31"/>
  <c r="BT53" i="32"/>
  <c r="BT45" i="31"/>
  <c r="AG42" i="31"/>
  <c r="AG50" i="31"/>
  <c r="AG40" i="31"/>
  <c r="AG29" i="31"/>
  <c r="AG23" i="31"/>
  <c r="AK21" i="31"/>
  <c r="AK23" i="31"/>
  <c r="AK42" i="31"/>
  <c r="AK52" i="31"/>
  <c r="BU11" i="31"/>
  <c r="AK50" i="31"/>
  <c r="AK40" i="31"/>
  <c r="AK29" i="31"/>
  <c r="U40" i="31"/>
  <c r="BQ101" i="31"/>
  <c r="Y120" i="31"/>
  <c r="Y109" i="31" s="1"/>
  <c r="BR118" i="31"/>
  <c r="BR120" i="31" s="1"/>
  <c r="BR109" i="31" s="1"/>
  <c r="BT118" i="31"/>
  <c r="BT120" i="31" s="1"/>
  <c r="BT109" i="31" s="1"/>
  <c r="AH120" i="31"/>
  <c r="AH109" i="31" s="1"/>
  <c r="AP120" i="31"/>
  <c r="AP109" i="31" s="1"/>
  <c r="BV118" i="31"/>
  <c r="BV120" i="31" s="1"/>
  <c r="BV109" i="31" s="1"/>
  <c r="BM140" i="31"/>
  <c r="BM75" i="32" s="1"/>
  <c r="BM76" i="32" s="1"/>
  <c r="E75" i="32"/>
  <c r="BN140" i="31"/>
  <c r="BN75" i="32" s="1"/>
  <c r="K75" i="32"/>
  <c r="D157" i="33"/>
  <c r="D100" i="32"/>
  <c r="T157" i="33"/>
  <c r="T100" i="32"/>
  <c r="AB100" i="32"/>
  <c r="AB157" i="33"/>
  <c r="AJ100" i="32"/>
  <c r="AJ157" i="33"/>
  <c r="L5" i="33"/>
  <c r="AF46" i="32"/>
  <c r="AF57" i="32" s="1"/>
  <c r="AF74" i="32" s="1"/>
  <c r="AF6" i="33"/>
  <c r="AF61" i="33" s="1"/>
  <c r="AF76" i="33" s="1"/>
  <c r="AF84" i="33" s="1"/>
  <c r="AI6" i="33"/>
  <c r="AI61" i="33" s="1"/>
  <c r="AI76" i="33" s="1"/>
  <c r="AI84" i="33" s="1"/>
  <c r="AI46" i="32"/>
  <c r="AI57" i="32" s="1"/>
  <c r="AI74" i="32" s="1"/>
  <c r="AD82" i="32"/>
  <c r="AD23" i="32"/>
  <c r="AD43" i="32" s="1"/>
  <c r="BQ38" i="33"/>
  <c r="BQ62" i="33"/>
  <c r="BQ64" i="33" s="1"/>
  <c r="E68" i="33"/>
  <c r="E69" i="33" s="1"/>
  <c r="E72" i="33" s="1"/>
  <c r="E78" i="33"/>
  <c r="E77" i="33" s="1"/>
  <c r="E81" i="33" s="1"/>
  <c r="AO34" i="26"/>
  <c r="AT33" i="26"/>
  <c r="AT34" i="26"/>
  <c r="AT40" i="26"/>
  <c r="AT39" i="26"/>
  <c r="AP274" i="26"/>
  <c r="AP269" i="26"/>
  <c r="J221" i="26"/>
  <c r="N220" i="26"/>
  <c r="J219" i="26"/>
  <c r="V221" i="26"/>
  <c r="V219" i="26"/>
  <c r="Z220" i="26"/>
  <c r="W226" i="26"/>
  <c r="W224" i="26"/>
  <c r="W225" i="26"/>
  <c r="AD226" i="26"/>
  <c r="AD224" i="26"/>
  <c r="AD225" i="26"/>
  <c r="U175" i="31"/>
  <c r="U177" i="31" s="1"/>
  <c r="AM139" i="26"/>
  <c r="AM133" i="26"/>
  <c r="BC36" i="31"/>
  <c r="BX139" i="31"/>
  <c r="BU225" i="26"/>
  <c r="AL84" i="31"/>
  <c r="AN28" i="31"/>
  <c r="AK66" i="31"/>
  <c r="AK71" i="31" s="1"/>
  <c r="G29" i="31"/>
  <c r="N215" i="26"/>
  <c r="AP213" i="26"/>
  <c r="T272" i="26"/>
  <c r="BW31" i="26"/>
  <c r="T267" i="26"/>
  <c r="S269" i="26"/>
  <c r="S267" i="26"/>
  <c r="S268" i="26"/>
  <c r="BP266" i="26"/>
  <c r="BR271" i="26"/>
  <c r="BW38" i="26"/>
  <c r="BW39" i="26" s="1"/>
  <c r="BW32" i="26"/>
  <c r="BW33" i="26" s="1"/>
  <c r="BN35" i="31"/>
  <c r="BN45" i="31"/>
  <c r="BN25" i="31"/>
  <c r="BN64" i="33"/>
  <c r="K50" i="31"/>
  <c r="K40" i="31"/>
  <c r="K27" i="31"/>
  <c r="S23" i="31"/>
  <c r="S50" i="31"/>
  <c r="S40" i="31"/>
  <c r="S29" i="31"/>
  <c r="Z27" i="31"/>
  <c r="BR11" i="31"/>
  <c r="Z50" i="31"/>
  <c r="Z40" i="31"/>
  <c r="Z23" i="31"/>
  <c r="AS29" i="31"/>
  <c r="BR25" i="31"/>
  <c r="BR20" i="31"/>
  <c r="BR54" i="32"/>
  <c r="BV22" i="31"/>
  <c r="BV20" i="31"/>
  <c r="BV54" i="32"/>
  <c r="BP115" i="31"/>
  <c r="BP116" i="31" s="1"/>
  <c r="BT115" i="31"/>
  <c r="BT116" i="31" s="1"/>
  <c r="P23" i="31"/>
  <c r="AA23" i="31"/>
  <c r="AA29" i="31"/>
  <c r="BQ66" i="31"/>
  <c r="BQ41" i="31"/>
  <c r="BQ39" i="31"/>
  <c r="BQ152" i="31"/>
  <c r="BW41" i="31"/>
  <c r="BW39" i="31"/>
  <c r="F40" i="31"/>
  <c r="G42" i="31"/>
  <c r="K42" i="31"/>
  <c r="S42" i="31"/>
  <c r="AE42" i="31"/>
  <c r="AI68" i="31"/>
  <c r="AI42" i="31"/>
  <c r="BM51" i="31"/>
  <c r="BM49" i="31"/>
  <c r="BM115" i="31"/>
  <c r="BM116" i="31" s="1"/>
  <c r="Z52" i="31"/>
  <c r="V152" i="31"/>
  <c r="V61" i="31"/>
  <c r="V151" i="31"/>
  <c r="V66" i="31"/>
  <c r="V71" i="31" s="1"/>
  <c r="BR63" i="31"/>
  <c r="BU78" i="31"/>
  <c r="BQ118" i="31"/>
  <c r="BQ120" i="31" s="1"/>
  <c r="BQ109" i="31" s="1"/>
  <c r="U120" i="31"/>
  <c r="U109" i="31" s="1"/>
  <c r="BU75" i="32"/>
  <c r="BU76" i="32" s="1"/>
  <c r="J157" i="33"/>
  <c r="J100" i="32"/>
  <c r="R100" i="32"/>
  <c r="R157" i="33"/>
  <c r="AH100" i="32"/>
  <c r="AH157" i="33"/>
  <c r="AQ100" i="32"/>
  <c r="AQ157" i="33"/>
  <c r="AG46" i="32"/>
  <c r="AG57" i="32" s="1"/>
  <c r="AG74" i="32" s="1"/>
  <c r="AG6" i="33"/>
  <c r="AG61" i="33" s="1"/>
  <c r="AG76" i="33" s="1"/>
  <c r="AG84" i="33" s="1"/>
  <c r="AJ46" i="32"/>
  <c r="AJ57" i="32" s="1"/>
  <c r="AJ74" i="32" s="1"/>
  <c r="AJ6" i="33"/>
  <c r="AJ61" i="33" s="1"/>
  <c r="AJ76" i="33" s="1"/>
  <c r="AJ84" i="33" s="1"/>
  <c r="BU56" i="33"/>
  <c r="BU79" i="32"/>
  <c r="BU14" i="32"/>
  <c r="D82" i="32"/>
  <c r="D23" i="32"/>
  <c r="D67" i="33" s="1"/>
  <c r="O43" i="32"/>
  <c r="R43" i="32"/>
  <c r="AN82" i="32"/>
  <c r="AN41" i="32"/>
  <c r="AN43" i="32" s="1"/>
  <c r="BU68" i="32"/>
  <c r="BU71" i="32" s="1"/>
  <c r="U88" i="32"/>
  <c r="Y88" i="32"/>
  <c r="U92" i="32"/>
  <c r="U94" i="32" s="1"/>
  <c r="BO38" i="33"/>
  <c r="BO62" i="33"/>
  <c r="BO64" i="33" s="1"/>
  <c r="BS126" i="26"/>
  <c r="BT126" i="26"/>
  <c r="BT140" i="26" s="1"/>
  <c r="G126" i="26"/>
  <c r="BP125" i="26"/>
  <c r="K221" i="26"/>
  <c r="O220" i="26"/>
  <c r="L219" i="26"/>
  <c r="T219" i="26"/>
  <c r="BQ218" i="26"/>
  <c r="T220" i="26"/>
  <c r="T221" i="26"/>
  <c r="AE220" i="26"/>
  <c r="AE219" i="26"/>
  <c r="AL220" i="26"/>
  <c r="AL219" i="26"/>
  <c r="AA224" i="26"/>
  <c r="AA226" i="26"/>
  <c r="AF224" i="26"/>
  <c r="AE224" i="26"/>
  <c r="AD72" i="31"/>
  <c r="BW35" i="31"/>
  <c r="BT41" i="32"/>
  <c r="BT82" i="32"/>
  <c r="E64" i="33"/>
  <c r="O271" i="26"/>
  <c r="S273" i="26" s="1"/>
  <c r="O268" i="26"/>
  <c r="P267" i="26"/>
  <c r="O269" i="26"/>
  <c r="AS231" i="26"/>
  <c r="BU108" i="31"/>
  <c r="H42" i="31"/>
  <c r="BN11" i="31"/>
  <c r="H52" i="31"/>
  <c r="P27" i="31"/>
  <c r="BP11" i="31"/>
  <c r="P52" i="31"/>
  <c r="AI52" i="31"/>
  <c r="AI27" i="31"/>
  <c r="BS20" i="31"/>
  <c r="BS54" i="32"/>
  <c r="BS16" i="31"/>
  <c r="BS22" i="31"/>
  <c r="BS25" i="31"/>
  <c r="AR23" i="31"/>
  <c r="F26" i="31"/>
  <c r="F71" i="31"/>
  <c r="BV35" i="31"/>
  <c r="BV41" i="31"/>
  <c r="AI40" i="31"/>
  <c r="AR42" i="31"/>
  <c r="AQ66" i="31"/>
  <c r="AQ71" i="31" s="1"/>
  <c r="AQ152" i="31"/>
  <c r="M78" i="32"/>
  <c r="M81" i="32"/>
  <c r="M95" i="32" s="1"/>
  <c r="BM141" i="31"/>
  <c r="BO156" i="31"/>
  <c r="O157" i="31"/>
  <c r="P100" i="32"/>
  <c r="P157" i="33"/>
  <c r="X157" i="33"/>
  <c r="X100" i="32"/>
  <c r="AF157" i="33"/>
  <c r="AF100" i="32"/>
  <c r="BN6" i="33"/>
  <c r="BN61" i="33" s="1"/>
  <c r="BN76" i="33" s="1"/>
  <c r="BN84" i="33" s="1"/>
  <c r="BN46" i="32"/>
  <c r="BN57" i="32" s="1"/>
  <c r="BN74" i="32" s="1"/>
  <c r="BS81" i="32"/>
  <c r="BS80" i="32"/>
  <c r="S43" i="32"/>
  <c r="BM41" i="32"/>
  <c r="BM77" i="32"/>
  <c r="BQ77" i="32"/>
  <c r="BQ78" i="32" s="1"/>
  <c r="BQ76" i="32"/>
  <c r="BU77" i="32"/>
  <c r="BU41" i="32"/>
  <c r="AK49" i="32"/>
  <c r="AK48" i="32" s="1"/>
  <c r="AK50" i="32"/>
  <c r="AC88" i="32"/>
  <c r="AG88" i="32"/>
  <c r="AC92" i="32"/>
  <c r="AC94" i="32" s="1"/>
  <c r="BM62" i="33"/>
  <c r="BM64" i="33" s="1"/>
  <c r="BM38" i="33"/>
  <c r="BU62" i="33"/>
  <c r="BU64" i="33" s="1"/>
  <c r="BU38" i="33"/>
  <c r="AT48" i="26"/>
  <c r="R136" i="26"/>
  <c r="R135" i="26"/>
  <c r="R128" i="26"/>
  <c r="R138" i="26"/>
  <c r="BQ153" i="26"/>
  <c r="BQ154" i="26"/>
  <c r="BQ207" i="26" s="1"/>
  <c r="BO221" i="26"/>
  <c r="AC221" i="26"/>
  <c r="AC219" i="26"/>
  <c r="AM221" i="26"/>
  <c r="AM219" i="26"/>
  <c r="K231" i="26"/>
  <c r="K229" i="26"/>
  <c r="V231" i="26"/>
  <c r="Z230" i="26"/>
  <c r="AD231" i="26"/>
  <c r="AD230" i="26"/>
  <c r="AE229" i="26"/>
  <c r="AS273" i="26"/>
  <c r="AS272" i="26"/>
  <c r="AM136" i="26"/>
  <c r="BW16" i="31"/>
  <c r="BW25" i="31"/>
  <c r="AI23" i="31"/>
  <c r="BM11" i="31"/>
  <c r="BW75" i="32"/>
  <c r="H157" i="33"/>
  <c r="S272" i="26"/>
  <c r="S274" i="26"/>
  <c r="Y86" i="31"/>
  <c r="G64" i="31"/>
  <c r="BS151" i="31"/>
  <c r="AT27" i="31"/>
  <c r="AT21" i="31"/>
  <c r="BS23" i="32"/>
  <c r="BS82" i="32"/>
  <c r="BS278" i="26"/>
  <c r="BS274" i="26"/>
  <c r="AK216" i="26"/>
  <c r="AK214" i="26"/>
  <c r="D138" i="26"/>
  <c r="D135" i="26"/>
  <c r="D136" i="26"/>
  <c r="D139" i="26"/>
  <c r="D133" i="26"/>
  <c r="BP108" i="31"/>
  <c r="BS108" i="31"/>
  <c r="M29" i="31"/>
  <c r="M40" i="31"/>
  <c r="BO11" i="31"/>
  <c r="M21" i="31"/>
  <c r="M52" i="31"/>
  <c r="U52" i="31"/>
  <c r="U42" i="31"/>
  <c r="U27" i="31"/>
  <c r="BQ11" i="31"/>
  <c r="AN23" i="31"/>
  <c r="AN52" i="31"/>
  <c r="BW18" i="31"/>
  <c r="AT22" i="31"/>
  <c r="AT60" i="31"/>
  <c r="G21" i="31"/>
  <c r="AI21" i="31"/>
  <c r="AN21" i="31"/>
  <c r="F151" i="31"/>
  <c r="F61" i="31"/>
  <c r="F63" i="31" s="1"/>
  <c r="F152" i="31"/>
  <c r="N66" i="31"/>
  <c r="N71" i="31" s="1"/>
  <c r="N151" i="31"/>
  <c r="N152" i="31"/>
  <c r="BP78" i="31"/>
  <c r="BP80" i="31"/>
  <c r="V100" i="32"/>
  <c r="V157" i="33"/>
  <c r="AL157" i="33"/>
  <c r="AL100" i="32"/>
  <c r="BO6" i="33"/>
  <c r="BO61" i="33" s="1"/>
  <c r="BO76" i="33" s="1"/>
  <c r="BO84" i="33" s="1"/>
  <c r="BO46" i="32"/>
  <c r="BO57" i="32" s="1"/>
  <c r="BO74" i="32" s="1"/>
  <c r="BR6" i="33"/>
  <c r="BR61" i="33" s="1"/>
  <c r="BR76" i="33" s="1"/>
  <c r="BR84" i="33" s="1"/>
  <c r="BR46" i="32"/>
  <c r="BR57" i="32" s="1"/>
  <c r="BR74" i="32" s="1"/>
  <c r="BP79" i="32"/>
  <c r="BP56" i="33"/>
  <c r="F82" i="32"/>
  <c r="F23" i="32"/>
  <c r="F67" i="33" s="1"/>
  <c r="AG23" i="32"/>
  <c r="AG43" i="32" s="1"/>
  <c r="AG82" i="32"/>
  <c r="X41" i="32"/>
  <c r="X43" i="32" s="1"/>
  <c r="X82" i="32"/>
  <c r="T49" i="32"/>
  <c r="T48" i="32" s="1"/>
  <c r="T50" i="32"/>
  <c r="BO68" i="32"/>
  <c r="BM71" i="32"/>
  <c r="K71" i="32"/>
  <c r="BN70" i="32"/>
  <c r="O71" i="32"/>
  <c r="BO70" i="32"/>
  <c r="Z71" i="32"/>
  <c r="E88" i="32"/>
  <c r="E94" i="32" s="1"/>
  <c r="I88" i="32"/>
  <c r="AK88" i="32"/>
  <c r="AK94" i="32" s="1"/>
  <c r="AO88" i="32"/>
  <c r="J139" i="26"/>
  <c r="J133" i="26"/>
  <c r="J135" i="26"/>
  <c r="J136" i="26"/>
  <c r="J140" i="26"/>
  <c r="J134" i="26"/>
  <c r="Q220" i="26"/>
  <c r="M221" i="26"/>
  <c r="U221" i="26"/>
  <c r="U219" i="26"/>
  <c r="U220" i="26"/>
  <c r="Y219" i="26"/>
  <c r="X220" i="26"/>
  <c r="BR218" i="26"/>
  <c r="AG220" i="26"/>
  <c r="AK219" i="26"/>
  <c r="AJ220" i="26"/>
  <c r="AJ221" i="26"/>
  <c r="M226" i="26"/>
  <c r="N224" i="26"/>
  <c r="P225" i="26"/>
  <c r="BP223" i="26"/>
  <c r="U224" i="26"/>
  <c r="T225" i="26"/>
  <c r="AG231" i="26"/>
  <c r="AG230" i="26"/>
  <c r="BN266" i="26"/>
  <c r="BS253" i="26"/>
  <c r="BP253" i="26"/>
  <c r="BS247" i="26"/>
  <c r="S231" i="26"/>
  <c r="AK229" i="26"/>
  <c r="BS199" i="26"/>
  <c r="BT62" i="32"/>
  <c r="BT47" i="33"/>
  <c r="BR56" i="33"/>
  <c r="N225" i="26"/>
  <c r="Q231" i="26"/>
  <c r="U231" i="26"/>
  <c r="AA231" i="26"/>
  <c r="AL231" i="26"/>
  <c r="CO199" i="26"/>
  <c r="Q268" i="26"/>
  <c r="Q269" i="26"/>
  <c r="AP273" i="26"/>
  <c r="U268" i="26"/>
  <c r="BY118" i="31"/>
  <c r="BY120" i="31" s="1"/>
  <c r="BY109" i="31" s="1"/>
  <c r="M268" i="26"/>
  <c r="M271" i="26"/>
  <c r="M269" i="26"/>
  <c r="AL224" i="26"/>
  <c r="AA229" i="26"/>
  <c r="Z200" i="26"/>
  <c r="BV53" i="32"/>
  <c r="BP151" i="31"/>
  <c r="BO39" i="31"/>
  <c r="BP16" i="31"/>
  <c r="BP54" i="32"/>
  <c r="CO41" i="26"/>
  <c r="CO43" i="26" s="1"/>
  <c r="K267" i="26"/>
  <c r="W267" i="26"/>
  <c r="AA268" i="26"/>
  <c r="H66" i="31"/>
  <c r="H71" i="31" s="1"/>
  <c r="E86" i="31"/>
  <c r="AG66" i="31"/>
  <c r="AG71" i="31" s="1"/>
  <c r="AM151" i="31"/>
  <c r="I151" i="31"/>
  <c r="BX44" i="31"/>
  <c r="BS49" i="31"/>
  <c r="AM20" i="31"/>
  <c r="Y40" i="31"/>
  <c r="AS27" i="31"/>
  <c r="Y29" i="31"/>
  <c r="AH272" i="26"/>
  <c r="BO266" i="26"/>
  <c r="N267" i="26"/>
  <c r="AG272" i="26"/>
  <c r="AG273" i="26"/>
  <c r="AS268" i="26"/>
  <c r="BS262" i="26"/>
  <c r="BO254" i="26"/>
  <c r="BR248" i="26"/>
  <c r="N201" i="26"/>
  <c r="CO38" i="26"/>
  <c r="CO40" i="26" s="1"/>
  <c r="AC201" i="26"/>
  <c r="AJ230" i="26"/>
  <c r="AJ29" i="31"/>
  <c r="BN79" i="32"/>
  <c r="BQ79" i="32"/>
  <c r="BV79" i="32"/>
  <c r="BP62" i="32"/>
  <c r="F88" i="32"/>
  <c r="F94" i="32" s="1"/>
  <c r="N88" i="32"/>
  <c r="N94" i="32" s="1"/>
  <c r="V88" i="32"/>
  <c r="V94" i="32" s="1"/>
  <c r="AD88" i="32"/>
  <c r="AD94" i="32" s="1"/>
  <c r="AL88" i="32"/>
  <c r="AL94" i="32" s="1"/>
  <c r="AT88" i="32"/>
  <c r="AT94" i="32" s="1"/>
  <c r="K92" i="32"/>
  <c r="K94" i="32" s="1"/>
  <c r="S92" i="32"/>
  <c r="S94" i="32" s="1"/>
  <c r="AA92" i="32"/>
  <c r="AI92" i="32"/>
  <c r="AI94" i="32" s="1"/>
  <c r="AQ92" i="32"/>
  <c r="AQ94" i="32" s="1"/>
  <c r="BP47" i="33"/>
  <c r="AT37" i="26"/>
  <c r="AU42" i="26"/>
  <c r="AR48" i="26"/>
  <c r="BU62" i="26"/>
  <c r="BU11" i="26"/>
  <c r="AP282" i="26"/>
  <c r="BU166" i="26"/>
  <c r="AP284" i="26"/>
  <c r="BT187" i="26"/>
  <c r="M230" i="26"/>
  <c r="X230" i="26"/>
  <c r="AQ200" i="26"/>
  <c r="AA267" i="26"/>
  <c r="Z269" i="26"/>
  <c r="Z271" i="26"/>
  <c r="AQ267" i="26"/>
  <c r="BP213" i="26"/>
  <c r="T229" i="26"/>
  <c r="H231" i="26"/>
  <c r="U205" i="26"/>
  <c r="M205" i="26"/>
  <c r="AJ231" i="26"/>
  <c r="M201" i="26"/>
  <c r="Z229" i="26"/>
  <c r="BP51" i="31"/>
  <c r="BW47" i="26"/>
  <c r="K269" i="26"/>
  <c r="BR66" i="31"/>
  <c r="AT51" i="31"/>
  <c r="AT66" i="31"/>
  <c r="AT71" i="31" s="1"/>
  <c r="BX18" i="31"/>
  <c r="N200" i="26"/>
  <c r="AT45" i="31"/>
  <c r="AU6" i="33"/>
  <c r="AU61" i="33" s="1"/>
  <c r="AU76" i="33" s="1"/>
  <c r="AU84" i="33" s="1"/>
  <c r="BO79" i="32"/>
  <c r="AP43" i="32"/>
  <c r="N51" i="32"/>
  <c r="BN62" i="32"/>
  <c r="BV62" i="32"/>
  <c r="D88" i="32"/>
  <c r="D94" i="32" s="1"/>
  <c r="L88" i="32"/>
  <c r="L94" i="32" s="1"/>
  <c r="T88" i="32"/>
  <c r="T94" i="32" s="1"/>
  <c r="AB88" i="32"/>
  <c r="AJ88" i="32"/>
  <c r="AJ94" i="32" s="1"/>
  <c r="AR88" i="32"/>
  <c r="AR94" i="32" s="1"/>
  <c r="I92" i="32"/>
  <c r="I94" i="32" s="1"/>
  <c r="Q92" i="32"/>
  <c r="Y92" i="32"/>
  <c r="Y94" i="32" s="1"/>
  <c r="AG92" i="32"/>
  <c r="AO92" i="32"/>
  <c r="BN47" i="33"/>
  <c r="BV47" i="33"/>
  <c r="BV56" i="33"/>
  <c r="BO119" i="26"/>
  <c r="BR181" i="26"/>
  <c r="X271" i="26"/>
  <c r="Q271" i="26"/>
  <c r="CN40" i="26"/>
  <c r="BP119" i="26"/>
  <c r="AU50" i="32"/>
  <c r="BH50" i="32" s="1"/>
  <c r="AU49" i="32"/>
  <c r="AU151" i="31"/>
  <c r="AU45" i="31"/>
  <c r="AU51" i="31"/>
  <c r="AU49" i="31"/>
  <c r="AU40" i="26"/>
  <c r="AU39" i="26"/>
  <c r="AU23" i="32"/>
  <c r="AU43" i="32" s="1"/>
  <c r="AU82" i="32"/>
  <c r="AU33" i="26"/>
  <c r="CO52" i="26"/>
  <c r="CO54" i="26" s="1"/>
  <c r="CO32" i="26"/>
  <c r="CO34" i="26" s="1"/>
  <c r="AU75" i="26"/>
  <c r="AU62" i="26"/>
  <c r="AU55" i="26"/>
  <c r="AU79" i="26"/>
  <c r="BW79" i="26"/>
  <c r="BW11" i="26"/>
  <c r="BW48" i="26"/>
  <c r="AR157" i="31"/>
  <c r="AU36" i="26"/>
  <c r="BA18" i="31"/>
  <c r="BB18" i="31" s="1"/>
  <c r="BC18" i="31" s="1"/>
  <c r="BD18" i="31" s="1"/>
  <c r="BX60" i="31"/>
  <c r="BX61" i="31" s="1"/>
  <c r="BX63" i="31" s="1"/>
  <c r="BX99" i="31"/>
  <c r="AN157" i="31"/>
  <c r="AO157" i="31"/>
  <c r="AP157" i="31"/>
  <c r="AQ157" i="31"/>
  <c r="AP94" i="32" l="1"/>
  <c r="R94" i="32"/>
  <c r="BR80" i="32"/>
  <c r="BT27" i="31"/>
  <c r="BT52" i="31"/>
  <c r="BQ201" i="26"/>
  <c r="BO201" i="26"/>
  <c r="BV67" i="31"/>
  <c r="BV69" i="31" s="1"/>
  <c r="AR215" i="26"/>
  <c r="BQ133" i="26"/>
  <c r="BV79" i="26"/>
  <c r="BV11" i="26"/>
  <c r="BV174" i="26"/>
  <c r="U142" i="26"/>
  <c r="U144" i="26" s="1"/>
  <c r="BW75" i="26"/>
  <c r="BQ140" i="26"/>
  <c r="BQ128" i="26"/>
  <c r="BV188" i="26"/>
  <c r="AN68" i="31"/>
  <c r="AN75" i="31" s="1"/>
  <c r="BI85" i="31"/>
  <c r="BJ85" i="31" s="1"/>
  <c r="BK85" i="31" s="1"/>
  <c r="BR40" i="31"/>
  <c r="X67" i="31"/>
  <c r="AR219" i="26"/>
  <c r="S215" i="26"/>
  <c r="AM215" i="26"/>
  <c r="BI50" i="32"/>
  <c r="AG94" i="32"/>
  <c r="BZ21" i="32"/>
  <c r="BH21" i="32"/>
  <c r="BI21" i="32" s="1"/>
  <c r="BJ21" i="32" s="1"/>
  <c r="BK21" i="32" s="1"/>
  <c r="CA21" i="32" s="1"/>
  <c r="BZ29" i="32"/>
  <c r="BH29" i="32"/>
  <c r="BI29" i="32" s="1"/>
  <c r="BJ29" i="32" s="1"/>
  <c r="BK29" i="32" s="1"/>
  <c r="CA29" i="32" s="1"/>
  <c r="BZ18" i="32"/>
  <c r="BH18" i="32"/>
  <c r="BI18" i="32" s="1"/>
  <c r="BJ18" i="32" s="1"/>
  <c r="BK18" i="32" s="1"/>
  <c r="CA18" i="32" s="1"/>
  <c r="BZ17" i="32"/>
  <c r="BH17" i="32"/>
  <c r="T32" i="31"/>
  <c r="U68" i="31"/>
  <c r="U75" i="31" s="1"/>
  <c r="U76" i="31" s="1"/>
  <c r="BS52" i="31"/>
  <c r="D68" i="31"/>
  <c r="D75" i="31" s="1"/>
  <c r="D67" i="31"/>
  <c r="D73" i="31" s="1"/>
  <c r="AB68" i="31"/>
  <c r="AB75" i="31" s="1"/>
  <c r="AB93" i="31" s="1"/>
  <c r="AB94" i="31" s="1"/>
  <c r="BS23" i="31"/>
  <c r="AI75" i="31"/>
  <c r="AB72" i="31"/>
  <c r="M64" i="31"/>
  <c r="H73" i="31"/>
  <c r="H74" i="31" s="1"/>
  <c r="AK63" i="31"/>
  <c r="S68" i="31"/>
  <c r="H63" i="31"/>
  <c r="T175" i="31"/>
  <c r="T177" i="31" s="1"/>
  <c r="T97" i="32" s="1"/>
  <c r="K67" i="31"/>
  <c r="BU79" i="26"/>
  <c r="AR67" i="31"/>
  <c r="AR73" i="31" s="1"/>
  <c r="AA67" i="31"/>
  <c r="G73" i="31"/>
  <c r="G91" i="31" s="1"/>
  <c r="G110" i="31" s="1"/>
  <c r="G111" i="31" s="1"/>
  <c r="AM67" i="31"/>
  <c r="X68" i="31"/>
  <c r="X75" i="31" s="1"/>
  <c r="X76" i="31" s="1"/>
  <c r="BO220" i="26"/>
  <c r="AN67" i="31"/>
  <c r="AN73" i="31" s="1"/>
  <c r="AN112" i="26" s="1"/>
  <c r="AN102" i="26" s="1"/>
  <c r="AR64" i="31"/>
  <c r="P175" i="31"/>
  <c r="P177" i="31" s="1"/>
  <c r="I175" i="31"/>
  <c r="I177" i="31" s="1"/>
  <c r="AL32" i="31"/>
  <c r="E72" i="31"/>
  <c r="AU21" i="31"/>
  <c r="AB67" i="31"/>
  <c r="H32" i="31"/>
  <c r="AH75" i="31"/>
  <c r="AH93" i="31" s="1"/>
  <c r="AH104" i="31" s="1"/>
  <c r="O75" i="31"/>
  <c r="O93" i="31" s="1"/>
  <c r="BS40" i="31"/>
  <c r="AP225" i="26"/>
  <c r="BV78" i="32"/>
  <c r="AQ229" i="26"/>
  <c r="O233" i="26"/>
  <c r="O235" i="26" s="1"/>
  <c r="AQ231" i="26"/>
  <c r="L214" i="26"/>
  <c r="W215" i="26"/>
  <c r="V142" i="26"/>
  <c r="V144" i="26" s="1"/>
  <c r="H142" i="26"/>
  <c r="H144" i="26" s="1"/>
  <c r="AN142" i="26"/>
  <c r="AN144" i="26" s="1"/>
  <c r="AG142" i="26"/>
  <c r="AG144" i="26" s="1"/>
  <c r="AQ224" i="26"/>
  <c r="AN207" i="26"/>
  <c r="AU74" i="26"/>
  <c r="AT62" i="26"/>
  <c r="AQ225" i="26"/>
  <c r="BU128" i="26"/>
  <c r="AO215" i="26"/>
  <c r="AN81" i="26"/>
  <c r="AT142" i="26"/>
  <c r="AT144" i="26" s="1"/>
  <c r="Q142" i="26"/>
  <c r="Q144" i="26" s="1"/>
  <c r="AF142" i="26"/>
  <c r="AF144" i="26" s="1"/>
  <c r="AH142" i="26"/>
  <c r="AH144" i="26" s="1"/>
  <c r="AD142" i="26"/>
  <c r="AD144" i="26" s="1"/>
  <c r="AB142" i="26"/>
  <c r="AB144" i="26" s="1"/>
  <c r="X142" i="26"/>
  <c r="X144" i="26" s="1"/>
  <c r="M142" i="26"/>
  <c r="M144" i="26" s="1"/>
  <c r="I216" i="26"/>
  <c r="S136" i="26"/>
  <c r="S139" i="26"/>
  <c r="AA215" i="26"/>
  <c r="I233" i="26"/>
  <c r="I240" i="26" s="1"/>
  <c r="AS214" i="26"/>
  <c r="AS225" i="26"/>
  <c r="I214" i="26"/>
  <c r="AS207" i="26"/>
  <c r="P214" i="26"/>
  <c r="J214" i="26"/>
  <c r="W233" i="26"/>
  <c r="AA235" i="26" s="1"/>
  <c r="AS81" i="26"/>
  <c r="BE11" i="33"/>
  <c r="BF11" i="33" s="1"/>
  <c r="BG11" i="33" s="1"/>
  <c r="BH11" i="33" s="1"/>
  <c r="R97" i="32"/>
  <c r="BO43" i="32"/>
  <c r="BY60" i="32"/>
  <c r="BD60" i="32"/>
  <c r="BE60" i="32" s="1"/>
  <c r="BF60" i="32" s="1"/>
  <c r="BG60" i="32" s="1"/>
  <c r="BY34" i="32"/>
  <c r="BD34" i="32"/>
  <c r="BE34" i="32" s="1"/>
  <c r="BF34" i="32" s="1"/>
  <c r="BG34" i="32" s="1"/>
  <c r="BY35" i="32"/>
  <c r="BD35" i="32"/>
  <c r="BE35" i="32" s="1"/>
  <c r="BF35" i="32" s="1"/>
  <c r="BG35" i="32" s="1"/>
  <c r="BY36" i="32"/>
  <c r="BD36" i="32"/>
  <c r="BE36" i="32" s="1"/>
  <c r="BF36" i="32" s="1"/>
  <c r="BG36" i="32" s="1"/>
  <c r="BY67" i="32"/>
  <c r="BD67" i="32"/>
  <c r="BE67" i="32" s="1"/>
  <c r="BF67" i="32" s="1"/>
  <c r="BG67" i="32" s="1"/>
  <c r="BY59" i="32"/>
  <c r="BD59" i="32"/>
  <c r="BE59" i="32" s="1"/>
  <c r="BF59" i="32" s="1"/>
  <c r="BG59" i="32" s="1"/>
  <c r="BE19" i="32"/>
  <c r="AP97" i="32"/>
  <c r="BO82" i="32"/>
  <c r="BE18" i="31"/>
  <c r="BF18" i="31" s="1"/>
  <c r="BG18" i="31" s="1"/>
  <c r="BH18" i="31" s="1"/>
  <c r="BY36" i="31"/>
  <c r="BD36" i="31"/>
  <c r="BZ85" i="31"/>
  <c r="BE145" i="31"/>
  <c r="BF145" i="31" s="1"/>
  <c r="BG145" i="31" s="1"/>
  <c r="BH145" i="31" s="1"/>
  <c r="BE10" i="31"/>
  <c r="BY10" i="31"/>
  <c r="AQ73" i="31"/>
  <c r="AQ91" i="31" s="1"/>
  <c r="AQ92" i="31" s="1"/>
  <c r="BT13" i="31"/>
  <c r="AN89" i="31"/>
  <c r="AN97" i="31" s="1"/>
  <c r="AN72" i="31"/>
  <c r="X89" i="31"/>
  <c r="X90" i="31" s="1"/>
  <c r="X175" i="31"/>
  <c r="X177" i="31" s="1"/>
  <c r="BP66" i="31"/>
  <c r="BP71" i="31" s="1"/>
  <c r="AE68" i="31"/>
  <c r="BV21" i="31"/>
  <c r="I32" i="31"/>
  <c r="U67" i="31"/>
  <c r="BU64" i="31"/>
  <c r="AS233" i="26"/>
  <c r="AS236" i="26" s="1"/>
  <c r="P89" i="31"/>
  <c r="P106" i="31" s="1"/>
  <c r="AD67" i="31"/>
  <c r="AB89" i="31"/>
  <c r="AB97" i="31" s="1"/>
  <c r="BP61" i="31"/>
  <c r="BP63" i="31" s="1"/>
  <c r="AO225" i="26"/>
  <c r="K240" i="26"/>
  <c r="BS84" i="31"/>
  <c r="BS87" i="31" s="1"/>
  <c r="AR221" i="26"/>
  <c r="AF75" i="31"/>
  <c r="AF76" i="31" s="1"/>
  <c r="P68" i="31"/>
  <c r="AE67" i="31"/>
  <c r="AE73" i="31" s="1"/>
  <c r="AE74" i="31" s="1"/>
  <c r="AB73" i="31"/>
  <c r="AB74" i="31" s="1"/>
  <c r="M67" i="31"/>
  <c r="M73" i="31" s="1"/>
  <c r="M91" i="31" s="1"/>
  <c r="X214" i="26"/>
  <c r="AS230" i="26"/>
  <c r="W214" i="26"/>
  <c r="AA240" i="26"/>
  <c r="BQ84" i="31"/>
  <c r="BQ87" i="31" s="1"/>
  <c r="S233" i="26"/>
  <c r="S234" i="26" s="1"/>
  <c r="BU66" i="31"/>
  <c r="BU71" i="31" s="1"/>
  <c r="BU72" i="31" s="1"/>
  <c r="P67" i="31"/>
  <c r="P73" i="31" s="1"/>
  <c r="AM68" i="31"/>
  <c r="AA234" i="26"/>
  <c r="AP229" i="26"/>
  <c r="AQ221" i="26"/>
  <c r="BR230" i="26"/>
  <c r="BU152" i="31"/>
  <c r="AO230" i="26"/>
  <c r="BS157" i="31"/>
  <c r="BU151" i="31"/>
  <c r="AL142" i="26"/>
  <c r="AL144" i="26" s="1"/>
  <c r="BU135" i="26"/>
  <c r="BV62" i="26"/>
  <c r="BV154" i="26"/>
  <c r="BU272" i="26"/>
  <c r="AK142" i="26"/>
  <c r="AK144" i="26" s="1"/>
  <c r="AI142" i="26"/>
  <c r="AI144" i="26" s="1"/>
  <c r="Y142" i="26"/>
  <c r="Y144" i="26" s="1"/>
  <c r="T142" i="26"/>
  <c r="T144" i="26" s="1"/>
  <c r="I142" i="26"/>
  <c r="I144" i="26" s="1"/>
  <c r="F142" i="26"/>
  <c r="F144" i="26" s="1"/>
  <c r="AO81" i="26"/>
  <c r="Z142" i="26"/>
  <c r="Z144" i="26" s="1"/>
  <c r="AO142" i="26"/>
  <c r="AO144" i="26" s="1"/>
  <c r="BQ230" i="26"/>
  <c r="AS142" i="26"/>
  <c r="AS144" i="26" s="1"/>
  <c r="AQ142" i="26"/>
  <c r="AQ144" i="26" s="1"/>
  <c r="P142" i="26"/>
  <c r="P144" i="26" s="1"/>
  <c r="AQ81" i="26"/>
  <c r="AS220" i="26"/>
  <c r="AO233" i="26"/>
  <c r="AO240" i="26" s="1"/>
  <c r="AO221" i="26"/>
  <c r="AO219" i="26"/>
  <c r="AO207" i="26"/>
  <c r="AQ207" i="26"/>
  <c r="K214" i="26"/>
  <c r="S133" i="26"/>
  <c r="AP231" i="26"/>
  <c r="AA214" i="26"/>
  <c r="O214" i="26"/>
  <c r="AS219" i="26"/>
  <c r="AS215" i="26"/>
  <c r="S214" i="26"/>
  <c r="K236" i="26"/>
  <c r="K234" i="26"/>
  <c r="AR220" i="26"/>
  <c r="BP231" i="26"/>
  <c r="S216" i="26"/>
  <c r="AP219" i="26"/>
  <c r="BV218" i="26"/>
  <c r="BV220" i="26" s="1"/>
  <c r="T214" i="26"/>
  <c r="AA216" i="26"/>
  <c r="AB214" i="26"/>
  <c r="K216" i="26"/>
  <c r="BS221" i="26"/>
  <c r="AN221" i="26"/>
  <c r="AP207" i="26"/>
  <c r="E142" i="26"/>
  <c r="E144" i="26" s="1"/>
  <c r="AU142" i="26"/>
  <c r="AU144" i="26" s="1"/>
  <c r="AO214" i="26"/>
  <c r="K134" i="26"/>
  <c r="N142" i="26"/>
  <c r="N144" i="26" s="1"/>
  <c r="AE142" i="26"/>
  <c r="AE144" i="26" s="1"/>
  <c r="AR142" i="26"/>
  <c r="AR144" i="26" s="1"/>
  <c r="AP142" i="26"/>
  <c r="AP144" i="26" s="1"/>
  <c r="AC142" i="26"/>
  <c r="AC144" i="26" s="1"/>
  <c r="AA142" i="26"/>
  <c r="AA144" i="26" s="1"/>
  <c r="AP81" i="26"/>
  <c r="F77" i="33"/>
  <c r="F81" i="33" s="1"/>
  <c r="F68" i="33"/>
  <c r="F69" i="33" s="1"/>
  <c r="F72" i="33" s="1"/>
  <c r="AD97" i="32"/>
  <c r="BT84" i="31"/>
  <c r="BT87" i="31" s="1"/>
  <c r="F43" i="32"/>
  <c r="BM84" i="31"/>
  <c r="BV50" i="31"/>
  <c r="BU78" i="32"/>
  <c r="AD89" i="31"/>
  <c r="AD90" i="31" s="1"/>
  <c r="BS230" i="26"/>
  <c r="BV40" i="31"/>
  <c r="AJ72" i="31"/>
  <c r="AU175" i="31"/>
  <c r="AU177" i="31" s="1"/>
  <c r="AU97" i="32" s="1"/>
  <c r="AB32" i="31"/>
  <c r="AU72" i="31"/>
  <c r="M32" i="31"/>
  <c r="X32" i="31"/>
  <c r="AD32" i="31"/>
  <c r="BT40" i="31"/>
  <c r="U72" i="31"/>
  <c r="BT50" i="31"/>
  <c r="AA73" i="31"/>
  <c r="AA91" i="31" s="1"/>
  <c r="AM216" i="26"/>
  <c r="BS225" i="26"/>
  <c r="AI233" i="26"/>
  <c r="AI240" i="26" s="1"/>
  <c r="AR225" i="26"/>
  <c r="AQ32" i="31"/>
  <c r="AN214" i="26"/>
  <c r="BQ225" i="26"/>
  <c r="BV27" i="31"/>
  <c r="J63" i="31"/>
  <c r="J64" i="31" s="1"/>
  <c r="AJ175" i="31"/>
  <c r="AJ177" i="31" s="1"/>
  <c r="AJ97" i="32" s="1"/>
  <c r="BV223" i="26"/>
  <c r="BV225" i="26" s="1"/>
  <c r="I89" i="31"/>
  <c r="I90" i="31" s="1"/>
  <c r="S72" i="31"/>
  <c r="AN175" i="31"/>
  <c r="AN177" i="31" s="1"/>
  <c r="AN97" i="32" s="1"/>
  <c r="Q73" i="31"/>
  <c r="Q74" i="31" s="1"/>
  <c r="AG67" i="31"/>
  <c r="AG73" i="31" s="1"/>
  <c r="AG91" i="31" s="1"/>
  <c r="Z67" i="31"/>
  <c r="Z73" i="31" s="1"/>
  <c r="BT231" i="26"/>
  <c r="AN225" i="26"/>
  <c r="AP73" i="31"/>
  <c r="AP74" i="31" s="1"/>
  <c r="AR233" i="26"/>
  <c r="AR240" i="26" s="1"/>
  <c r="AR216" i="26"/>
  <c r="AE215" i="26"/>
  <c r="AE240" i="26"/>
  <c r="AE235" i="26"/>
  <c r="O138" i="26"/>
  <c r="BO225" i="26"/>
  <c r="AS224" i="26"/>
  <c r="AR224" i="26"/>
  <c r="AO224" i="26"/>
  <c r="AP224" i="26"/>
  <c r="BU233" i="26"/>
  <c r="BU240" i="26" s="1"/>
  <c r="AM214" i="26"/>
  <c r="BU215" i="26"/>
  <c r="AI214" i="26"/>
  <c r="AM233" i="26"/>
  <c r="AM236" i="26" s="1"/>
  <c r="AN224" i="26"/>
  <c r="AQ219" i="26"/>
  <c r="K128" i="26"/>
  <c r="BR225" i="26"/>
  <c r="AI215" i="26"/>
  <c r="AF214" i="26"/>
  <c r="AP220" i="26"/>
  <c r="AE216" i="26"/>
  <c r="AJ214" i="26"/>
  <c r="AN215" i="26"/>
  <c r="AN216" i="26"/>
  <c r="Z234" i="26"/>
  <c r="AE214" i="26"/>
  <c r="BU278" i="26"/>
  <c r="BT274" i="26"/>
  <c r="BT272" i="26"/>
  <c r="BP201" i="26"/>
  <c r="L142" i="26"/>
  <c r="L144" i="26" s="1"/>
  <c r="K274" i="26"/>
  <c r="K272" i="26"/>
  <c r="K278" i="26"/>
  <c r="BQ138" i="26"/>
  <c r="BQ137" i="26" s="1"/>
  <c r="W142" i="26"/>
  <c r="W144" i="26" s="1"/>
  <c r="BR139" i="26"/>
  <c r="K139" i="26"/>
  <c r="K136" i="26"/>
  <c r="K135" i="26"/>
  <c r="BU134" i="26"/>
  <c r="BR140" i="26"/>
  <c r="Y236" i="26"/>
  <c r="AC235" i="26"/>
  <c r="Y235" i="26"/>
  <c r="AT75" i="26"/>
  <c r="AT74" i="26"/>
  <c r="AT55" i="26"/>
  <c r="AT11" i="26"/>
  <c r="BR68" i="31"/>
  <c r="BT23" i="31"/>
  <c r="BT152" i="31"/>
  <c r="BS240" i="26"/>
  <c r="BN84" i="31"/>
  <c r="BN87" i="31" s="1"/>
  <c r="BO51" i="32"/>
  <c r="BO84" i="31"/>
  <c r="BO87" i="31" s="1"/>
  <c r="BU50" i="32"/>
  <c r="BU49" i="32"/>
  <c r="BU48" i="32" s="1"/>
  <c r="AE236" i="26"/>
  <c r="AC236" i="26"/>
  <c r="U235" i="26"/>
  <c r="BR157" i="31"/>
  <c r="P240" i="26"/>
  <c r="U236" i="26"/>
  <c r="M240" i="26"/>
  <c r="M236" i="26"/>
  <c r="BR231" i="26"/>
  <c r="Q235" i="26"/>
  <c r="AC234" i="26"/>
  <c r="N234" i="26"/>
  <c r="V234" i="26"/>
  <c r="AN230" i="26"/>
  <c r="BV228" i="26"/>
  <c r="BV231" i="26" s="1"/>
  <c r="AN233" i="26"/>
  <c r="AN235" i="26" s="1"/>
  <c r="AG235" i="26"/>
  <c r="U240" i="26"/>
  <c r="X94" i="32"/>
  <c r="BW47" i="32"/>
  <c r="BO78" i="32"/>
  <c r="BR84" i="31"/>
  <c r="BR87" i="31" s="1"/>
  <c r="BM151" i="31"/>
  <c r="BM66" i="31"/>
  <c r="BM71" i="31" s="1"/>
  <c r="BM89" i="31" s="1"/>
  <c r="S67" i="31"/>
  <c r="S73" i="31" s="1"/>
  <c r="S91" i="31" s="1"/>
  <c r="BM152" i="31"/>
  <c r="Z97" i="31"/>
  <c r="AP89" i="31"/>
  <c r="AP97" i="31" s="1"/>
  <c r="X72" i="31"/>
  <c r="AL89" i="31"/>
  <c r="AL90" i="31" s="1"/>
  <c r="W28" i="31"/>
  <c r="Q75" i="31"/>
  <c r="Q93" i="31" s="1"/>
  <c r="Q112" i="31" s="1"/>
  <c r="Q113" i="31" s="1"/>
  <c r="L32" i="31"/>
  <c r="AE32" i="31"/>
  <c r="AD73" i="31"/>
  <c r="AD91" i="31" s="1"/>
  <c r="AE75" i="31"/>
  <c r="AE76" i="31" s="1"/>
  <c r="AG32" i="31"/>
  <c r="N32" i="31"/>
  <c r="AF73" i="31"/>
  <c r="AF91" i="31" s="1"/>
  <c r="AF110" i="31" s="1"/>
  <c r="AF32" i="31"/>
  <c r="N75" i="31"/>
  <c r="N93" i="31" s="1"/>
  <c r="R72" i="31"/>
  <c r="R89" i="31"/>
  <c r="R106" i="31" s="1"/>
  <c r="J175" i="31"/>
  <c r="J177" i="31" s="1"/>
  <c r="J97" i="32" s="1"/>
  <c r="BS68" i="31"/>
  <c r="BN61" i="31"/>
  <c r="BN63" i="31" s="1"/>
  <c r="AS175" i="31"/>
  <c r="AS177" i="31" s="1"/>
  <c r="AS97" i="32" s="1"/>
  <c r="D175" i="31"/>
  <c r="D177" i="31" s="1"/>
  <c r="D97" i="32" s="1"/>
  <c r="AS89" i="31"/>
  <c r="AS97" i="31" s="1"/>
  <c r="BN152" i="31"/>
  <c r="AL175" i="31"/>
  <c r="AL177" i="31" s="1"/>
  <c r="AL97" i="32" s="1"/>
  <c r="K175" i="31"/>
  <c r="K177" i="31" s="1"/>
  <c r="K97" i="32" s="1"/>
  <c r="AH64" i="31"/>
  <c r="BS64" i="31"/>
  <c r="AP72" i="31"/>
  <c r="BN66" i="31"/>
  <c r="BN71" i="31" s="1"/>
  <c r="D72" i="31"/>
  <c r="D106" i="31"/>
  <c r="D122" i="31" s="1"/>
  <c r="D97" i="31"/>
  <c r="BX25" i="33"/>
  <c r="BX22" i="33"/>
  <c r="BV13" i="31"/>
  <c r="BT29" i="31"/>
  <c r="BT30" i="31" s="1"/>
  <c r="AH32" i="31"/>
  <c r="AO28" i="31"/>
  <c r="N73" i="31"/>
  <c r="N91" i="31" s="1"/>
  <c r="E68" i="31"/>
  <c r="E75" i="31" s="1"/>
  <c r="E93" i="31" s="1"/>
  <c r="AK32" i="31"/>
  <c r="AH67" i="31"/>
  <c r="AG240" i="26"/>
  <c r="AG236" i="26"/>
  <c r="O64" i="31"/>
  <c r="AJ73" i="31"/>
  <c r="AJ91" i="31" s="1"/>
  <c r="AJ28" i="31"/>
  <c r="AP32" i="31"/>
  <c r="P75" i="31"/>
  <c r="P93" i="31" s="1"/>
  <c r="T75" i="31"/>
  <c r="T76" i="31" s="1"/>
  <c r="BS226" i="26"/>
  <c r="BT225" i="26"/>
  <c r="BV230" i="26"/>
  <c r="BQ157" i="31"/>
  <c r="BO230" i="26"/>
  <c r="O234" i="26"/>
  <c r="BR133" i="26"/>
  <c r="O128" i="26"/>
  <c r="BU230" i="26"/>
  <c r="AR230" i="26"/>
  <c r="K133" i="26"/>
  <c r="BU140" i="26"/>
  <c r="BR135" i="26"/>
  <c r="AQ286" i="26"/>
  <c r="BR136" i="26"/>
  <c r="O139" i="26"/>
  <c r="BQ274" i="26"/>
  <c r="BO215" i="26"/>
  <c r="BR128" i="26"/>
  <c r="AR81" i="26"/>
  <c r="BR138" i="26"/>
  <c r="BT157" i="31"/>
  <c r="O133" i="26"/>
  <c r="BP157" i="31"/>
  <c r="BO233" i="26"/>
  <c r="BO236" i="26" s="1"/>
  <c r="BU273" i="26"/>
  <c r="K138" i="26"/>
  <c r="BU133" i="26"/>
  <c r="BU139" i="26"/>
  <c r="AJ142" i="26"/>
  <c r="AJ144" i="26" s="1"/>
  <c r="AH240" i="26"/>
  <c r="AH236" i="26"/>
  <c r="BN233" i="26"/>
  <c r="T235" i="26"/>
  <c r="N240" i="26"/>
  <c r="AP286" i="26"/>
  <c r="BQ268" i="26"/>
  <c r="BQ269" i="26"/>
  <c r="Q234" i="26"/>
  <c r="N235" i="26"/>
  <c r="BR268" i="26"/>
  <c r="BU268" i="26"/>
  <c r="P235" i="26"/>
  <c r="T236" i="26"/>
  <c r="U234" i="26"/>
  <c r="AO286" i="26"/>
  <c r="AH234" i="26"/>
  <c r="AN231" i="26"/>
  <c r="AN229" i="26"/>
  <c r="AR207" i="26"/>
  <c r="BT81" i="32"/>
  <c r="P94" i="32"/>
  <c r="Q94" i="32"/>
  <c r="Q97" i="32" s="1"/>
  <c r="AB94" i="32"/>
  <c r="AA94" i="32"/>
  <c r="BS43" i="32"/>
  <c r="BT43" i="32"/>
  <c r="P97" i="32"/>
  <c r="W97" i="32"/>
  <c r="AH97" i="32"/>
  <c r="BQ82" i="32"/>
  <c r="BQ41" i="32"/>
  <c r="BQ43" i="32" s="1"/>
  <c r="AK73" i="31"/>
  <c r="AK74" i="31" s="1"/>
  <c r="X73" i="31"/>
  <c r="X91" i="31" s="1"/>
  <c r="X102" i="31" s="1"/>
  <c r="BV89" i="31"/>
  <c r="BV97" i="31" s="1"/>
  <c r="T73" i="31"/>
  <c r="T74" i="31" s="1"/>
  <c r="R235" i="26"/>
  <c r="V274" i="26"/>
  <c r="V272" i="26"/>
  <c r="V273" i="26"/>
  <c r="V278" i="26"/>
  <c r="AN286" i="26"/>
  <c r="BU136" i="26"/>
  <c r="BO231" i="26"/>
  <c r="BP230" i="26"/>
  <c r="W274" i="26"/>
  <c r="W278" i="26"/>
  <c r="AA273" i="26"/>
  <c r="W272" i="26"/>
  <c r="AR231" i="26"/>
  <c r="AR229" i="26"/>
  <c r="S128" i="26"/>
  <c r="S138" i="26"/>
  <c r="S135" i="26"/>
  <c r="S134" i="26"/>
  <c r="O140" i="26"/>
  <c r="O134" i="26"/>
  <c r="O136" i="26"/>
  <c r="BQ135" i="26"/>
  <c r="BQ136" i="26"/>
  <c r="BQ134" i="26"/>
  <c r="BX46" i="33"/>
  <c r="AW62" i="32"/>
  <c r="AX62" i="32"/>
  <c r="AH72" i="31"/>
  <c r="BV72" i="31"/>
  <c r="AR89" i="31"/>
  <c r="AR106" i="31" s="1"/>
  <c r="AX151" i="31"/>
  <c r="AR175" i="31"/>
  <c r="AR177" i="31" s="1"/>
  <c r="AR97" i="32" s="1"/>
  <c r="E97" i="32"/>
  <c r="S97" i="31"/>
  <c r="Y175" i="31"/>
  <c r="Y177" i="31" s="1"/>
  <c r="Y97" i="32" s="1"/>
  <c r="O175" i="31"/>
  <c r="O177" i="31" s="1"/>
  <c r="O97" i="32" s="1"/>
  <c r="AC175" i="31"/>
  <c r="AC177" i="31" s="1"/>
  <c r="AC97" i="32" s="1"/>
  <c r="BU68" i="31"/>
  <c r="BO42" i="31"/>
  <c r="BM40" i="31"/>
  <c r="O89" i="31"/>
  <c r="O106" i="31" s="1"/>
  <c r="BU67" i="31"/>
  <c r="BU69" i="31" s="1"/>
  <c r="BP40" i="31"/>
  <c r="AE175" i="31"/>
  <c r="AE177" i="31" s="1"/>
  <c r="AE97" i="32" s="1"/>
  <c r="AO72" i="31"/>
  <c r="M97" i="32"/>
  <c r="G72" i="31"/>
  <c r="AH89" i="31"/>
  <c r="AH97" i="31" s="1"/>
  <c r="S97" i="32"/>
  <c r="AE89" i="31"/>
  <c r="AE90" i="31" s="1"/>
  <c r="G175" i="31"/>
  <c r="G177" i="31" s="1"/>
  <c r="G97" i="32" s="1"/>
  <c r="M89" i="31"/>
  <c r="M106" i="31" s="1"/>
  <c r="M72" i="31"/>
  <c r="AA64" i="31"/>
  <c r="AA68" i="31"/>
  <c r="AA75" i="31" s="1"/>
  <c r="AB97" i="32"/>
  <c r="AQ68" i="31"/>
  <c r="AQ75" i="31" s="1"/>
  <c r="AQ93" i="31" s="1"/>
  <c r="W67" i="31"/>
  <c r="W73" i="31" s="1"/>
  <c r="W74" i="31" s="1"/>
  <c r="W63" i="31"/>
  <c r="Z68" i="31"/>
  <c r="Z75" i="31" s="1"/>
  <c r="Z76" i="31" s="1"/>
  <c r="BV64" i="31"/>
  <c r="AI72" i="31"/>
  <c r="BT42" i="31"/>
  <c r="AO89" i="31"/>
  <c r="AO90" i="31" s="1"/>
  <c r="Z72" i="31"/>
  <c r="Z106" i="31"/>
  <c r="J89" i="31"/>
  <c r="J106" i="31" s="1"/>
  <c r="Z175" i="31"/>
  <c r="Z177" i="31" s="1"/>
  <c r="Z97" i="32" s="1"/>
  <c r="R67" i="31"/>
  <c r="R73" i="31" s="1"/>
  <c r="R63" i="31"/>
  <c r="AS67" i="31"/>
  <c r="AS73" i="31" s="1"/>
  <c r="AS63" i="31"/>
  <c r="AC72" i="31"/>
  <c r="Y89" i="31"/>
  <c r="Y97" i="31" s="1"/>
  <c r="K89" i="31"/>
  <c r="K106" i="31" s="1"/>
  <c r="AI97" i="32"/>
  <c r="S106" i="31"/>
  <c r="S122" i="31" s="1"/>
  <c r="AI89" i="31"/>
  <c r="AI106" i="31" s="1"/>
  <c r="W32" i="31"/>
  <c r="BA13" i="32"/>
  <c r="BA22" i="33" s="1"/>
  <c r="BR21" i="31"/>
  <c r="E73" i="31"/>
  <c r="E91" i="31" s="1"/>
  <c r="O240" i="26"/>
  <c r="BA17" i="31"/>
  <c r="BB17" i="31" s="1"/>
  <c r="BC17" i="31" s="1"/>
  <c r="BD17" i="31" s="1"/>
  <c r="AM75" i="31"/>
  <c r="BR51" i="32"/>
  <c r="BR47" i="32"/>
  <c r="P234" i="26"/>
  <c r="AZ58" i="32"/>
  <c r="BX58" i="32"/>
  <c r="BX62" i="32" s="1"/>
  <c r="AY62" i="32"/>
  <c r="BR50" i="31"/>
  <c r="AB235" i="26"/>
  <c r="AB234" i="26"/>
  <c r="AB240" i="26"/>
  <c r="AB236" i="26"/>
  <c r="BT216" i="26"/>
  <c r="BT215" i="26"/>
  <c r="BT233" i="26"/>
  <c r="AX141" i="31"/>
  <c r="H235" i="26"/>
  <c r="H240" i="26"/>
  <c r="H234" i="26"/>
  <c r="H236" i="26"/>
  <c r="X236" i="26"/>
  <c r="X235" i="26"/>
  <c r="Y234" i="26"/>
  <c r="X240" i="26"/>
  <c r="I97" i="32"/>
  <c r="BX145" i="31"/>
  <c r="BX140" i="31"/>
  <c r="AY75" i="32"/>
  <c r="AE234" i="26"/>
  <c r="AD234" i="26"/>
  <c r="AH235" i="26"/>
  <c r="AD236" i="26"/>
  <c r="AD240" i="26"/>
  <c r="AD235" i="26"/>
  <c r="AG234" i="26"/>
  <c r="AF234" i="26"/>
  <c r="AJ235" i="26"/>
  <c r="AF240" i="26"/>
  <c r="AF236" i="26"/>
  <c r="AF235" i="26"/>
  <c r="U97" i="32"/>
  <c r="BT61" i="31"/>
  <c r="BT66" i="31"/>
  <c r="BT71" i="31" s="1"/>
  <c r="BV84" i="31"/>
  <c r="BV87" i="31" s="1"/>
  <c r="BV86" i="31"/>
  <c r="Q89" i="31"/>
  <c r="Q90" i="31" s="1"/>
  <c r="Q72" i="31"/>
  <c r="AB76" i="31"/>
  <c r="G92" i="31"/>
  <c r="AL63" i="31"/>
  <c r="AL67" i="31"/>
  <c r="AL73" i="31" s="1"/>
  <c r="AL74" i="31" s="1"/>
  <c r="BO61" i="31"/>
  <c r="BO63" i="31" s="1"/>
  <c r="BO151" i="31"/>
  <c r="BO66" i="31"/>
  <c r="BO71" i="31" s="1"/>
  <c r="AO67" i="31"/>
  <c r="AO73" i="31" s="1"/>
  <c r="AO112" i="26" s="1"/>
  <c r="AO102" i="26" s="1"/>
  <c r="AO63" i="31"/>
  <c r="G102" i="31"/>
  <c r="AC67" i="31"/>
  <c r="AC73" i="31" s="1"/>
  <c r="AC63" i="31"/>
  <c r="AN106" i="31"/>
  <c r="AF72" i="31"/>
  <c r="AF175" i="31"/>
  <c r="AF177" i="31" s="1"/>
  <c r="AF97" i="32" s="1"/>
  <c r="AF97" i="31"/>
  <c r="AF106" i="31"/>
  <c r="AF90" i="31"/>
  <c r="U90" i="31"/>
  <c r="U97" i="31"/>
  <c r="U106" i="31"/>
  <c r="O28" i="31"/>
  <c r="O32" i="31"/>
  <c r="J28" i="31"/>
  <c r="J32" i="31"/>
  <c r="BM21" i="31"/>
  <c r="BM50" i="31"/>
  <c r="S32" i="31"/>
  <c r="R28" i="31"/>
  <c r="R32" i="31"/>
  <c r="BP64" i="31"/>
  <c r="Y32" i="31"/>
  <c r="F32" i="31"/>
  <c r="F28" i="31"/>
  <c r="G32" i="31"/>
  <c r="AH73" i="31"/>
  <c r="AN93" i="31"/>
  <c r="AN76" i="31"/>
  <c r="BU21" i="31"/>
  <c r="O73" i="31"/>
  <c r="AC32" i="31"/>
  <c r="AC28" i="31"/>
  <c r="E28" i="31"/>
  <c r="E32" i="31"/>
  <c r="J73" i="31"/>
  <c r="BX17" i="31"/>
  <c r="AU28" i="31"/>
  <c r="AI76" i="31"/>
  <c r="AI93" i="31"/>
  <c r="U93" i="31"/>
  <c r="BP72" i="31"/>
  <c r="BP89" i="31"/>
  <c r="L175" i="31"/>
  <c r="L177" i="31" s="1"/>
  <c r="L97" i="32" s="1"/>
  <c r="L89" i="31"/>
  <c r="L72" i="31"/>
  <c r="AK175" i="31"/>
  <c r="AK177" i="31" s="1"/>
  <c r="AK97" i="32" s="1"/>
  <c r="AK89" i="31"/>
  <c r="AK72" i="31"/>
  <c r="AL87" i="31"/>
  <c r="BS29" i="31"/>
  <c r="J234" i="26"/>
  <c r="BN76" i="32"/>
  <c r="BN78" i="32"/>
  <c r="AK30" i="31"/>
  <c r="AY87" i="32"/>
  <c r="BX9" i="32"/>
  <c r="T97" i="31"/>
  <c r="T106" i="31"/>
  <c r="T90" i="31"/>
  <c r="AB91" i="31"/>
  <c r="AM72" i="31"/>
  <c r="AM89" i="31"/>
  <c r="AM175" i="31"/>
  <c r="AM177" i="31" s="1"/>
  <c r="AM97" i="32" s="1"/>
  <c r="BW13" i="31"/>
  <c r="BW52" i="31"/>
  <c r="K64" i="31"/>
  <c r="K68" i="31"/>
  <c r="K75" i="31" s="1"/>
  <c r="W106" i="31"/>
  <c r="W90" i="31"/>
  <c r="W97" i="31"/>
  <c r="BU23" i="31"/>
  <c r="G78" i="33"/>
  <c r="G77" i="33" s="1"/>
  <c r="G81" i="33" s="1"/>
  <c r="G68" i="33"/>
  <c r="BM68" i="33" s="1"/>
  <c r="BM66" i="33"/>
  <c r="H66" i="33"/>
  <c r="G67" i="33"/>
  <c r="G69" i="33"/>
  <c r="G72" i="33" s="1"/>
  <c r="AC90" i="31"/>
  <c r="AC106" i="31"/>
  <c r="AC97" i="31"/>
  <c r="BA83" i="31"/>
  <c r="BB83" i="31" s="1"/>
  <c r="BC83" i="31" s="1"/>
  <c r="BD83" i="31" s="1"/>
  <c r="BN23" i="31"/>
  <c r="BR236" i="26"/>
  <c r="BR240" i="26"/>
  <c r="BR235" i="26"/>
  <c r="E90" i="31"/>
  <c r="E97" i="31"/>
  <c r="E106" i="31"/>
  <c r="Q278" i="26"/>
  <c r="Q274" i="26"/>
  <c r="Q272" i="26"/>
  <c r="Q273" i="26"/>
  <c r="U273" i="26"/>
  <c r="R272" i="26"/>
  <c r="AT52" i="31"/>
  <c r="BN80" i="32"/>
  <c r="BN81" i="32"/>
  <c r="Y30" i="31"/>
  <c r="BS50" i="31"/>
  <c r="BS67" i="31"/>
  <c r="AG72" i="31"/>
  <c r="AG89" i="31"/>
  <c r="AG175" i="31"/>
  <c r="AG177" i="31" s="1"/>
  <c r="AG97" i="32" s="1"/>
  <c r="M272" i="26"/>
  <c r="N272" i="26"/>
  <c r="M274" i="26"/>
  <c r="M273" i="26"/>
  <c r="M278" i="26"/>
  <c r="BT201" i="26"/>
  <c r="BS205" i="26"/>
  <c r="BS201" i="26"/>
  <c r="BW22" i="31"/>
  <c r="BW20" i="31"/>
  <c r="BW21" i="31" s="1"/>
  <c r="BQ23" i="31"/>
  <c r="BQ29" i="31"/>
  <c r="BQ21" i="31"/>
  <c r="BQ27" i="31"/>
  <c r="BQ52" i="31"/>
  <c r="BQ13" i="31"/>
  <c r="M30" i="31"/>
  <c r="M75" i="31"/>
  <c r="AQ215" i="26"/>
  <c r="AQ216" i="26"/>
  <c r="AQ233" i="26"/>
  <c r="AQ214" i="26"/>
  <c r="AT32" i="31"/>
  <c r="AU32" i="31"/>
  <c r="AT28" i="31"/>
  <c r="BW26" i="31"/>
  <c r="BW71" i="31"/>
  <c r="BY18" i="31"/>
  <c r="AQ89" i="31"/>
  <c r="AQ72" i="31"/>
  <c r="AQ175" i="31"/>
  <c r="AQ177" i="31" s="1"/>
  <c r="AQ97" i="32" s="1"/>
  <c r="AI73" i="31"/>
  <c r="AI32" i="31"/>
  <c r="AI28" i="31"/>
  <c r="Q32" i="31"/>
  <c r="P28" i="31"/>
  <c r="P32" i="31"/>
  <c r="BQ220" i="26"/>
  <c r="BQ221" i="26"/>
  <c r="G138" i="26"/>
  <c r="G133" i="26"/>
  <c r="G140" i="26"/>
  <c r="G135" i="26"/>
  <c r="G134" i="26"/>
  <c r="G128" i="26"/>
  <c r="G136" i="26"/>
  <c r="BS140" i="26"/>
  <c r="BS128" i="26"/>
  <c r="BS134" i="26"/>
  <c r="BS139" i="26"/>
  <c r="BS136" i="26"/>
  <c r="BS138" i="26"/>
  <c r="V89" i="31"/>
  <c r="V72" i="31"/>
  <c r="V175" i="31"/>
  <c r="V177" i="31" s="1"/>
  <c r="V97" i="32" s="1"/>
  <c r="BM52" i="31"/>
  <c r="BM68" i="31"/>
  <c r="BW42" i="31"/>
  <c r="BV23" i="31"/>
  <c r="BV29" i="31"/>
  <c r="BW81" i="26"/>
  <c r="AU81" i="26"/>
  <c r="X274" i="26"/>
  <c r="X272" i="26"/>
  <c r="X278" i="26"/>
  <c r="Y272" i="26"/>
  <c r="AB273" i="26"/>
  <c r="X273" i="26"/>
  <c r="BP68" i="31"/>
  <c r="BP52" i="31"/>
  <c r="BP216" i="26"/>
  <c r="BP233" i="26"/>
  <c r="BP215" i="26"/>
  <c r="BU81" i="26"/>
  <c r="BP68" i="32"/>
  <c r="BP71" i="32" s="1"/>
  <c r="AS28" i="31"/>
  <c r="AS32" i="31"/>
  <c r="BX51" i="31"/>
  <c r="BP50" i="32"/>
  <c r="BP49" i="32"/>
  <c r="BP48" i="32" s="1"/>
  <c r="F64" i="31"/>
  <c r="F68" i="31"/>
  <c r="F75" i="31" s="1"/>
  <c r="U28" i="31"/>
  <c r="U73" i="31"/>
  <c r="U32" i="31"/>
  <c r="D142" i="26"/>
  <c r="D144" i="26" s="1"/>
  <c r="I76" i="31"/>
  <c r="I93" i="31"/>
  <c r="R142" i="26"/>
  <c r="R144" i="26" s="1"/>
  <c r="BM78" i="32"/>
  <c r="V32" i="31"/>
  <c r="BS135" i="26"/>
  <c r="BS133" i="26"/>
  <c r="F67" i="31"/>
  <c r="F73" i="31" s="1"/>
  <c r="AA30" i="31"/>
  <c r="BR50" i="32"/>
  <c r="BR49" i="32"/>
  <c r="BR48" i="32" s="1"/>
  <c r="AS30" i="31"/>
  <c r="BR42" i="31"/>
  <c r="BR29" i="31"/>
  <c r="BR13" i="31"/>
  <c r="BR27" i="31"/>
  <c r="BS13" i="31"/>
  <c r="BR23" i="31"/>
  <c r="BW40" i="26"/>
  <c r="AN74" i="31"/>
  <c r="AJ32" i="31"/>
  <c r="AM142" i="26"/>
  <c r="AM144" i="26" s="1"/>
  <c r="E81" i="32"/>
  <c r="E95" i="32" s="1"/>
  <c r="E76" i="32"/>
  <c r="E78" i="32"/>
  <c r="E80" i="32"/>
  <c r="AG30" i="31"/>
  <c r="AG75" i="31"/>
  <c r="AD68" i="31"/>
  <c r="AD75" i="31" s="1"/>
  <c r="AD64" i="31"/>
  <c r="BA27" i="32"/>
  <c r="AZ25" i="33"/>
  <c r="BR52" i="31"/>
  <c r="I91" i="31"/>
  <c r="I74" i="31"/>
  <c r="BP67" i="31"/>
  <c r="AW90" i="32"/>
  <c r="AW92" i="32" s="1"/>
  <c r="Y63" i="31"/>
  <c r="Y67" i="31"/>
  <c r="Y73" i="31" s="1"/>
  <c r="AX47" i="33"/>
  <c r="BA37" i="32"/>
  <c r="BA22" i="32"/>
  <c r="AL234" i="26"/>
  <c r="AL240" i="26"/>
  <c r="AL235" i="26"/>
  <c r="AL236" i="26"/>
  <c r="BN135" i="26"/>
  <c r="BN140" i="26"/>
  <c r="BN136" i="26"/>
  <c r="BN139" i="26"/>
  <c r="BN138" i="26"/>
  <c r="BN134" i="26"/>
  <c r="BN128" i="26"/>
  <c r="R90" i="31"/>
  <c r="BV68" i="32"/>
  <c r="BV71" i="32" s="1"/>
  <c r="BO80" i="32"/>
  <c r="BO81" i="32"/>
  <c r="BV80" i="32"/>
  <c r="BV81" i="32"/>
  <c r="AJ30" i="31"/>
  <c r="BS268" i="26"/>
  <c r="BO268" i="26"/>
  <c r="BO269" i="26"/>
  <c r="H89" i="31"/>
  <c r="H175" i="31"/>
  <c r="H177" i="31" s="1"/>
  <c r="H97" i="32" s="1"/>
  <c r="H72" i="31"/>
  <c r="BV51" i="32"/>
  <c r="BV47" i="32"/>
  <c r="BT68" i="32"/>
  <c r="BT71" i="32" s="1"/>
  <c r="BN269" i="26"/>
  <c r="BN271" i="26"/>
  <c r="BP81" i="32"/>
  <c r="BP80" i="32"/>
  <c r="BP84" i="31"/>
  <c r="BP87" i="31" s="1"/>
  <c r="BP86" i="31"/>
  <c r="AT61" i="31"/>
  <c r="BW60" i="31"/>
  <c r="BW61" i="31" s="1"/>
  <c r="BW63" i="31" s="1"/>
  <c r="AT85" i="31"/>
  <c r="BO13" i="31"/>
  <c r="BO52" i="31"/>
  <c r="BO29" i="31"/>
  <c r="BO21" i="31"/>
  <c r="BO50" i="31"/>
  <c r="BO27" i="31"/>
  <c r="BW76" i="32"/>
  <c r="BW81" i="32"/>
  <c r="D43" i="32"/>
  <c r="F72" i="31"/>
  <c r="F175" i="31"/>
  <c r="F177" i="31" s="1"/>
  <c r="F97" i="32" s="1"/>
  <c r="F89" i="31"/>
  <c r="BS49" i="32"/>
  <c r="BS48" i="32" s="1"/>
  <c r="BS50" i="32"/>
  <c r="BN29" i="31"/>
  <c r="BN13" i="31"/>
  <c r="BN52" i="31"/>
  <c r="BN40" i="31"/>
  <c r="BN42" i="31"/>
  <c r="BN50" i="31"/>
  <c r="BN27" i="31"/>
  <c r="O273" i="26"/>
  <c r="O274" i="26"/>
  <c r="O278" i="26"/>
  <c r="O272" i="26"/>
  <c r="BW50" i="31"/>
  <c r="AR214" i="26"/>
  <c r="BU23" i="32"/>
  <c r="BU43" i="32" s="1"/>
  <c r="BU82" i="32"/>
  <c r="BU84" i="31"/>
  <c r="BU87" i="31" s="1"/>
  <c r="BU86" i="31"/>
  <c r="V63" i="31"/>
  <c r="V67" i="31"/>
  <c r="V73" i="31" s="1"/>
  <c r="BQ40" i="31"/>
  <c r="BQ67" i="31"/>
  <c r="BV49" i="32"/>
  <c r="BV48" i="32" s="1"/>
  <c r="BV50" i="32"/>
  <c r="AA32" i="31"/>
  <c r="Z32" i="31"/>
  <c r="Z28" i="31"/>
  <c r="BW34" i="26"/>
  <c r="BR273" i="26"/>
  <c r="BR278" i="26"/>
  <c r="BR274" i="26"/>
  <c r="BS272" i="26"/>
  <c r="H91" i="31"/>
  <c r="AP216" i="26"/>
  <c r="BV213" i="26"/>
  <c r="AP233" i="26"/>
  <c r="AP215" i="26"/>
  <c r="AP214" i="26"/>
  <c r="BY19" i="32"/>
  <c r="BQ103" i="31"/>
  <c r="BT47" i="32"/>
  <c r="BT51" i="32"/>
  <c r="BQ71" i="31"/>
  <c r="BQ26" i="31"/>
  <c r="D93" i="31"/>
  <c r="D76" i="31"/>
  <c r="BA61" i="32"/>
  <c r="AJ90" i="31"/>
  <c r="AJ106" i="31"/>
  <c r="AJ97" i="31"/>
  <c r="BQ215" i="26"/>
  <c r="BX33" i="32"/>
  <c r="AY91" i="32"/>
  <c r="AA72" i="31"/>
  <c r="AA89" i="31"/>
  <c r="AA175" i="31"/>
  <c r="AA177" i="31" s="1"/>
  <c r="AA97" i="32" s="1"/>
  <c r="AP30" i="31"/>
  <c r="AP75" i="31"/>
  <c r="AR30" i="31"/>
  <c r="AR75" i="31"/>
  <c r="AU97" i="31"/>
  <c r="AU106" i="31"/>
  <c r="AU90" i="31"/>
  <c r="L63" i="31"/>
  <c r="L67" i="31"/>
  <c r="L73" i="31" s="1"/>
  <c r="P272" i="26"/>
  <c r="BM23" i="32"/>
  <c r="BM43" i="32" s="1"/>
  <c r="BM82" i="32"/>
  <c r="BX45" i="33"/>
  <c r="M74" i="31"/>
  <c r="I106" i="31"/>
  <c r="G97" i="31"/>
  <c r="G106" i="31"/>
  <c r="G90" i="31"/>
  <c r="BW80" i="32"/>
  <c r="BS235" i="26"/>
  <c r="BN21" i="31"/>
  <c r="AF92" i="31"/>
  <c r="BP126" i="26"/>
  <c r="AU50" i="31"/>
  <c r="AU67" i="31"/>
  <c r="AU52" i="31"/>
  <c r="AU68" i="31"/>
  <c r="AU75" i="31" s="1"/>
  <c r="AU48" i="32"/>
  <c r="BO126" i="26"/>
  <c r="AO94" i="32"/>
  <c r="AO97" i="32" s="1"/>
  <c r="BN68" i="32"/>
  <c r="BN71" i="32" s="1"/>
  <c r="AT175" i="31"/>
  <c r="AT177" i="31" s="1"/>
  <c r="AT97" i="32" s="1"/>
  <c r="AT89" i="31"/>
  <c r="AT72" i="31"/>
  <c r="Z274" i="26"/>
  <c r="AA272" i="26"/>
  <c r="AD273" i="26"/>
  <c r="Z273" i="26"/>
  <c r="Z272" i="26"/>
  <c r="Z278" i="26"/>
  <c r="BQ81" i="32"/>
  <c r="BQ80" i="32"/>
  <c r="AM21" i="31"/>
  <c r="AM27" i="31"/>
  <c r="BO40" i="31"/>
  <c r="BP226" i="26"/>
  <c r="BP225" i="26"/>
  <c r="BR221" i="26"/>
  <c r="BR220" i="26"/>
  <c r="BS220" i="26"/>
  <c r="J142" i="26"/>
  <c r="J144" i="26" s="1"/>
  <c r="BO71" i="32"/>
  <c r="N72" i="31"/>
  <c r="N175" i="31"/>
  <c r="N177" i="31" s="1"/>
  <c r="N97" i="32" s="1"/>
  <c r="N89" i="31"/>
  <c r="AT29" i="31"/>
  <c r="AT23" i="31"/>
  <c r="BM29" i="31"/>
  <c r="BM23" i="31"/>
  <c r="BM27" i="31"/>
  <c r="BM42" i="31"/>
  <c r="BM64" i="31"/>
  <c r="AK68" i="31"/>
  <c r="AK75" i="31" s="1"/>
  <c r="AK64" i="31"/>
  <c r="BO271" i="26"/>
  <c r="BV68" i="31"/>
  <c r="BV42" i="31"/>
  <c r="BS26" i="31"/>
  <c r="BS71" i="31"/>
  <c r="BS21" i="31"/>
  <c r="BS27" i="31"/>
  <c r="BP13" i="31"/>
  <c r="BP42" i="31"/>
  <c r="BP21" i="31"/>
  <c r="BP27" i="31"/>
  <c r="BP29" i="31"/>
  <c r="BP23" i="31"/>
  <c r="BP50" i="31"/>
  <c r="G139" i="26"/>
  <c r="BT139" i="26"/>
  <c r="BT138" i="26"/>
  <c r="BT134" i="26"/>
  <c r="BT133" i="26"/>
  <c r="BT135" i="26"/>
  <c r="BT136" i="26"/>
  <c r="BT128" i="26"/>
  <c r="BU81" i="32"/>
  <c r="BU80" i="32"/>
  <c r="BR64" i="31"/>
  <c r="BW40" i="31"/>
  <c r="BQ68" i="31"/>
  <c r="BQ42" i="31"/>
  <c r="BR71" i="31"/>
  <c r="BR26" i="31"/>
  <c r="S30" i="31"/>
  <c r="S75" i="31"/>
  <c r="K28" i="31"/>
  <c r="K32" i="31"/>
  <c r="K73" i="31"/>
  <c r="BN26" i="31"/>
  <c r="BP271" i="26"/>
  <c r="BT268" i="26"/>
  <c r="BP269" i="26"/>
  <c r="BP268" i="26"/>
  <c r="H68" i="31"/>
  <c r="H75" i="31" s="1"/>
  <c r="H64" i="31"/>
  <c r="G75" i="31"/>
  <c r="G30" i="31"/>
  <c r="AJ64" i="31"/>
  <c r="AJ68" i="31"/>
  <c r="AJ75" i="31" s="1"/>
  <c r="K76" i="32"/>
  <c r="K81" i="32"/>
  <c r="K95" i="32" s="1"/>
  <c r="K80" i="32"/>
  <c r="BU52" i="31"/>
  <c r="BU42" i="31"/>
  <c r="BU27" i="31"/>
  <c r="BU13" i="31"/>
  <c r="BU50" i="31"/>
  <c r="BU29" i="31"/>
  <c r="BU40" i="31"/>
  <c r="BT26" i="31"/>
  <c r="BT28" i="31"/>
  <c r="BW78" i="32"/>
  <c r="BY145" i="31"/>
  <c r="K78" i="32"/>
  <c r="BU89" i="31"/>
  <c r="BM67" i="31"/>
  <c r="AR32" i="31"/>
  <c r="AR28" i="31"/>
  <c r="BM80" i="32"/>
  <c r="BM81" i="32"/>
  <c r="BQ64" i="31"/>
  <c r="BQ50" i="31"/>
  <c r="AX21" i="33"/>
  <c r="AY21" i="33" s="1"/>
  <c r="AS106" i="31"/>
  <c r="AS90" i="31"/>
  <c r="AQ98" i="31"/>
  <c r="BW82" i="32"/>
  <c r="BW23" i="32"/>
  <c r="BW43" i="32" s="1"/>
  <c r="BX59" i="26"/>
  <c r="BX61" i="26" s="1"/>
  <c r="BO23" i="31"/>
  <c r="BA143" i="31"/>
  <c r="BA140" i="31"/>
  <c r="BA75" i="32" s="1"/>
  <c r="BN49" i="32"/>
  <c r="BN48" i="32" s="1"/>
  <c r="BN50" i="32"/>
  <c r="CO8" i="26"/>
  <c r="CO10" i="26" s="1"/>
  <c r="CO30" i="26"/>
  <c r="BX108" i="31"/>
  <c r="BA60" i="31"/>
  <c r="D74" i="31" l="1"/>
  <c r="D91" i="31"/>
  <c r="X106" i="31"/>
  <c r="X122" i="31" s="1"/>
  <c r="BV73" i="31"/>
  <c r="X97" i="31"/>
  <c r="W240" i="26"/>
  <c r="BB99" i="31"/>
  <c r="BB44" i="33"/>
  <c r="BM72" i="31"/>
  <c r="G130" i="31"/>
  <c r="AH112" i="31"/>
  <c r="AQ74" i="31"/>
  <c r="X93" i="31"/>
  <c r="Q91" i="31"/>
  <c r="Q110" i="31" s="1"/>
  <c r="AQ112" i="26"/>
  <c r="AQ102" i="26" s="1"/>
  <c r="AQ104" i="26" s="1"/>
  <c r="AA74" i="31"/>
  <c r="AH76" i="31"/>
  <c r="AH94" i="31"/>
  <c r="AB104" i="31"/>
  <c r="AB112" i="31"/>
  <c r="AB113" i="31" s="1"/>
  <c r="AD106" i="31"/>
  <c r="AD97" i="31"/>
  <c r="AN90" i="31"/>
  <c r="X97" i="32"/>
  <c r="BI11" i="33"/>
  <c r="BJ11" i="33" s="1"/>
  <c r="BK11" i="33" s="1"/>
  <c r="AZ75" i="32"/>
  <c r="BV81" i="26"/>
  <c r="BU137" i="26"/>
  <c r="BU142" i="26" s="1"/>
  <c r="BU144" i="26" s="1"/>
  <c r="BR137" i="26"/>
  <c r="BR142" i="26" s="1"/>
  <c r="BR144" i="26" s="1"/>
  <c r="W234" i="26"/>
  <c r="BQ142" i="26"/>
  <c r="BQ144" i="26" s="1"/>
  <c r="O236" i="26"/>
  <c r="BV207" i="26"/>
  <c r="I234" i="26"/>
  <c r="X234" i="26"/>
  <c r="CA85" i="31"/>
  <c r="BI145" i="31"/>
  <c r="BJ145" i="31" s="1"/>
  <c r="BK145" i="31" s="1"/>
  <c r="BI18" i="31"/>
  <c r="BJ18" i="31" s="1"/>
  <c r="BK18" i="31" s="1"/>
  <c r="BZ59" i="32"/>
  <c r="BH59" i="32"/>
  <c r="BZ67" i="32"/>
  <c r="BH67" i="32"/>
  <c r="BZ36" i="32"/>
  <c r="BH36" i="32"/>
  <c r="BZ35" i="32"/>
  <c r="BH35" i="32"/>
  <c r="BZ34" i="32"/>
  <c r="BH34" i="32"/>
  <c r="BZ60" i="32"/>
  <c r="BH60" i="32"/>
  <c r="BI17" i="32"/>
  <c r="BJ50" i="32"/>
  <c r="T234" i="26"/>
  <c r="O76" i="31"/>
  <c r="P90" i="31"/>
  <c r="AN91" i="31"/>
  <c r="AN92" i="31" s="1"/>
  <c r="G74" i="31"/>
  <c r="AR236" i="26"/>
  <c r="AO236" i="26"/>
  <c r="AB90" i="31"/>
  <c r="P97" i="31"/>
  <c r="J68" i="31"/>
  <c r="J75" i="31" s="1"/>
  <c r="J76" i="31" s="1"/>
  <c r="AF93" i="31"/>
  <c r="AF112" i="31" s="1"/>
  <c r="AE91" i="31"/>
  <c r="AE102" i="31" s="1"/>
  <c r="AR234" i="26"/>
  <c r="S240" i="26"/>
  <c r="W236" i="26"/>
  <c r="AS240" i="26"/>
  <c r="M235" i="26"/>
  <c r="AS235" i="26"/>
  <c r="I236" i="26"/>
  <c r="I235" i="26"/>
  <c r="AJ234" i="26"/>
  <c r="AI234" i="26"/>
  <c r="AI236" i="26"/>
  <c r="BZ11" i="33"/>
  <c r="BF19" i="32"/>
  <c r="BF10" i="31"/>
  <c r="BD39" i="31"/>
  <c r="BE36" i="31"/>
  <c r="BE17" i="31"/>
  <c r="BE83" i="31"/>
  <c r="BF83" i="31" s="1"/>
  <c r="BG83" i="31" s="1"/>
  <c r="BH83" i="31" s="1"/>
  <c r="BZ145" i="31"/>
  <c r="BZ18" i="31"/>
  <c r="AO235" i="26"/>
  <c r="AB106" i="31"/>
  <c r="AB107" i="31" s="1"/>
  <c r="BV28" i="31"/>
  <c r="AL106" i="31"/>
  <c r="AL107" i="31" s="1"/>
  <c r="S235" i="26"/>
  <c r="S236" i="26"/>
  <c r="AM235" i="26"/>
  <c r="W235" i="26"/>
  <c r="BV221" i="26"/>
  <c r="AI235" i="26"/>
  <c r="BV226" i="26"/>
  <c r="AS234" i="26"/>
  <c r="AT81" i="26"/>
  <c r="BU236" i="26"/>
  <c r="S74" i="31"/>
  <c r="AF102" i="31"/>
  <c r="AD74" i="31"/>
  <c r="R97" i="31"/>
  <c r="AM240" i="26"/>
  <c r="AN240" i="26"/>
  <c r="I97" i="31"/>
  <c r="Q104" i="31"/>
  <c r="AP90" i="31"/>
  <c r="AP106" i="31"/>
  <c r="AP107" i="31" s="1"/>
  <c r="AP91" i="31"/>
  <c r="AP92" i="31" s="1"/>
  <c r="AP112" i="26"/>
  <c r="AP102" i="26" s="1"/>
  <c r="AP107" i="26" s="1"/>
  <c r="AP109" i="26" s="1"/>
  <c r="AL97" i="31"/>
  <c r="AR235" i="26"/>
  <c r="AM234" i="26"/>
  <c r="BU235" i="26"/>
  <c r="S142" i="26"/>
  <c r="S144" i="26" s="1"/>
  <c r="O142" i="26"/>
  <c r="O144" i="26" s="1"/>
  <c r="K142" i="26"/>
  <c r="K144" i="26" s="1"/>
  <c r="BO240" i="26"/>
  <c r="AO234" i="26"/>
  <c r="BS137" i="26"/>
  <c r="BS142" i="26" s="1"/>
  <c r="BS144" i="26" s="1"/>
  <c r="AN234" i="26"/>
  <c r="AN236" i="26"/>
  <c r="BO235" i="26"/>
  <c r="X107" i="31"/>
  <c r="Q132" i="31"/>
  <c r="BV106" i="31"/>
  <c r="BV122" i="31" s="1"/>
  <c r="BN67" i="31"/>
  <c r="BN73" i="31" s="1"/>
  <c r="D107" i="31"/>
  <c r="BV90" i="31"/>
  <c r="Q76" i="31"/>
  <c r="Q94" i="31"/>
  <c r="AE93" i="31"/>
  <c r="AE112" i="31" s="1"/>
  <c r="P76" i="31"/>
  <c r="N76" i="31"/>
  <c r="E76" i="31"/>
  <c r="AF74" i="31"/>
  <c r="W91" i="31"/>
  <c r="W102" i="31" s="1"/>
  <c r="T91" i="31"/>
  <c r="T110" i="31" s="1"/>
  <c r="N74" i="31"/>
  <c r="X110" i="31"/>
  <c r="X111" i="31" s="1"/>
  <c r="CP59" i="26"/>
  <c r="CP61" i="26" s="1"/>
  <c r="X74" i="31"/>
  <c r="AG74" i="31"/>
  <c r="AJ74" i="31"/>
  <c r="AH90" i="31"/>
  <c r="AK91" i="31"/>
  <c r="AK110" i="31" s="1"/>
  <c r="X92" i="31"/>
  <c r="T93" i="31"/>
  <c r="T94" i="31" s="1"/>
  <c r="E74" i="31"/>
  <c r="BT137" i="26"/>
  <c r="BN236" i="26"/>
  <c r="BN240" i="26"/>
  <c r="BN137" i="26"/>
  <c r="BN142" i="26" s="1"/>
  <c r="BN144" i="26" s="1"/>
  <c r="BX47" i="33"/>
  <c r="J97" i="31"/>
  <c r="AE106" i="31"/>
  <c r="AE107" i="31" s="1"/>
  <c r="AR90" i="31"/>
  <c r="AE97" i="31"/>
  <c r="O90" i="31"/>
  <c r="AR97" i="31"/>
  <c r="O97" i="31"/>
  <c r="Z93" i="31"/>
  <c r="Z112" i="31" s="1"/>
  <c r="Y90" i="31"/>
  <c r="S107" i="31"/>
  <c r="M90" i="31"/>
  <c r="AI97" i="31"/>
  <c r="J90" i="31"/>
  <c r="Y106" i="31"/>
  <c r="Y107" i="31" s="1"/>
  <c r="AH106" i="31"/>
  <c r="AH107" i="31" s="1"/>
  <c r="AO97" i="31"/>
  <c r="M97" i="31"/>
  <c r="AO91" i="31"/>
  <c r="AO110" i="31" s="1"/>
  <c r="AQ76" i="31"/>
  <c r="BO67" i="31"/>
  <c r="BO73" i="31" s="1"/>
  <c r="W64" i="31"/>
  <c r="W68" i="31"/>
  <c r="W75" i="31" s="1"/>
  <c r="K97" i="31"/>
  <c r="E110" i="31"/>
  <c r="E130" i="31" s="1"/>
  <c r="E92" i="31"/>
  <c r="E102" i="31"/>
  <c r="AI90" i="31"/>
  <c r="AO74" i="31"/>
  <c r="AO106" i="31"/>
  <c r="AO107" i="31" s="1"/>
  <c r="AL91" i="31"/>
  <c r="AL92" i="31" s="1"/>
  <c r="Z107" i="31"/>
  <c r="Z122" i="31"/>
  <c r="K90" i="31"/>
  <c r="AS68" i="31"/>
  <c r="AS75" i="31" s="1"/>
  <c r="AS76" i="31" s="1"/>
  <c r="AS64" i="31"/>
  <c r="R64" i="31"/>
  <c r="R68" i="31"/>
  <c r="R75" i="31" s="1"/>
  <c r="BB13" i="32"/>
  <c r="BB22" i="33" s="1"/>
  <c r="BW68" i="31"/>
  <c r="AM93" i="31"/>
  <c r="AM94" i="31" s="1"/>
  <c r="AM76" i="31"/>
  <c r="Q92" i="31"/>
  <c r="BA58" i="32"/>
  <c r="BB58" i="32" s="1"/>
  <c r="BC58" i="32" s="1"/>
  <c r="AZ62" i="32"/>
  <c r="AQ105" i="26"/>
  <c r="BX137" i="31"/>
  <c r="BA136" i="31"/>
  <c r="BB136" i="31" s="1"/>
  <c r="BC136" i="31" s="1"/>
  <c r="BD136" i="31" s="1"/>
  <c r="BE136" i="31" s="1"/>
  <c r="BF136" i="31" s="1"/>
  <c r="BG136" i="31" s="1"/>
  <c r="BX136" i="31"/>
  <c r="BX141" i="31" s="1"/>
  <c r="BW67" i="31"/>
  <c r="BW69" i="31" s="1"/>
  <c r="Q97" i="31"/>
  <c r="Q106" i="31"/>
  <c r="Q107" i="31" s="1"/>
  <c r="BT236" i="26"/>
  <c r="BT235" i="26"/>
  <c r="BT240" i="26"/>
  <c r="BX75" i="32"/>
  <c r="BT63" i="31"/>
  <c r="BT67" i="31"/>
  <c r="BT73" i="31" s="1"/>
  <c r="BT91" i="31" s="1"/>
  <c r="BY83" i="31"/>
  <c r="AQ107" i="26"/>
  <c r="K107" i="31"/>
  <c r="K122" i="31"/>
  <c r="BO72" i="31"/>
  <c r="BO89" i="31"/>
  <c r="AL64" i="31"/>
  <c r="AL68" i="31"/>
  <c r="AL75" i="31" s="1"/>
  <c r="AL76" i="31" s="1"/>
  <c r="AC64" i="31"/>
  <c r="AC68" i="31"/>
  <c r="AC75" i="31" s="1"/>
  <c r="AO68" i="31"/>
  <c r="AO75" i="31" s="1"/>
  <c r="AO93" i="31" s="1"/>
  <c r="AO64" i="31"/>
  <c r="BO68" i="31"/>
  <c r="BO75" i="31" s="1"/>
  <c r="BO64" i="31"/>
  <c r="AR107" i="31"/>
  <c r="AR122" i="31"/>
  <c r="AN107" i="31"/>
  <c r="AN122" i="31"/>
  <c r="D102" i="31"/>
  <c r="D92" i="31"/>
  <c r="D110" i="31"/>
  <c r="U122" i="31"/>
  <c r="U107" i="31"/>
  <c r="M122" i="31"/>
  <c r="M107" i="31"/>
  <c r="AF107" i="31"/>
  <c r="AF122" i="31"/>
  <c r="AH91" i="31"/>
  <c r="AH74" i="31"/>
  <c r="AA92" i="31"/>
  <c r="AA102" i="31"/>
  <c r="AA110" i="31"/>
  <c r="R91" i="31"/>
  <c r="R74" i="31"/>
  <c r="AC91" i="31"/>
  <c r="AC74" i="31"/>
  <c r="AF94" i="31"/>
  <c r="J74" i="31"/>
  <c r="J91" i="31"/>
  <c r="O74" i="31"/>
  <c r="O91" i="31"/>
  <c r="AN104" i="31"/>
  <c r="AN94" i="31"/>
  <c r="AN112" i="31"/>
  <c r="AK76" i="31"/>
  <c r="AK93" i="31"/>
  <c r="BX21" i="33"/>
  <c r="AJ76" i="31"/>
  <c r="AJ93" i="31"/>
  <c r="BU32" i="31"/>
  <c r="BU73" i="31"/>
  <c r="BU28" i="31"/>
  <c r="BP28" i="31"/>
  <c r="BP32" i="31"/>
  <c r="BP73" i="31"/>
  <c r="AT106" i="31"/>
  <c r="AT97" i="31"/>
  <c r="AT90" i="31"/>
  <c r="N112" i="31"/>
  <c r="N94" i="31"/>
  <c r="N104" i="31"/>
  <c r="AH113" i="31"/>
  <c r="AH132" i="31"/>
  <c r="BR73" i="31"/>
  <c r="BR28" i="31"/>
  <c r="BR32" i="31"/>
  <c r="F76" i="31"/>
  <c r="F93" i="31"/>
  <c r="AS107" i="31"/>
  <c r="AS122" i="31"/>
  <c r="P112" i="31"/>
  <c r="P104" i="31"/>
  <c r="P94" i="31"/>
  <c r="BN89" i="31"/>
  <c r="BN72" i="31"/>
  <c r="G107" i="31"/>
  <c r="G122" i="31"/>
  <c r="AJ122" i="31"/>
  <c r="AJ107" i="31"/>
  <c r="AG110" i="31"/>
  <c r="AG102" i="31"/>
  <c r="AG92" i="31"/>
  <c r="X112" i="31"/>
  <c r="X104" i="31"/>
  <c r="X94" i="31"/>
  <c r="BN274" i="26"/>
  <c r="BN278" i="26"/>
  <c r="BX28" i="32"/>
  <c r="BX24" i="33"/>
  <c r="S102" i="31"/>
  <c r="S92" i="31"/>
  <c r="S110" i="31"/>
  <c r="BT89" i="31"/>
  <c r="BT72" i="31"/>
  <c r="K74" i="31"/>
  <c r="K91" i="31"/>
  <c r="BM90" i="31"/>
  <c r="BM97" i="31"/>
  <c r="BM106" i="31"/>
  <c r="BT142" i="26"/>
  <c r="BT144" i="26" s="1"/>
  <c r="BP75" i="31"/>
  <c r="BP30" i="31"/>
  <c r="BM28" i="31"/>
  <c r="BM73" i="31"/>
  <c r="AT30" i="31"/>
  <c r="BO136" i="26"/>
  <c r="BO138" i="26"/>
  <c r="BO135" i="26"/>
  <c r="BO134" i="26"/>
  <c r="BO139" i="26"/>
  <c r="BO128" i="26"/>
  <c r="BO140" i="26"/>
  <c r="AU76" i="31"/>
  <c r="AU93" i="31"/>
  <c r="AU73" i="31"/>
  <c r="D125" i="31"/>
  <c r="D123" i="31"/>
  <c r="L64" i="31"/>
  <c r="L68" i="31"/>
  <c r="L75" i="31" s="1"/>
  <c r="AU107" i="31"/>
  <c r="AU122" i="31"/>
  <c r="AR76" i="31"/>
  <c r="AR93" i="31"/>
  <c r="AD110" i="31"/>
  <c r="AD102" i="31"/>
  <c r="AD92" i="31"/>
  <c r="BX46" i="31"/>
  <c r="BX49" i="31" s="1"/>
  <c r="O104" i="31"/>
  <c r="O94" i="31"/>
  <c r="O112" i="31"/>
  <c r="BB61" i="32"/>
  <c r="D112" i="31"/>
  <c r="D94" i="31"/>
  <c r="D104" i="31"/>
  <c r="AJ92" i="31"/>
  <c r="AJ110" i="31"/>
  <c r="AJ102" i="31"/>
  <c r="BV216" i="26"/>
  <c r="BV233" i="26"/>
  <c r="BV215" i="26"/>
  <c r="F97" i="31"/>
  <c r="F90" i="31"/>
  <c r="F106" i="31"/>
  <c r="BO30" i="31"/>
  <c r="BW64" i="31"/>
  <c r="BB22" i="32"/>
  <c r="BA26" i="33"/>
  <c r="AY47" i="33"/>
  <c r="I92" i="31"/>
  <c r="I102" i="31"/>
  <c r="I110" i="31"/>
  <c r="BB27" i="32"/>
  <c r="BA25" i="33"/>
  <c r="BV91" i="31"/>
  <c r="BV112" i="26"/>
  <c r="BV74" i="31"/>
  <c r="G142" i="26"/>
  <c r="G144" i="26" s="1"/>
  <c r="AD122" i="31"/>
  <c r="AD107" i="31"/>
  <c r="M76" i="31"/>
  <c r="M93" i="31"/>
  <c r="BQ73" i="31"/>
  <c r="BQ28" i="31"/>
  <c r="BQ32" i="31"/>
  <c r="E107" i="31"/>
  <c r="E122" i="31"/>
  <c r="BW27" i="31"/>
  <c r="AB92" i="31"/>
  <c r="AB102" i="31"/>
  <c r="AB110" i="31"/>
  <c r="BA9" i="32"/>
  <c r="AZ87" i="32"/>
  <c r="BS30" i="31"/>
  <c r="BS75" i="31"/>
  <c r="AK90" i="31"/>
  <c r="AK97" i="31"/>
  <c r="AK106" i="31"/>
  <c r="U94" i="31"/>
  <c r="U104" i="31"/>
  <c r="U112" i="31"/>
  <c r="BX12" i="32"/>
  <c r="BP278" i="26"/>
  <c r="BP273" i="26"/>
  <c r="BP274" i="26"/>
  <c r="BT273" i="26"/>
  <c r="BQ273" i="26"/>
  <c r="P74" i="31"/>
  <c r="P91" i="31"/>
  <c r="BW89" i="31"/>
  <c r="BW72" i="31"/>
  <c r="AQ236" i="26"/>
  <c r="AQ240" i="26"/>
  <c r="AQ234" i="26"/>
  <c r="AQ235" i="26"/>
  <c r="AG90" i="31"/>
  <c r="AG106" i="31"/>
  <c r="AG97" i="31"/>
  <c r="BP90" i="31"/>
  <c r="BP97" i="31"/>
  <c r="BP106" i="31"/>
  <c r="AI104" i="31"/>
  <c r="AI94" i="31"/>
  <c r="AI112" i="31"/>
  <c r="BU75" i="31"/>
  <c r="BU30" i="31"/>
  <c r="BR89" i="31"/>
  <c r="BR72" i="31"/>
  <c r="AM73" i="31"/>
  <c r="AM28" i="31"/>
  <c r="AN32" i="31"/>
  <c r="AM32" i="31"/>
  <c r="S123" i="31"/>
  <c r="S125" i="31"/>
  <c r="AS112" i="26"/>
  <c r="AS102" i="26" s="1"/>
  <c r="AW104" i="26" s="1"/>
  <c r="AS74" i="31"/>
  <c r="AS91" i="31"/>
  <c r="BP240" i="26"/>
  <c r="BP235" i="26"/>
  <c r="BP236" i="26"/>
  <c r="BQ235" i="26"/>
  <c r="AQ106" i="31"/>
  <c r="AQ90" i="31"/>
  <c r="BQ30" i="31"/>
  <c r="BQ75" i="31"/>
  <c r="BW23" i="31"/>
  <c r="AC122" i="31"/>
  <c r="AC107" i="31"/>
  <c r="H67" i="33"/>
  <c r="I66" i="33"/>
  <c r="H68" i="33"/>
  <c r="H78" i="33"/>
  <c r="H77" i="33" s="1"/>
  <c r="H81" i="33" s="1"/>
  <c r="H69" i="33"/>
  <c r="H72" i="33" s="1"/>
  <c r="T122" i="31"/>
  <c r="T107" i="31"/>
  <c r="L106" i="31"/>
  <c r="L97" i="31"/>
  <c r="L90" i="31"/>
  <c r="BB143" i="31"/>
  <c r="BB140" i="31"/>
  <c r="BB75" i="32" s="1"/>
  <c r="AQ94" i="31"/>
  <c r="H76" i="31"/>
  <c r="H93" i="31"/>
  <c r="BS73" i="31"/>
  <c r="BS32" i="31"/>
  <c r="BS28" i="31"/>
  <c r="BP140" i="26"/>
  <c r="BP138" i="26"/>
  <c r="BP128" i="26"/>
  <c r="BP135" i="26"/>
  <c r="BP139" i="26"/>
  <c r="BP134" i="26"/>
  <c r="BX34" i="31"/>
  <c r="I107" i="31"/>
  <c r="I122" i="31"/>
  <c r="AA97" i="31"/>
  <c r="AA90" i="31"/>
  <c r="AA106" i="31"/>
  <c r="BP136" i="26"/>
  <c r="BN30" i="31"/>
  <c r="BO28" i="31"/>
  <c r="BO32" i="31"/>
  <c r="AT67" i="31"/>
  <c r="AT63" i="31"/>
  <c r="BB37" i="32"/>
  <c r="BA46" i="33"/>
  <c r="Y91" i="31"/>
  <c r="Y74" i="31"/>
  <c r="AG93" i="31"/>
  <c r="AG76" i="31"/>
  <c r="AA93" i="31"/>
  <c r="AA76" i="31"/>
  <c r="BV32" i="31"/>
  <c r="I112" i="31"/>
  <c r="I94" i="31"/>
  <c r="I104" i="31"/>
  <c r="BM75" i="31"/>
  <c r="BM30" i="31"/>
  <c r="BP133" i="26"/>
  <c r="AF130" i="31"/>
  <c r="AF111" i="31"/>
  <c r="AP76" i="31"/>
  <c r="AP93" i="31"/>
  <c r="BQ72" i="31"/>
  <c r="BQ89" i="31"/>
  <c r="V74" i="31"/>
  <c r="V91" i="31"/>
  <c r="R122" i="31"/>
  <c r="R107" i="31"/>
  <c r="Y64" i="31"/>
  <c r="Y68" i="31"/>
  <c r="Y75" i="31" s="1"/>
  <c r="AD93" i="31"/>
  <c r="AD76" i="31"/>
  <c r="P122" i="31"/>
  <c r="P107" i="31"/>
  <c r="BY17" i="31"/>
  <c r="AQ101" i="31"/>
  <c r="AQ115" i="31"/>
  <c r="AQ116" i="31" s="1"/>
  <c r="BV98" i="31"/>
  <c r="AI107" i="31"/>
  <c r="AI122" i="31"/>
  <c r="AR74" i="31"/>
  <c r="AR112" i="26"/>
  <c r="AR102" i="26" s="1"/>
  <c r="AV104" i="26" s="1"/>
  <c r="AR91" i="31"/>
  <c r="BU97" i="31"/>
  <c r="BU106" i="31"/>
  <c r="BU90" i="31"/>
  <c r="AO105" i="26"/>
  <c r="AO103" i="26"/>
  <c r="AO104" i="26"/>
  <c r="AO107" i="26"/>
  <c r="J107" i="31"/>
  <c r="J122" i="31"/>
  <c r="BT32" i="31"/>
  <c r="G76" i="31"/>
  <c r="G93" i="31"/>
  <c r="S76" i="31"/>
  <c r="S93" i="31"/>
  <c r="BS72" i="31"/>
  <c r="BS89" i="31"/>
  <c r="BO274" i="26"/>
  <c r="BO278" i="26"/>
  <c r="BO273" i="26"/>
  <c r="BS273" i="26"/>
  <c r="N90" i="31"/>
  <c r="N106" i="31"/>
  <c r="N97" i="31"/>
  <c r="BN64" i="31"/>
  <c r="BN68" i="31"/>
  <c r="BN75" i="31" s="1"/>
  <c r="BO133" i="26"/>
  <c r="M102" i="31"/>
  <c r="M92" i="31"/>
  <c r="M110" i="31"/>
  <c r="L91" i="31"/>
  <c r="L74" i="31"/>
  <c r="N102" i="31"/>
  <c r="N92" i="31"/>
  <c r="N110" i="31"/>
  <c r="X123" i="31"/>
  <c r="X125" i="31"/>
  <c r="AZ91" i="32"/>
  <c r="BA33" i="32"/>
  <c r="AP236" i="26"/>
  <c r="AP235" i="26"/>
  <c r="AP240" i="26"/>
  <c r="AP234" i="26"/>
  <c r="H92" i="31"/>
  <c r="H110" i="31"/>
  <c r="H102" i="31"/>
  <c r="Z74" i="31"/>
  <c r="Z91" i="31"/>
  <c r="V68" i="31"/>
  <c r="V75" i="31" s="1"/>
  <c r="V64" i="31"/>
  <c r="BN28" i="31"/>
  <c r="BN32" i="31"/>
  <c r="BW85" i="31"/>
  <c r="AT86" i="31"/>
  <c r="AT84" i="31"/>
  <c r="H90" i="31"/>
  <c r="H97" i="31"/>
  <c r="H106" i="31"/>
  <c r="AX90" i="32"/>
  <c r="AX92" i="32" s="1"/>
  <c r="BX81" i="31"/>
  <c r="BX82" i="31" s="1"/>
  <c r="Q130" i="31"/>
  <c r="Q111" i="31"/>
  <c r="AN107" i="26"/>
  <c r="AN105" i="26"/>
  <c r="AN104" i="26"/>
  <c r="AN103" i="26"/>
  <c r="BR75" i="31"/>
  <c r="BR30" i="31"/>
  <c r="F74" i="31"/>
  <c r="F91" i="31"/>
  <c r="U91" i="31"/>
  <c r="U74" i="31"/>
  <c r="BV30" i="31"/>
  <c r="BV75" i="31"/>
  <c r="V97" i="31"/>
  <c r="V90" i="31"/>
  <c r="V106" i="31"/>
  <c r="AI74" i="31"/>
  <c r="AI91" i="31"/>
  <c r="E112" i="31"/>
  <c r="E104" i="31"/>
  <c r="E94" i="31"/>
  <c r="BM69" i="33"/>
  <c r="BM72" i="33" s="1"/>
  <c r="BM67" i="33"/>
  <c r="BM78" i="33"/>
  <c r="BM77" i="33" s="1"/>
  <c r="BM81" i="33" s="1"/>
  <c r="W107" i="31"/>
  <c r="W122" i="31"/>
  <c r="K76" i="31"/>
  <c r="K93" i="31"/>
  <c r="BW29" i="31"/>
  <c r="AM106" i="31"/>
  <c r="AM90" i="31"/>
  <c r="O122" i="31"/>
  <c r="O107" i="31"/>
  <c r="AT108" i="31"/>
  <c r="CP45" i="26"/>
  <c r="CP47" i="26" s="1"/>
  <c r="BX45" i="26"/>
  <c r="CP38" i="26"/>
  <c r="BA61" i="31"/>
  <c r="BA63" i="31" s="1"/>
  <c r="BB60" i="31"/>
  <c r="BA151" i="31"/>
  <c r="BA39" i="31"/>
  <c r="BA41" i="31"/>
  <c r="BA66" i="31"/>
  <c r="BA62" i="32" l="1"/>
  <c r="BC99" i="31"/>
  <c r="BC44" i="33"/>
  <c r="BY44" i="33" s="1"/>
  <c r="AB132" i="31"/>
  <c r="AN102" i="31"/>
  <c r="Q102" i="31"/>
  <c r="CA11" i="33"/>
  <c r="BI83" i="31"/>
  <c r="BJ83" i="31" s="1"/>
  <c r="BK83" i="31" s="1"/>
  <c r="CA145" i="31"/>
  <c r="CA18" i="31"/>
  <c r="CP40" i="26"/>
  <c r="CQ40" i="26"/>
  <c r="BK50" i="32"/>
  <c r="BJ17" i="32"/>
  <c r="BI60" i="32"/>
  <c r="BJ60" i="32" s="1"/>
  <c r="BK60" i="32" s="1"/>
  <c r="CA60" i="32" s="1"/>
  <c r="BI34" i="32"/>
  <c r="BJ34" i="32" s="1"/>
  <c r="BK34" i="32" s="1"/>
  <c r="CA34" i="32" s="1"/>
  <c r="BI35" i="32"/>
  <c r="BJ35" i="32" s="1"/>
  <c r="BK35" i="32" s="1"/>
  <c r="CA35" i="32" s="1"/>
  <c r="BI36" i="32"/>
  <c r="BJ36" i="32" s="1"/>
  <c r="BK36" i="32" s="1"/>
  <c r="CA36" i="32" s="1"/>
  <c r="BI67" i="32"/>
  <c r="BJ67" i="32" s="1"/>
  <c r="BK67" i="32" s="1"/>
  <c r="CA67" i="32" s="1"/>
  <c r="BI59" i="32"/>
  <c r="BJ59" i="32" s="1"/>
  <c r="BK59" i="32" s="1"/>
  <c r="CA59" i="32" s="1"/>
  <c r="AB122" i="31"/>
  <c r="AB125" i="31" s="1"/>
  <c r="AF104" i="31"/>
  <c r="J93" i="31"/>
  <c r="J112" i="31" s="1"/>
  <c r="AN110" i="31"/>
  <c r="AN130" i="31" s="1"/>
  <c r="AE110" i="31"/>
  <c r="AE111" i="31" s="1"/>
  <c r="AE92" i="31"/>
  <c r="AP110" i="31"/>
  <c r="AP130" i="31" s="1"/>
  <c r="AP102" i="31"/>
  <c r="AQ103" i="26"/>
  <c r="BY58" i="32"/>
  <c r="BD58" i="32"/>
  <c r="BG19" i="32"/>
  <c r="BH19" i="32" s="1"/>
  <c r="BY139" i="31"/>
  <c r="BF17" i="31"/>
  <c r="BD137" i="31"/>
  <c r="BZ83" i="31"/>
  <c r="BE39" i="31"/>
  <c r="BF36" i="31"/>
  <c r="BG10" i="31"/>
  <c r="BH10" i="31" s="1"/>
  <c r="AL122" i="31"/>
  <c r="AL123" i="31" s="1"/>
  <c r="AP110" i="26"/>
  <c r="AP108" i="26"/>
  <c r="AE94" i="31"/>
  <c r="AL125" i="31"/>
  <c r="AL127" i="31" s="1"/>
  <c r="AP103" i="26"/>
  <c r="AP105" i="26"/>
  <c r="BV102" i="26"/>
  <c r="BV105" i="26" s="1"/>
  <c r="AP114" i="26"/>
  <c r="AQ108" i="26"/>
  <c r="AP122" i="31"/>
  <c r="AP125" i="31" s="1"/>
  <c r="AP127" i="31" s="1"/>
  <c r="AP104" i="26"/>
  <c r="BV107" i="31"/>
  <c r="X130" i="31"/>
  <c r="AE104" i="31"/>
  <c r="W110" i="31"/>
  <c r="W130" i="31" s="1"/>
  <c r="W92" i="31"/>
  <c r="T92" i="31"/>
  <c r="T102" i="31"/>
  <c r="T104" i="31"/>
  <c r="AK102" i="31"/>
  <c r="BA59" i="26"/>
  <c r="BB59" i="26" s="1"/>
  <c r="AK92" i="31"/>
  <c r="Z94" i="31"/>
  <c r="Y122" i="31"/>
  <c r="Y123" i="31" s="1"/>
  <c r="AE122" i="31"/>
  <c r="AE123" i="31" s="1"/>
  <c r="Z104" i="31"/>
  <c r="T112" i="31"/>
  <c r="T113" i="31" s="1"/>
  <c r="AO92" i="31"/>
  <c r="E111" i="31"/>
  <c r="AL102" i="31"/>
  <c r="AH122" i="31"/>
  <c r="AH125" i="31" s="1"/>
  <c r="AQ114" i="26"/>
  <c r="AO102" i="31"/>
  <c r="AL110" i="31"/>
  <c r="AL111" i="31" s="1"/>
  <c r="AO122" i="31"/>
  <c r="AO123" i="31" s="1"/>
  <c r="W93" i="31"/>
  <c r="W76" i="31"/>
  <c r="Z125" i="31"/>
  <c r="Z123" i="31"/>
  <c r="AQ110" i="26"/>
  <c r="AQ109" i="26"/>
  <c r="AS93" i="31"/>
  <c r="AS112" i="31" s="1"/>
  <c r="AO76" i="31"/>
  <c r="AL93" i="31"/>
  <c r="AL104" i="31" s="1"/>
  <c r="BU112" i="26"/>
  <c r="BU102" i="26" s="1"/>
  <c r="BU105" i="26" s="1"/>
  <c r="BT74" i="31"/>
  <c r="R76" i="31"/>
  <c r="R93" i="31"/>
  <c r="CP32" i="26"/>
  <c r="CP41" i="26"/>
  <c r="BC13" i="32"/>
  <c r="Q122" i="31"/>
  <c r="Q125" i="31" s="1"/>
  <c r="BT68" i="31"/>
  <c r="BT75" i="31" s="1"/>
  <c r="BT64" i="31"/>
  <c r="AC93" i="31"/>
  <c r="AC76" i="31"/>
  <c r="BO90" i="31"/>
  <c r="BO97" i="31"/>
  <c r="BO106" i="31"/>
  <c r="K125" i="31"/>
  <c r="K123" i="31"/>
  <c r="AN125" i="31"/>
  <c r="AN123" i="31"/>
  <c r="AR123" i="31"/>
  <c r="AR125" i="31"/>
  <c r="D130" i="31"/>
  <c r="D111" i="31"/>
  <c r="AF123" i="31"/>
  <c r="AF125" i="31"/>
  <c r="U125" i="31"/>
  <c r="U123" i="31"/>
  <c r="M125" i="31"/>
  <c r="M123" i="31"/>
  <c r="AE130" i="31"/>
  <c r="AC92" i="31"/>
  <c r="AC102" i="31"/>
  <c r="AC110" i="31"/>
  <c r="J102" i="31"/>
  <c r="J110" i="31"/>
  <c r="J92" i="31"/>
  <c r="AN132" i="31"/>
  <c r="AN113" i="31"/>
  <c r="AO104" i="31"/>
  <c r="AO94" i="31"/>
  <c r="AO112" i="31"/>
  <c r="R102" i="31"/>
  <c r="R92" i="31"/>
  <c r="R110" i="31"/>
  <c r="AF132" i="31"/>
  <c r="AF113" i="31"/>
  <c r="O92" i="31"/>
  <c r="O102" i="31"/>
  <c r="O110" i="31"/>
  <c r="AA130" i="31"/>
  <c r="AA111" i="31"/>
  <c r="AH102" i="31"/>
  <c r="AH92" i="31"/>
  <c r="AH110" i="31"/>
  <c r="BN76" i="31"/>
  <c r="BN93" i="31"/>
  <c r="H107" i="31"/>
  <c r="H122" i="31"/>
  <c r="J125" i="31"/>
  <c r="J123" i="31"/>
  <c r="AQ103" i="31"/>
  <c r="AQ102" i="31"/>
  <c r="AQ110" i="31"/>
  <c r="AB123" i="31"/>
  <c r="V92" i="31"/>
  <c r="V102" i="31"/>
  <c r="V110" i="31"/>
  <c r="I113" i="31"/>
  <c r="I132" i="31"/>
  <c r="AA122" i="31"/>
  <c r="AA107" i="31"/>
  <c r="AC123" i="31"/>
  <c r="AC125" i="31"/>
  <c r="BA12" i="32"/>
  <c r="BA21" i="33" s="1"/>
  <c r="AB111" i="31"/>
  <c r="AB130" i="31"/>
  <c r="AM107" i="31"/>
  <c r="AM122" i="31"/>
  <c r="E132" i="31"/>
  <c r="E113" i="31"/>
  <c r="BV93" i="31"/>
  <c r="BV76" i="31"/>
  <c r="BW84" i="31"/>
  <c r="BW86" i="31"/>
  <c r="N111" i="31"/>
  <c r="N130" i="31"/>
  <c r="AR102" i="31"/>
  <c r="AR92" i="31"/>
  <c r="AR110" i="31"/>
  <c r="Y76" i="31"/>
  <c r="Y93" i="31"/>
  <c r="BM76" i="31"/>
  <c r="BM93" i="31"/>
  <c r="Y110" i="31"/>
  <c r="Y92" i="31"/>
  <c r="Y102" i="31"/>
  <c r="AT64" i="31"/>
  <c r="AT68" i="31"/>
  <c r="AT75" i="31" s="1"/>
  <c r="O125" i="31"/>
  <c r="O123" i="31"/>
  <c r="K104" i="31"/>
  <c r="K112" i="31"/>
  <c r="K94" i="31"/>
  <c r="W123" i="31"/>
  <c r="W125" i="31"/>
  <c r="F102" i="31"/>
  <c r="F110" i="31"/>
  <c r="F92" i="31"/>
  <c r="AN108" i="26"/>
  <c r="AN114" i="26"/>
  <c r="AN109" i="26"/>
  <c r="AN110" i="26"/>
  <c r="AK130" i="31"/>
  <c r="AK111" i="31"/>
  <c r="AT87" i="31"/>
  <c r="BN74" i="31"/>
  <c r="BN91" i="31"/>
  <c r="Z102" i="31"/>
  <c r="Z110" i="31"/>
  <c r="Z92" i="31"/>
  <c r="X127" i="31"/>
  <c r="X8" i="33"/>
  <c r="X102" i="32"/>
  <c r="X129" i="31"/>
  <c r="N107" i="31"/>
  <c r="N122" i="31"/>
  <c r="S104" i="31"/>
  <c r="S94" i="31"/>
  <c r="S112" i="31"/>
  <c r="BU107" i="31"/>
  <c r="BU122" i="31"/>
  <c r="BX20" i="32"/>
  <c r="AA112" i="31"/>
  <c r="AA94" i="31"/>
  <c r="AA104" i="31"/>
  <c r="AG94" i="31"/>
  <c r="AG104" i="31"/>
  <c r="AG112" i="31"/>
  <c r="BC37" i="32"/>
  <c r="BD37" i="32" s="1"/>
  <c r="BB46" i="33"/>
  <c r="I123" i="31"/>
  <c r="I125" i="31"/>
  <c r="H94" i="31"/>
  <c r="H104" i="31"/>
  <c r="H112" i="31"/>
  <c r="T123" i="31"/>
  <c r="T125" i="31"/>
  <c r="AE113" i="31"/>
  <c r="AE132" i="31"/>
  <c r="AS110" i="31"/>
  <c r="AS92" i="31"/>
  <c r="AS102" i="31"/>
  <c r="BU93" i="31"/>
  <c r="BU76" i="31"/>
  <c r="AG107" i="31"/>
  <c r="AG122" i="31"/>
  <c r="P102" i="31"/>
  <c r="P92" i="31"/>
  <c r="P110" i="31"/>
  <c r="U113" i="31"/>
  <c r="U132" i="31"/>
  <c r="BW32" i="31"/>
  <c r="BW73" i="31"/>
  <c r="BW28" i="31"/>
  <c r="BV92" i="31"/>
  <c r="BC27" i="32"/>
  <c r="BD27" i="32" s="1"/>
  <c r="BB25" i="33"/>
  <c r="BA45" i="33"/>
  <c r="AZ47" i="33"/>
  <c r="BC22" i="32"/>
  <c r="AR112" i="31"/>
  <c r="AR94" i="31"/>
  <c r="AR104" i="31"/>
  <c r="BW66" i="32"/>
  <c r="BM122" i="31"/>
  <c r="BM107" i="31"/>
  <c r="X113" i="31"/>
  <c r="X132" i="31"/>
  <c r="G123" i="31"/>
  <c r="G125" i="31"/>
  <c r="AJ104" i="31"/>
  <c r="AJ112" i="31"/>
  <c r="AJ94" i="31"/>
  <c r="AI125" i="31"/>
  <c r="AI123" i="31"/>
  <c r="L122" i="31"/>
  <c r="L107" i="31"/>
  <c r="AZ65" i="32"/>
  <c r="BA65" i="32" s="1"/>
  <c r="BX65" i="32"/>
  <c r="O113" i="31"/>
  <c r="O132" i="31"/>
  <c r="L76" i="31"/>
  <c r="L93" i="31"/>
  <c r="BT110" i="31"/>
  <c r="BT102" i="31"/>
  <c r="BT92" i="31"/>
  <c r="AJ123" i="31"/>
  <c r="AJ125" i="31"/>
  <c r="F94" i="31"/>
  <c r="F112" i="31"/>
  <c r="F104" i="31"/>
  <c r="BR74" i="31"/>
  <c r="BR91" i="31"/>
  <c r="AT122" i="31"/>
  <c r="AT107" i="31"/>
  <c r="AT8" i="33"/>
  <c r="AT27" i="33" s="1"/>
  <c r="L110" i="31"/>
  <c r="L102" i="31"/>
  <c r="L92" i="31"/>
  <c r="G112" i="31"/>
  <c r="G104" i="31"/>
  <c r="G94" i="31"/>
  <c r="R125" i="31"/>
  <c r="R123" i="31"/>
  <c r="BX39" i="31"/>
  <c r="BX67" i="31" s="1"/>
  <c r="BX66" i="31"/>
  <c r="BX41" i="31"/>
  <c r="BX151" i="31"/>
  <c r="AQ107" i="31"/>
  <c r="AQ122" i="31"/>
  <c r="AS104" i="26"/>
  <c r="AS105" i="26"/>
  <c r="AS107" i="26"/>
  <c r="AW109" i="26" s="1"/>
  <c r="AS103" i="26"/>
  <c r="BR106" i="31"/>
  <c r="BR97" i="31"/>
  <c r="BR90" i="31"/>
  <c r="BP107" i="31"/>
  <c r="BP122" i="31"/>
  <c r="AZ21" i="33"/>
  <c r="BS93" i="31"/>
  <c r="BS76" i="31"/>
  <c r="BQ74" i="31"/>
  <c r="BQ91" i="31"/>
  <c r="Z113" i="31"/>
  <c r="Z132" i="31"/>
  <c r="BO76" i="31"/>
  <c r="BO93" i="31"/>
  <c r="AJ111" i="31"/>
  <c r="AJ130" i="31"/>
  <c r="D132" i="31"/>
  <c r="D113" i="31"/>
  <c r="AU125" i="31"/>
  <c r="AU123" i="31"/>
  <c r="D129" i="31"/>
  <c r="D127" i="31"/>
  <c r="D8" i="33"/>
  <c r="BP93" i="31"/>
  <c r="BP76" i="31"/>
  <c r="BT106" i="31"/>
  <c r="BT90" i="31"/>
  <c r="BT97" i="31"/>
  <c r="AO111" i="31"/>
  <c r="AO130" i="31"/>
  <c r="BA46" i="31"/>
  <c r="BA49" i="31" s="1"/>
  <c r="P132" i="31"/>
  <c r="P113" i="31"/>
  <c r="N113" i="31"/>
  <c r="N132" i="31"/>
  <c r="BP91" i="31"/>
  <c r="BP74" i="31"/>
  <c r="BU74" i="31"/>
  <c r="BU91" i="31"/>
  <c r="AI110" i="31"/>
  <c r="AI102" i="31"/>
  <c r="AI92" i="31"/>
  <c r="P125" i="31"/>
  <c r="P123" i="31"/>
  <c r="AP94" i="31"/>
  <c r="AP112" i="31"/>
  <c r="AP104" i="31"/>
  <c r="BC143" i="31"/>
  <c r="BY143" i="31" s="1"/>
  <c r="BC140" i="31"/>
  <c r="BC75" i="32" s="1"/>
  <c r="I67" i="33"/>
  <c r="I68" i="33"/>
  <c r="I69" i="33" s="1"/>
  <c r="I72" i="33" s="1"/>
  <c r="J66" i="33"/>
  <c r="I78" i="33"/>
  <c r="I77" i="33" s="1"/>
  <c r="I81" i="33" s="1"/>
  <c r="AM91" i="31"/>
  <c r="AM74" i="31"/>
  <c r="BB9" i="32"/>
  <c r="BA87" i="32"/>
  <c r="AD123" i="31"/>
  <c r="AD125" i="31"/>
  <c r="I111" i="31"/>
  <c r="I130" i="31"/>
  <c r="BB33" i="32"/>
  <c r="BA91" i="32"/>
  <c r="BS97" i="31"/>
  <c r="BS106" i="31"/>
  <c r="BS90" i="31"/>
  <c r="BO74" i="31"/>
  <c r="BO91" i="31"/>
  <c r="S129" i="31"/>
  <c r="S8" i="33"/>
  <c r="S27" i="33" s="1"/>
  <c r="S85" i="33" s="1"/>
  <c r="S86" i="33" s="1"/>
  <c r="S102" i="32"/>
  <c r="S127" i="31"/>
  <c r="BW75" i="31"/>
  <c r="BW30" i="31"/>
  <c r="AP129" i="31"/>
  <c r="V107" i="31"/>
  <c r="V122" i="31"/>
  <c r="U110" i="31"/>
  <c r="U92" i="31"/>
  <c r="U102" i="31"/>
  <c r="BR93" i="31"/>
  <c r="BR76" i="31"/>
  <c r="BV107" i="26"/>
  <c r="AY90" i="32"/>
  <c r="AY92" i="32" s="1"/>
  <c r="BX30" i="32"/>
  <c r="V93" i="31"/>
  <c r="V76" i="31"/>
  <c r="H111" i="31"/>
  <c r="H130" i="31"/>
  <c r="M130" i="31"/>
  <c r="M111" i="31"/>
  <c r="AO109" i="26"/>
  <c r="AO108" i="26"/>
  <c r="AO114" i="26"/>
  <c r="AO110" i="26"/>
  <c r="AR104" i="26"/>
  <c r="AR107" i="26"/>
  <c r="AV109" i="26" s="1"/>
  <c r="AR105" i="26"/>
  <c r="AR103" i="26"/>
  <c r="BV115" i="31"/>
  <c r="BV116" i="31" s="1"/>
  <c r="BV101" i="31"/>
  <c r="BV110" i="31" s="1"/>
  <c r="AD94" i="31"/>
  <c r="AD112" i="31"/>
  <c r="AD104" i="31"/>
  <c r="BX37" i="33"/>
  <c r="BQ106" i="31"/>
  <c r="BQ90" i="31"/>
  <c r="BQ97" i="31"/>
  <c r="AT73" i="31"/>
  <c r="BP137" i="26"/>
  <c r="BP142" i="26" s="1"/>
  <c r="BP144" i="26" s="1"/>
  <c r="BS74" i="31"/>
  <c r="BS91" i="31"/>
  <c r="BQ93" i="31"/>
  <c r="BQ76" i="31"/>
  <c r="AI113" i="31"/>
  <c r="AI132" i="31"/>
  <c r="BW90" i="31"/>
  <c r="BW106" i="31"/>
  <c r="BW97" i="31"/>
  <c r="AK107" i="31"/>
  <c r="AK122" i="31"/>
  <c r="E123" i="31"/>
  <c r="E125" i="31"/>
  <c r="BW108" i="31"/>
  <c r="M104" i="31"/>
  <c r="M94" i="31"/>
  <c r="M112" i="31"/>
  <c r="BB26" i="33"/>
  <c r="F122" i="31"/>
  <c r="F107" i="31"/>
  <c r="BV236" i="26"/>
  <c r="BV240" i="26"/>
  <c r="BV235" i="26"/>
  <c r="BC61" i="32"/>
  <c r="BD61" i="32" s="1"/>
  <c r="BE61" i="32" s="1"/>
  <c r="BF61" i="32" s="1"/>
  <c r="BG61" i="32" s="1"/>
  <c r="BB62" i="32"/>
  <c r="AD111" i="31"/>
  <c r="AD130" i="31"/>
  <c r="AU112" i="26"/>
  <c r="AU102" i="26" s="1"/>
  <c r="AU91" i="31"/>
  <c r="AU74" i="31"/>
  <c r="AU94" i="31"/>
  <c r="BO137" i="26"/>
  <c r="BO142" i="26" s="1"/>
  <c r="BO144" i="26" s="1"/>
  <c r="BM74" i="31"/>
  <c r="BM91" i="31"/>
  <c r="K110" i="31"/>
  <c r="K102" i="31"/>
  <c r="K92" i="31"/>
  <c r="S111" i="31"/>
  <c r="S130" i="31"/>
  <c r="BV125" i="31"/>
  <c r="BV123" i="31"/>
  <c r="AZ24" i="33"/>
  <c r="BA28" i="32"/>
  <c r="AG111" i="31"/>
  <c r="AG130" i="31"/>
  <c r="BN97" i="31"/>
  <c r="BN106" i="31"/>
  <c r="BN90" i="31"/>
  <c r="AS125" i="31"/>
  <c r="AS123" i="31"/>
  <c r="T111" i="31"/>
  <c r="T130" i="31"/>
  <c r="AK94" i="31"/>
  <c r="AK112" i="31"/>
  <c r="AK104" i="31"/>
  <c r="BX52" i="26"/>
  <c r="BX54" i="26" s="1"/>
  <c r="CP52" i="26"/>
  <c r="CP54" i="26" s="1"/>
  <c r="CO73" i="26"/>
  <c r="CP35" i="26"/>
  <c r="AW73" i="26"/>
  <c r="AW62" i="26" s="1"/>
  <c r="BX47" i="26"/>
  <c r="BA45" i="26"/>
  <c r="BB61" i="31"/>
  <c r="BB63" i="31" s="1"/>
  <c r="BC60" i="31"/>
  <c r="BA108" i="31"/>
  <c r="BB66" i="31"/>
  <c r="BB41" i="31"/>
  <c r="BB39" i="31"/>
  <c r="BB151" i="31"/>
  <c r="BA68" i="31"/>
  <c r="BD44" i="33" l="1"/>
  <c r="BD99" i="31"/>
  <c r="J94" i="31"/>
  <c r="AL8" i="33"/>
  <c r="AL27" i="33" s="1"/>
  <c r="AL85" i="33" s="1"/>
  <c r="AL86" i="33" s="1"/>
  <c r="AN111" i="31"/>
  <c r="BA61" i="26"/>
  <c r="BI10" i="31"/>
  <c r="BJ10" i="31" s="1"/>
  <c r="BK10" i="31" s="1"/>
  <c r="CA83" i="31"/>
  <c r="CP34" i="26"/>
  <c r="CQ34" i="26"/>
  <c r="CP43" i="26"/>
  <c r="CQ43" i="26"/>
  <c r="CP37" i="26"/>
  <c r="CQ37" i="26"/>
  <c r="BZ61" i="32"/>
  <c r="BH61" i="32"/>
  <c r="BI19" i="32"/>
  <c r="BK17" i="32"/>
  <c r="J104" i="31"/>
  <c r="AP8" i="33"/>
  <c r="AP27" i="33" s="1"/>
  <c r="AP85" i="33" s="1"/>
  <c r="AP86" i="33" s="1"/>
  <c r="AL129" i="31"/>
  <c r="AP111" i="31"/>
  <c r="AV103" i="26"/>
  <c r="AY104" i="26"/>
  <c r="BY22" i="32"/>
  <c r="BD22" i="32"/>
  <c r="BD26" i="33" s="1"/>
  <c r="BE27" i="32"/>
  <c r="BD25" i="33"/>
  <c r="BE58" i="32"/>
  <c r="BD62" i="32"/>
  <c r="BE37" i="32"/>
  <c r="BD46" i="33"/>
  <c r="BY13" i="32"/>
  <c r="BD13" i="32"/>
  <c r="BD22" i="33" s="1"/>
  <c r="BZ19" i="32"/>
  <c r="BC61" i="31"/>
  <c r="BC63" i="31" s="1"/>
  <c r="BD60" i="31"/>
  <c r="BZ10" i="31"/>
  <c r="BD140" i="31"/>
  <c r="BD143" i="31"/>
  <c r="BD141" i="31"/>
  <c r="BG36" i="31"/>
  <c r="BF39" i="31"/>
  <c r="BE137" i="31"/>
  <c r="BG17" i="31"/>
  <c r="BH17" i="31" s="1"/>
  <c r="AP102" i="32"/>
  <c r="AL102" i="32"/>
  <c r="AP123" i="31"/>
  <c r="W111" i="31"/>
  <c r="AE125" i="31"/>
  <c r="AE127" i="31" s="1"/>
  <c r="Y125" i="31"/>
  <c r="Y8" i="33" s="1"/>
  <c r="Y27" i="33" s="1"/>
  <c r="Y85" i="33" s="1"/>
  <c r="Y86" i="33" s="1"/>
  <c r="AL130" i="31"/>
  <c r="T132" i="31"/>
  <c r="AW11" i="26"/>
  <c r="AW55" i="26"/>
  <c r="AW48" i="26"/>
  <c r="BC22" i="33"/>
  <c r="BY22" i="33" s="1"/>
  <c r="AO125" i="31"/>
  <c r="AO129" i="31" s="1"/>
  <c r="AS104" i="31"/>
  <c r="AS94" i="31"/>
  <c r="AH123" i="31"/>
  <c r="Q123" i="31"/>
  <c r="W112" i="31"/>
  <c r="W94" i="31"/>
  <c r="W104" i="31"/>
  <c r="AL112" i="31"/>
  <c r="AL132" i="31" s="1"/>
  <c r="AL94" i="31"/>
  <c r="BU107" i="26"/>
  <c r="BU114" i="26" s="1"/>
  <c r="Z129" i="31"/>
  <c r="Z8" i="33"/>
  <c r="Z27" i="33" s="1"/>
  <c r="Z85" i="33" s="1"/>
  <c r="Z86" i="33" s="1"/>
  <c r="Z127" i="31"/>
  <c r="Z102" i="32"/>
  <c r="R94" i="31"/>
  <c r="R104" i="31"/>
  <c r="R112" i="31"/>
  <c r="BA141" i="31"/>
  <c r="BA137" i="31"/>
  <c r="BT76" i="31"/>
  <c r="BT93" i="31"/>
  <c r="K8" i="33"/>
  <c r="K27" i="33" s="1"/>
  <c r="K85" i="33" s="1"/>
  <c r="K86" i="33" s="1"/>
  <c r="K127" i="31"/>
  <c r="K129" i="31"/>
  <c r="K102" i="32"/>
  <c r="BO107" i="31"/>
  <c r="BO122" i="31"/>
  <c r="AC94" i="31"/>
  <c r="AC104" i="31"/>
  <c r="AC112" i="31"/>
  <c r="AR8" i="33"/>
  <c r="AR27" i="33" s="1"/>
  <c r="AR129" i="31"/>
  <c r="AR102" i="32"/>
  <c r="AR127" i="31"/>
  <c r="AN102" i="32"/>
  <c r="AN8" i="33"/>
  <c r="AN27" i="33" s="1"/>
  <c r="AN85" i="33" s="1"/>
  <c r="AN86" i="33" s="1"/>
  <c r="AN127" i="31"/>
  <c r="AN129" i="31"/>
  <c r="Q129" i="31"/>
  <c r="Q8" i="33"/>
  <c r="Q27" i="33" s="1"/>
  <c r="Q85" i="33" s="1"/>
  <c r="Q86" i="33" s="1"/>
  <c r="Q127" i="31"/>
  <c r="Q102" i="32"/>
  <c r="AF102" i="32"/>
  <c r="AF127" i="31"/>
  <c r="AF8" i="33"/>
  <c r="AF27" i="33" s="1"/>
  <c r="AF85" i="33" s="1"/>
  <c r="AF86" i="33" s="1"/>
  <c r="AF129" i="31"/>
  <c r="M127" i="31"/>
  <c r="M8" i="33"/>
  <c r="M27" i="33" s="1"/>
  <c r="M85" i="33" s="1"/>
  <c r="M86" i="33" s="1"/>
  <c r="M129" i="31"/>
  <c r="M102" i="32"/>
  <c r="U127" i="31"/>
  <c r="U8" i="33"/>
  <c r="U27" i="33" s="1"/>
  <c r="U85" i="33" s="1"/>
  <c r="U86" i="33" s="1"/>
  <c r="U102" i="32"/>
  <c r="U129" i="31"/>
  <c r="AH8" i="33"/>
  <c r="AH27" i="33" s="1"/>
  <c r="AH85" i="33" s="1"/>
  <c r="AH86" i="33" s="1"/>
  <c r="AH129" i="31"/>
  <c r="AH127" i="31"/>
  <c r="AH102" i="32"/>
  <c r="O111" i="31"/>
  <c r="O130" i="31"/>
  <c r="AO132" i="31"/>
  <c r="AO113" i="31"/>
  <c r="R130" i="31"/>
  <c r="R111" i="31"/>
  <c r="J130" i="31"/>
  <c r="J111" i="31"/>
  <c r="AH111" i="31"/>
  <c r="AH130" i="31"/>
  <c r="AC111" i="31"/>
  <c r="AC130" i="31"/>
  <c r="BV130" i="31"/>
  <c r="BV111" i="31"/>
  <c r="BV129" i="31"/>
  <c r="BV127" i="31"/>
  <c r="BV102" i="32"/>
  <c r="BP92" i="31"/>
  <c r="BP110" i="31"/>
  <c r="BP102" i="31"/>
  <c r="D27" i="33"/>
  <c r="D85" i="33" s="1"/>
  <c r="D86" i="33" s="1"/>
  <c r="AU8" i="33"/>
  <c r="AU27" i="33" s="1"/>
  <c r="AU127" i="31"/>
  <c r="AU129" i="31"/>
  <c r="BP123" i="31"/>
  <c r="BP125" i="31"/>
  <c r="BR107" i="31"/>
  <c r="BR122" i="31"/>
  <c r="BX68" i="31"/>
  <c r="R127" i="31"/>
  <c r="R8" i="33"/>
  <c r="R27" i="33" s="1"/>
  <c r="R85" i="33" s="1"/>
  <c r="R86" i="33" s="1"/>
  <c r="R129" i="31"/>
  <c r="R102" i="32"/>
  <c r="L104" i="31"/>
  <c r="L112" i="31"/>
  <c r="L94" i="31"/>
  <c r="AR132" i="31"/>
  <c r="AR113" i="31"/>
  <c r="AG123" i="31"/>
  <c r="AG125" i="31"/>
  <c r="I129" i="31"/>
  <c r="I8" i="33"/>
  <c r="I27" i="33" s="1"/>
  <c r="I85" i="33" s="1"/>
  <c r="I86" i="33" s="1"/>
  <c r="I127" i="31"/>
  <c r="I102" i="32"/>
  <c r="AG113" i="31"/>
  <c r="AG132" i="31"/>
  <c r="BA20" i="32"/>
  <c r="BA37" i="33" s="1"/>
  <c r="W102" i="32"/>
  <c r="W8" i="33"/>
  <c r="W27" i="33" s="1"/>
  <c r="W85" i="33" s="1"/>
  <c r="W86" i="33" s="1"/>
  <c r="W129" i="31"/>
  <c r="W127" i="31"/>
  <c r="BM94" i="31"/>
  <c r="BM104" i="31"/>
  <c r="BM112" i="31"/>
  <c r="AR130" i="31"/>
  <c r="AR111" i="31"/>
  <c r="BV94" i="31"/>
  <c r="AC8" i="33"/>
  <c r="AC27" i="33" s="1"/>
  <c r="AC85" i="33" s="1"/>
  <c r="AC86" i="33" s="1"/>
  <c r="AC127" i="31"/>
  <c r="AC129" i="31"/>
  <c r="AC102" i="32"/>
  <c r="H125" i="31"/>
  <c r="H123" i="31"/>
  <c r="BM92" i="31"/>
  <c r="BM110" i="31"/>
  <c r="BM102" i="31"/>
  <c r="AU107" i="26"/>
  <c r="AU104" i="26"/>
  <c r="AU105" i="26"/>
  <c r="BY61" i="32"/>
  <c r="BC62" i="32"/>
  <c r="AD113" i="31"/>
  <c r="AD132" i="31"/>
  <c r="BA30" i="32"/>
  <c r="BA81" i="31"/>
  <c r="AZ90" i="32"/>
  <c r="AZ92" i="32" s="1"/>
  <c r="BS112" i="31"/>
  <c r="BS104" i="31"/>
  <c r="BS94" i="31"/>
  <c r="AS110" i="26"/>
  <c r="AS108" i="26"/>
  <c r="AS114" i="26"/>
  <c r="AS109" i="26"/>
  <c r="L111" i="31"/>
  <c r="L130" i="31"/>
  <c r="BR110" i="31"/>
  <c r="BR92" i="31"/>
  <c r="BR102" i="31"/>
  <c r="AI127" i="31"/>
  <c r="AI8" i="33"/>
  <c r="AI27" i="33" s="1"/>
  <c r="AI85" i="33" s="1"/>
  <c r="AI86" i="33" s="1"/>
  <c r="AI102" i="32"/>
  <c r="AI129" i="31"/>
  <c r="BM125" i="31"/>
  <c r="BM123" i="31"/>
  <c r="AS111" i="31"/>
  <c r="AS130" i="31"/>
  <c r="N125" i="31"/>
  <c r="N123" i="31"/>
  <c r="X27" i="33"/>
  <c r="X85" i="33" s="1"/>
  <c r="X86" i="33" s="1"/>
  <c r="F130" i="31"/>
  <c r="F111" i="31"/>
  <c r="O129" i="31"/>
  <c r="O8" i="33"/>
  <c r="O27" i="33" s="1"/>
  <c r="O85" i="33" s="1"/>
  <c r="O86" i="33" s="1"/>
  <c r="O102" i="32"/>
  <c r="O127" i="31"/>
  <c r="Y94" i="31"/>
  <c r="Y104" i="31"/>
  <c r="Y112" i="31"/>
  <c r="BW87" i="31"/>
  <c r="V130" i="31"/>
  <c r="V111" i="31"/>
  <c r="BN112" i="31"/>
  <c r="BN94" i="31"/>
  <c r="BN104" i="31"/>
  <c r="BV110" i="26"/>
  <c r="BV114" i="26"/>
  <c r="AD8" i="33"/>
  <c r="AD27" i="33" s="1"/>
  <c r="AD85" i="33" s="1"/>
  <c r="AD86" i="33" s="1"/>
  <c r="AD127" i="31"/>
  <c r="AD129" i="31"/>
  <c r="AD102" i="32"/>
  <c r="J113" i="31"/>
  <c r="J132" i="31"/>
  <c r="AI111" i="31"/>
  <c r="AI130" i="31"/>
  <c r="AS8" i="33"/>
  <c r="AS129" i="31"/>
  <c r="AS127" i="31"/>
  <c r="AS102" i="32"/>
  <c r="BA24" i="33"/>
  <c r="BB28" i="32"/>
  <c r="F125" i="31"/>
  <c r="F123" i="31"/>
  <c r="AK125" i="31"/>
  <c r="AK123" i="31"/>
  <c r="BQ94" i="31"/>
  <c r="BQ112" i="31"/>
  <c r="BQ104" i="31"/>
  <c r="AT112" i="26"/>
  <c r="AT102" i="26" s="1"/>
  <c r="AT91" i="31"/>
  <c r="AT74" i="31"/>
  <c r="BQ122" i="31"/>
  <c r="BQ107" i="31"/>
  <c r="U130" i="31"/>
  <c r="U111" i="31"/>
  <c r="BW93" i="31"/>
  <c r="BW76" i="31"/>
  <c r="BC33" i="32"/>
  <c r="BD33" i="32" s="1"/>
  <c r="BB91" i="32"/>
  <c r="BC9" i="32"/>
  <c r="BD9" i="32" s="1"/>
  <c r="BB87" i="32"/>
  <c r="K66" i="33"/>
  <c r="J67" i="33"/>
  <c r="J78" i="33"/>
  <c r="J77" i="33" s="1"/>
  <c r="J81" i="33" s="1"/>
  <c r="J68" i="33"/>
  <c r="J69" i="33" s="1"/>
  <c r="J72" i="33" s="1"/>
  <c r="AS132" i="31"/>
  <c r="AS113" i="31"/>
  <c r="BU92" i="31"/>
  <c r="BT107" i="31"/>
  <c r="BT122" i="31"/>
  <c r="BO94" i="31"/>
  <c r="BO112" i="31"/>
  <c r="BO104" i="31"/>
  <c r="AQ123" i="31"/>
  <c r="AQ125" i="31"/>
  <c r="AT125" i="31"/>
  <c r="AT123" i="31"/>
  <c r="F132" i="31"/>
  <c r="F113" i="31"/>
  <c r="G127" i="31"/>
  <c r="G129" i="31"/>
  <c r="G8" i="33"/>
  <c r="G27" i="33" s="1"/>
  <c r="G85" i="33" s="1"/>
  <c r="G86" i="33" s="1"/>
  <c r="G102" i="32"/>
  <c r="BW68" i="32"/>
  <c r="BW71" i="32" s="1"/>
  <c r="BY27" i="32"/>
  <c r="BC25" i="33"/>
  <c r="BY25" i="33" s="1"/>
  <c r="P130" i="31"/>
  <c r="P111" i="31"/>
  <c r="BU94" i="31"/>
  <c r="H132" i="31"/>
  <c r="H113" i="31"/>
  <c r="AA113" i="31"/>
  <c r="AA132" i="31"/>
  <c r="BU123" i="31"/>
  <c r="BU125" i="31"/>
  <c r="Z130" i="31"/>
  <c r="Z111" i="31"/>
  <c r="BB12" i="32"/>
  <c r="BB21" i="33" s="1"/>
  <c r="AB102" i="32"/>
  <c r="AB129" i="31"/>
  <c r="AB127" i="31"/>
  <c r="AB8" i="33"/>
  <c r="AQ104" i="31"/>
  <c r="AQ112" i="31"/>
  <c r="AK132" i="31"/>
  <c r="AK113" i="31"/>
  <c r="BW122" i="31"/>
  <c r="BW107" i="31"/>
  <c r="BS92" i="31"/>
  <c r="BS102" i="31"/>
  <c r="BS110" i="31"/>
  <c r="BV102" i="31"/>
  <c r="BV103" i="31"/>
  <c r="AR114" i="26"/>
  <c r="AR108" i="26"/>
  <c r="AR110" i="26"/>
  <c r="AR109" i="26"/>
  <c r="V94" i="31"/>
  <c r="V112" i="31"/>
  <c r="V104" i="31"/>
  <c r="BR94" i="31"/>
  <c r="BR112" i="31"/>
  <c r="BR104" i="31"/>
  <c r="V123" i="31"/>
  <c r="V125" i="31"/>
  <c r="BY140" i="31"/>
  <c r="BS107" i="31"/>
  <c r="BS122" i="31"/>
  <c r="P8" i="33"/>
  <c r="P127" i="31"/>
  <c r="P129" i="31"/>
  <c r="P102" i="32"/>
  <c r="BY60" i="31"/>
  <c r="BY61" i="31" s="1"/>
  <c r="BY63" i="31" s="1"/>
  <c r="BN122" i="31"/>
  <c r="BN107" i="31"/>
  <c r="K111" i="31"/>
  <c r="K130" i="31"/>
  <c r="AU98" i="31"/>
  <c r="AU92" i="31"/>
  <c r="M132" i="31"/>
  <c r="M113" i="31"/>
  <c r="E127" i="31"/>
  <c r="E8" i="33"/>
  <c r="E27" i="33" s="1"/>
  <c r="E85" i="33" s="1"/>
  <c r="E86" i="33" s="1"/>
  <c r="E129" i="31"/>
  <c r="E102" i="32"/>
  <c r="BB61" i="26"/>
  <c r="BC59" i="26"/>
  <c r="BO92" i="31"/>
  <c r="BO110" i="31"/>
  <c r="BO102" i="31"/>
  <c r="AM92" i="31"/>
  <c r="AM98" i="31"/>
  <c r="AP132" i="31"/>
  <c r="AP113" i="31"/>
  <c r="BB46" i="31"/>
  <c r="BA67" i="31"/>
  <c r="BP94" i="31"/>
  <c r="BP112" i="31"/>
  <c r="BP104" i="31"/>
  <c r="BQ92" i="31"/>
  <c r="BQ110" i="31"/>
  <c r="BQ102" i="31"/>
  <c r="G113" i="31"/>
  <c r="G132" i="31"/>
  <c r="AT53" i="33"/>
  <c r="AT54" i="33" s="1"/>
  <c r="AT85" i="33"/>
  <c r="AT86" i="33" s="1"/>
  <c r="AJ129" i="31"/>
  <c r="AJ102" i="32"/>
  <c r="AJ8" i="33"/>
  <c r="AJ127" i="31"/>
  <c r="BT130" i="31"/>
  <c r="BT111" i="31"/>
  <c r="L125" i="31"/>
  <c r="L123" i="31"/>
  <c r="AJ113" i="31"/>
  <c r="AJ132" i="31"/>
  <c r="AU102" i="32"/>
  <c r="BC26" i="33"/>
  <c r="BB45" i="33"/>
  <c r="BA47" i="33"/>
  <c r="BW91" i="31"/>
  <c r="BW74" i="31"/>
  <c r="T8" i="33"/>
  <c r="T127" i="31"/>
  <c r="T102" i="32"/>
  <c r="T129" i="31"/>
  <c r="BY37" i="32"/>
  <c r="BC46" i="33"/>
  <c r="BY46" i="33" s="1"/>
  <c r="S113" i="31"/>
  <c r="S132" i="31"/>
  <c r="BN92" i="31"/>
  <c r="BN110" i="31"/>
  <c r="BN102" i="31"/>
  <c r="K132" i="31"/>
  <c r="K113" i="31"/>
  <c r="AT93" i="31"/>
  <c r="AT76" i="31"/>
  <c r="Y111" i="31"/>
  <c r="Y130" i="31"/>
  <c r="AM125" i="31"/>
  <c r="AM123" i="31"/>
  <c r="AA123" i="31"/>
  <c r="AA125" i="31"/>
  <c r="AQ111" i="31"/>
  <c r="AQ130" i="31"/>
  <c r="J127" i="31"/>
  <c r="J129" i="31"/>
  <c r="J8" i="33"/>
  <c r="J27" i="33" s="1"/>
  <c r="J85" i="33" s="1"/>
  <c r="J86" i="33" s="1"/>
  <c r="J102" i="32"/>
  <c r="AY73" i="26"/>
  <c r="AZ74" i="26" s="1"/>
  <c r="BA52" i="26"/>
  <c r="AW75" i="26"/>
  <c r="AW74" i="26"/>
  <c r="AX73" i="26"/>
  <c r="BB45" i="26"/>
  <c r="BA47" i="26"/>
  <c r="BB108" i="31"/>
  <c r="BC66" i="31"/>
  <c r="BC41" i="31"/>
  <c r="BC39" i="31"/>
  <c r="BC151" i="31"/>
  <c r="BY34" i="31"/>
  <c r="BB68" i="31"/>
  <c r="BE44" i="33" l="1"/>
  <c r="BE99" i="31"/>
  <c r="BG39" i="31"/>
  <c r="BH36" i="31"/>
  <c r="BZ36" i="31"/>
  <c r="BZ39" i="31" s="1"/>
  <c r="BI17" i="31"/>
  <c r="CA10" i="31"/>
  <c r="CA17" i="32"/>
  <c r="BI61" i="32"/>
  <c r="BJ61" i="32" s="1"/>
  <c r="BK61" i="32" s="1"/>
  <c r="CA61" i="32" s="1"/>
  <c r="BJ19" i="32"/>
  <c r="AY55" i="26"/>
  <c r="AY62" i="26"/>
  <c r="AV108" i="26"/>
  <c r="AY109" i="26"/>
  <c r="AY11" i="26"/>
  <c r="AY48" i="26"/>
  <c r="BD87" i="32"/>
  <c r="BE9" i="32"/>
  <c r="BD91" i="32"/>
  <c r="BE33" i="32"/>
  <c r="BE13" i="32"/>
  <c r="BE22" i="33" s="1"/>
  <c r="BF37" i="32"/>
  <c r="BE46" i="33"/>
  <c r="BF58" i="32"/>
  <c r="BE62" i="32"/>
  <c r="BF27" i="32"/>
  <c r="BE25" i="33"/>
  <c r="BE22" i="32"/>
  <c r="BE26" i="33" s="1"/>
  <c r="BC108" i="31"/>
  <c r="BD108" i="31"/>
  <c r="BZ17" i="31"/>
  <c r="BZ136" i="31"/>
  <c r="BF137" i="31"/>
  <c r="BD75" i="32"/>
  <c r="BE143" i="31"/>
  <c r="BE141" i="31"/>
  <c r="BE140" i="31"/>
  <c r="BE75" i="32" s="1"/>
  <c r="BE60" i="31"/>
  <c r="BD61" i="31"/>
  <c r="BD63" i="31" s="1"/>
  <c r="BD68" i="31" s="1"/>
  <c r="BC61" i="26"/>
  <c r="BD59" i="26"/>
  <c r="CQ59" i="26" s="1"/>
  <c r="CQ61" i="26" s="1"/>
  <c r="AE102" i="32"/>
  <c r="AE129" i="31"/>
  <c r="AE8" i="33"/>
  <c r="AE27" i="33" s="1"/>
  <c r="AE85" i="33" s="1"/>
  <c r="AE86" i="33" s="1"/>
  <c r="Y129" i="31"/>
  <c r="Y127" i="31"/>
  <c r="AU103" i="26"/>
  <c r="AX104" i="26"/>
  <c r="AX55" i="26"/>
  <c r="AX62" i="26"/>
  <c r="AX11" i="26"/>
  <c r="AX48" i="26"/>
  <c r="Y102" i="32"/>
  <c r="AO102" i="32"/>
  <c r="AO8" i="33"/>
  <c r="AO27" i="33" s="1"/>
  <c r="AO85" i="33" s="1"/>
  <c r="AO86" i="33" s="1"/>
  <c r="AO127" i="31"/>
  <c r="BU110" i="26"/>
  <c r="AL113" i="31"/>
  <c r="W113" i="31"/>
  <c r="W132" i="31"/>
  <c r="R132" i="31"/>
  <c r="R113" i="31"/>
  <c r="CP30" i="26"/>
  <c r="AR85" i="33"/>
  <c r="AR86" i="33" s="1"/>
  <c r="AR53" i="33"/>
  <c r="AR54" i="33" s="1"/>
  <c r="AR57" i="33" s="1"/>
  <c r="BB141" i="31"/>
  <c r="BY136" i="31"/>
  <c r="BB137" i="31"/>
  <c r="BT112" i="31"/>
  <c r="BT94" i="31"/>
  <c r="BT104" i="31"/>
  <c r="BO123" i="31"/>
  <c r="BO125" i="31"/>
  <c r="AC113" i="31"/>
  <c r="AC132" i="31"/>
  <c r="BP8" i="33"/>
  <c r="BP27" i="33" s="1"/>
  <c r="P27" i="33"/>
  <c r="P85" i="33" s="1"/>
  <c r="P86" i="33" s="1"/>
  <c r="BS111" i="31"/>
  <c r="BS130" i="31"/>
  <c r="K67" i="33"/>
  <c r="BN66" i="33"/>
  <c r="K78" i="33"/>
  <c r="K68" i="33"/>
  <c r="BN68" i="33" s="1"/>
  <c r="K77" i="33"/>
  <c r="K81" i="33" s="1"/>
  <c r="L66" i="33"/>
  <c r="T27" i="33"/>
  <c r="T85" i="33" s="1"/>
  <c r="T86" i="33" s="1"/>
  <c r="BC45" i="33"/>
  <c r="BB47" i="33"/>
  <c r="AM101" i="31"/>
  <c r="AM115" i="31"/>
  <c r="AM116" i="31" s="1"/>
  <c r="BU98" i="31"/>
  <c r="BO111" i="31"/>
  <c r="BO130" i="31"/>
  <c r="BN125" i="31"/>
  <c r="BN123" i="31"/>
  <c r="BY75" i="32"/>
  <c r="BR113" i="31"/>
  <c r="BR132" i="31"/>
  <c r="AQ132" i="31"/>
  <c r="AQ113" i="31"/>
  <c r="BU127" i="31"/>
  <c r="BU129" i="31"/>
  <c r="BU102" i="32"/>
  <c r="BT123" i="31"/>
  <c r="BT125" i="31"/>
  <c r="BQ125" i="31"/>
  <c r="BQ123" i="31"/>
  <c r="AK8" i="33"/>
  <c r="AK27" i="33" s="1"/>
  <c r="AK85" i="33" s="1"/>
  <c r="AK86" i="33" s="1"/>
  <c r="AK127" i="31"/>
  <c r="AK129" i="31"/>
  <c r="AK102" i="32"/>
  <c r="BR130" i="31"/>
  <c r="BR111" i="31"/>
  <c r="BA90" i="32"/>
  <c r="BA92" i="32" s="1"/>
  <c r="BB81" i="31"/>
  <c r="BB30" i="32"/>
  <c r="BM132" i="31"/>
  <c r="BM113" i="31"/>
  <c r="BB20" i="32"/>
  <c r="BB37" i="33" s="1"/>
  <c r="BV104" i="31"/>
  <c r="BY33" i="32"/>
  <c r="BC91" i="32"/>
  <c r="BQ132" i="31"/>
  <c r="BQ113" i="31"/>
  <c r="BC28" i="32"/>
  <c r="BD28" i="32" s="1"/>
  <c r="BB24" i="33"/>
  <c r="BM129" i="31"/>
  <c r="BM127" i="31"/>
  <c r="BS113" i="31"/>
  <c r="BS132" i="31"/>
  <c r="BY62" i="32"/>
  <c r="AU114" i="26"/>
  <c r="AU110" i="26"/>
  <c r="AU109" i="26"/>
  <c r="BV112" i="31"/>
  <c r="BP129" i="31"/>
  <c r="BP127" i="31"/>
  <c r="BP102" i="32"/>
  <c r="AU53" i="33"/>
  <c r="AU85" i="33"/>
  <c r="AU86" i="33" s="1"/>
  <c r="BP111" i="31"/>
  <c r="BP130" i="31"/>
  <c r="AA127" i="31"/>
  <c r="AA129" i="31"/>
  <c r="AA102" i="32"/>
  <c r="AA8" i="33"/>
  <c r="BW92" i="31"/>
  <c r="L127" i="31"/>
  <c r="L102" i="32"/>
  <c r="L8" i="33"/>
  <c r="L129" i="31"/>
  <c r="AJ27" i="33"/>
  <c r="AJ85" i="33" s="1"/>
  <c r="AJ86" i="33" s="1"/>
  <c r="AU51" i="33"/>
  <c r="AT57" i="33"/>
  <c r="BP132" i="31"/>
  <c r="BP113" i="31"/>
  <c r="BY59" i="26"/>
  <c r="AU115" i="31"/>
  <c r="AU116" i="31" s="1"/>
  <c r="AU101" i="31"/>
  <c r="BW98" i="31"/>
  <c r="BS125" i="31"/>
  <c r="BS123" i="31"/>
  <c r="AB27" i="33"/>
  <c r="AB85" i="33" s="1"/>
  <c r="AB86" i="33" s="1"/>
  <c r="BC12" i="32"/>
  <c r="BB65" i="32"/>
  <c r="AT127" i="31"/>
  <c r="AT129" i="31"/>
  <c r="AT102" i="32"/>
  <c r="BO132" i="31"/>
  <c r="BO113" i="31"/>
  <c r="AT102" i="31"/>
  <c r="AT110" i="31"/>
  <c r="AT92" i="31"/>
  <c r="F129" i="31"/>
  <c r="F8" i="33"/>
  <c r="F27" i="33" s="1"/>
  <c r="F85" i="33" s="1"/>
  <c r="F86" i="33" s="1"/>
  <c r="F127" i="31"/>
  <c r="F102" i="32"/>
  <c r="AS27" i="33"/>
  <c r="AS85" i="33" s="1"/>
  <c r="AS86" i="33" s="1"/>
  <c r="BW8" i="33"/>
  <c r="BW27" i="33" s="1"/>
  <c r="Y113" i="31"/>
  <c r="Y132" i="31"/>
  <c r="N127" i="31"/>
  <c r="N8" i="33"/>
  <c r="N27" i="33" s="1"/>
  <c r="N85" i="33" s="1"/>
  <c r="N86" i="33" s="1"/>
  <c r="N129" i="31"/>
  <c r="N102" i="32"/>
  <c r="BC46" i="31"/>
  <c r="BB49" i="31"/>
  <c r="BB67" i="31" s="1"/>
  <c r="V8" i="33"/>
  <c r="V27" i="33" s="1"/>
  <c r="V85" i="33" s="1"/>
  <c r="V86" i="33" s="1"/>
  <c r="V129" i="31"/>
  <c r="V127" i="31"/>
  <c r="V102" i="32"/>
  <c r="BW123" i="31"/>
  <c r="BW125" i="31"/>
  <c r="BY99" i="31"/>
  <c r="AM8" i="33"/>
  <c r="AM27" i="33" s="1"/>
  <c r="AM85" i="33" s="1"/>
  <c r="AM86" i="33" s="1"/>
  <c r="AM129" i="31"/>
  <c r="AM102" i="32"/>
  <c r="AM127" i="31"/>
  <c r="AT94" i="31"/>
  <c r="AT112" i="31"/>
  <c r="AT104" i="31"/>
  <c r="BN111" i="31"/>
  <c r="BN130" i="31"/>
  <c r="BQ130" i="31"/>
  <c r="BQ111" i="31"/>
  <c r="V132" i="31"/>
  <c r="V113" i="31"/>
  <c r="AQ8" i="33"/>
  <c r="AQ27" i="33" s="1"/>
  <c r="AQ85" i="33" s="1"/>
  <c r="AQ86" i="33" s="1"/>
  <c r="AQ102" i="32"/>
  <c r="AQ127" i="31"/>
  <c r="AQ129" i="31"/>
  <c r="BC87" i="32"/>
  <c r="BY9" i="32"/>
  <c r="BW94" i="31"/>
  <c r="AT103" i="26"/>
  <c r="AT105" i="26"/>
  <c r="AT107" i="26"/>
  <c r="AT104" i="26"/>
  <c r="BN132" i="31"/>
  <c r="BN113" i="31"/>
  <c r="BM130" i="31"/>
  <c r="BM111" i="31"/>
  <c r="H102" i="32"/>
  <c r="H8" i="33"/>
  <c r="H129" i="31"/>
  <c r="H127" i="31"/>
  <c r="AG129" i="31"/>
  <c r="AG127" i="31"/>
  <c r="AG8" i="33"/>
  <c r="AG102" i="32"/>
  <c r="L113" i="31"/>
  <c r="L132" i="31"/>
  <c r="BR125" i="31"/>
  <c r="BR123" i="31"/>
  <c r="BX8" i="26"/>
  <c r="BB52" i="26"/>
  <c r="BA54" i="26"/>
  <c r="AW77" i="26"/>
  <c r="AX75" i="26"/>
  <c r="AX74" i="26"/>
  <c r="AW81" i="26"/>
  <c r="BC45" i="26"/>
  <c r="BD45" i="26" s="1"/>
  <c r="BB47" i="26"/>
  <c r="BX7" i="31"/>
  <c r="AY75" i="26"/>
  <c r="AY74" i="26"/>
  <c r="BC68" i="31"/>
  <c r="BY151" i="31"/>
  <c r="BY41" i="31"/>
  <c r="BY66" i="31"/>
  <c r="BY39" i="31"/>
  <c r="BF99" i="31" l="1"/>
  <c r="BF44" i="33"/>
  <c r="BG137" i="31"/>
  <c r="BZ137" i="31" s="1"/>
  <c r="BH136" i="31"/>
  <c r="BJ17" i="31"/>
  <c r="BH39" i="31"/>
  <c r="BI36" i="31"/>
  <c r="BK19" i="32"/>
  <c r="CQ45" i="26"/>
  <c r="CQ47" i="26" s="1"/>
  <c r="BC47" i="33"/>
  <c r="BD45" i="33"/>
  <c r="BE28" i="32"/>
  <c r="BD24" i="33"/>
  <c r="BF13" i="32"/>
  <c r="BF22" i="33" s="1"/>
  <c r="BF33" i="32"/>
  <c r="BE91" i="32"/>
  <c r="BE87" i="32"/>
  <c r="BF9" i="32"/>
  <c r="BY12" i="32"/>
  <c r="BD12" i="32"/>
  <c r="BD21" i="33" s="1"/>
  <c r="BF22" i="32"/>
  <c r="BF26" i="33" s="1"/>
  <c r="BG27" i="32"/>
  <c r="BH27" i="32" s="1"/>
  <c r="BH25" i="33" s="1"/>
  <c r="BF25" i="33"/>
  <c r="BF62" i="32"/>
  <c r="BG58" i="32"/>
  <c r="BH58" i="32" s="1"/>
  <c r="BG37" i="32"/>
  <c r="BH37" i="32" s="1"/>
  <c r="BH46" i="33" s="1"/>
  <c r="BF46" i="33"/>
  <c r="BF141" i="31"/>
  <c r="BF143" i="31"/>
  <c r="BF140" i="31"/>
  <c r="BF75" i="32" s="1"/>
  <c r="BC67" i="31"/>
  <c r="BD46" i="31"/>
  <c r="BF60" i="31"/>
  <c r="BE61" i="31"/>
  <c r="BE59" i="26"/>
  <c r="BD61" i="26"/>
  <c r="BE45" i="26"/>
  <c r="BD47" i="26"/>
  <c r="BS8" i="33"/>
  <c r="BS27" i="33" s="1"/>
  <c r="BS53" i="33" s="1"/>
  <c r="AU108" i="26"/>
  <c r="AX109" i="26"/>
  <c r="BX73" i="26"/>
  <c r="BX11" i="26" s="1"/>
  <c r="AW128" i="26"/>
  <c r="AW110" i="26"/>
  <c r="K69" i="33"/>
  <c r="K72" i="33" s="1"/>
  <c r="CP8" i="26"/>
  <c r="BC21" i="33"/>
  <c r="BY21" i="33" s="1"/>
  <c r="BY141" i="31"/>
  <c r="BC141" i="31"/>
  <c r="BC137" i="31"/>
  <c r="BY137" i="31" s="1"/>
  <c r="BY46" i="31"/>
  <c r="BT113" i="31"/>
  <c r="BT132" i="31"/>
  <c r="BO127" i="31"/>
  <c r="BO129" i="31"/>
  <c r="BO102" i="32"/>
  <c r="BU8" i="33"/>
  <c r="BU27" i="33" s="1"/>
  <c r="BU53" i="33" s="1"/>
  <c r="BX10" i="26"/>
  <c r="H27" i="33"/>
  <c r="H85" i="33" s="1"/>
  <c r="H86" i="33" s="1"/>
  <c r="BN8" i="33"/>
  <c r="BN27" i="33" s="1"/>
  <c r="BW53" i="33"/>
  <c r="BW85" i="33"/>
  <c r="BW86" i="33" s="1"/>
  <c r="BT129" i="31"/>
  <c r="BT127" i="31"/>
  <c r="BT102" i="32"/>
  <c r="BU101" i="31"/>
  <c r="BU115" i="31"/>
  <c r="BU116" i="31" s="1"/>
  <c r="AA27" i="33"/>
  <c r="AA85" i="33" s="1"/>
  <c r="AA86" i="33" s="1"/>
  <c r="BR8" i="33"/>
  <c r="BR27" i="33" s="1"/>
  <c r="BR129" i="31"/>
  <c r="BR127" i="31"/>
  <c r="BR102" i="32"/>
  <c r="AG27" i="33"/>
  <c r="AG85" i="33" s="1"/>
  <c r="AG86" i="33" s="1"/>
  <c r="BT8" i="33"/>
  <c r="BT27" i="33" s="1"/>
  <c r="BV8" i="33"/>
  <c r="BV27" i="33" s="1"/>
  <c r="BW129" i="31"/>
  <c r="BW127" i="31"/>
  <c r="BW102" i="32"/>
  <c r="AT130" i="31"/>
  <c r="AT111" i="31"/>
  <c r="BC65" i="32"/>
  <c r="BS127" i="31"/>
  <c r="BS129" i="31"/>
  <c r="BS102" i="32"/>
  <c r="BY61" i="26"/>
  <c r="BO8" i="33"/>
  <c r="BO27" i="33" s="1"/>
  <c r="L27" i="33"/>
  <c r="L85" i="33" s="1"/>
  <c r="L86" i="33" s="1"/>
  <c r="BQ127" i="31"/>
  <c r="BQ129" i="31"/>
  <c r="BQ102" i="32"/>
  <c r="BN67" i="33"/>
  <c r="BN78" i="33"/>
  <c r="BN77" i="33" s="1"/>
  <c r="BN81" i="33" s="1"/>
  <c r="BN69" i="33"/>
  <c r="BN72" i="33" s="1"/>
  <c r="AT110" i="26"/>
  <c r="AT114" i="26"/>
  <c r="AT109" i="26"/>
  <c r="AT108" i="26"/>
  <c r="AT113" i="31"/>
  <c r="AT132" i="31"/>
  <c r="BW115" i="31"/>
  <c r="BW116" i="31" s="1"/>
  <c r="BW101" i="31"/>
  <c r="AU102" i="31"/>
  <c r="AU103" i="31"/>
  <c r="AU110" i="31"/>
  <c r="AU130" i="31" s="1"/>
  <c r="BC30" i="32"/>
  <c r="BB90" i="32"/>
  <c r="BB92" i="32" s="1"/>
  <c r="BC81" i="31"/>
  <c r="BY81" i="31" s="1"/>
  <c r="BY82" i="31" s="1"/>
  <c r="BN129" i="31"/>
  <c r="BN127" i="31"/>
  <c r="BN102" i="32"/>
  <c r="BY108" i="31"/>
  <c r="BM8" i="33"/>
  <c r="BM27" i="33" s="1"/>
  <c r="AU54" i="33"/>
  <c r="AV51" i="33" s="1"/>
  <c r="AV54" i="33" s="1"/>
  <c r="BV113" i="31"/>
  <c r="BV132" i="31"/>
  <c r="BY28" i="32"/>
  <c r="BC24" i="33"/>
  <c r="BY24" i="33" s="1"/>
  <c r="BC20" i="32"/>
  <c r="AM102" i="31"/>
  <c r="AM103" i="31"/>
  <c r="AM110" i="31"/>
  <c r="BQ8" i="33"/>
  <c r="BQ27" i="33" s="1"/>
  <c r="M66" i="33"/>
  <c r="L78" i="33"/>
  <c r="L77" i="33" s="1"/>
  <c r="L81" i="33" s="1"/>
  <c r="L68" i="33"/>
  <c r="L69" i="33" s="1"/>
  <c r="L72" i="33" s="1"/>
  <c r="L67" i="33"/>
  <c r="BP85" i="33"/>
  <c r="BP86" i="33" s="1"/>
  <c r="BP53" i="33"/>
  <c r="AW79" i="26"/>
  <c r="BB54" i="26"/>
  <c r="BC52" i="26"/>
  <c r="BD52" i="26" s="1"/>
  <c r="AV175" i="31"/>
  <c r="AX77" i="26"/>
  <c r="AX38" i="33"/>
  <c r="AW152" i="31"/>
  <c r="AX81" i="26"/>
  <c r="AW175" i="31"/>
  <c r="BC47" i="26"/>
  <c r="BY45" i="26"/>
  <c r="BX75" i="26"/>
  <c r="AY77" i="26"/>
  <c r="BX69" i="31"/>
  <c r="AY81" i="26"/>
  <c r="BY68" i="31"/>
  <c r="BH139" i="31" l="1"/>
  <c r="BG99" i="31"/>
  <c r="BG44" i="33"/>
  <c r="BZ44" i="33" s="1"/>
  <c r="AZ11" i="26"/>
  <c r="AZ62" i="26"/>
  <c r="AZ55" i="26"/>
  <c r="AZ48" i="26"/>
  <c r="BK17" i="31"/>
  <c r="CA17" i="31" s="1"/>
  <c r="BI139" i="31"/>
  <c r="BH140" i="31"/>
  <c r="BH141" i="31"/>
  <c r="BH143" i="31"/>
  <c r="BJ36" i="31"/>
  <c r="BI39" i="31"/>
  <c r="BI136" i="31"/>
  <c r="BH137" i="31"/>
  <c r="BI37" i="32"/>
  <c r="BI27" i="32"/>
  <c r="BI25" i="33" s="1"/>
  <c r="BI58" i="32"/>
  <c r="BH62" i="32"/>
  <c r="CA19" i="32"/>
  <c r="AY128" i="26"/>
  <c r="AY110" i="26"/>
  <c r="CQ52" i="26"/>
  <c r="CQ54" i="26" s="1"/>
  <c r="CP10" i="26"/>
  <c r="CQ10" i="26"/>
  <c r="BE45" i="33"/>
  <c r="BD47" i="33"/>
  <c r="BE108" i="31"/>
  <c r="BZ99" i="31"/>
  <c r="BD81" i="31"/>
  <c r="BD30" i="32"/>
  <c r="BG62" i="32"/>
  <c r="BZ58" i="32"/>
  <c r="BZ62" i="32" s="1"/>
  <c r="BE12" i="32"/>
  <c r="BE21" i="33" s="1"/>
  <c r="BG33" i="32"/>
  <c r="BH33" i="32" s="1"/>
  <c r="BF91" i="32"/>
  <c r="BF28" i="32"/>
  <c r="BE24" i="33"/>
  <c r="BY20" i="32"/>
  <c r="BD20" i="32"/>
  <c r="BD37" i="33" s="1"/>
  <c r="BY65" i="32"/>
  <c r="BD65" i="32"/>
  <c r="BZ37" i="32"/>
  <c r="BG46" i="33"/>
  <c r="BZ27" i="32"/>
  <c r="BG25" i="33"/>
  <c r="BZ25" i="33" s="1"/>
  <c r="BG22" i="32"/>
  <c r="BF87" i="32"/>
  <c r="BG9" i="32"/>
  <c r="BH9" i="32" s="1"/>
  <c r="BG13" i="32"/>
  <c r="BE63" i="31"/>
  <c r="BE68" i="31" s="1"/>
  <c r="BE67" i="31"/>
  <c r="BD49" i="31"/>
  <c r="BD67" i="31" s="1"/>
  <c r="BE46" i="31"/>
  <c r="BD115" i="31"/>
  <c r="BG60" i="31"/>
  <c r="BF61" i="31"/>
  <c r="BF63" i="31" s="1"/>
  <c r="BF68" i="31" s="1"/>
  <c r="BF108" i="31"/>
  <c r="BG140" i="31"/>
  <c r="BG75" i="32" s="1"/>
  <c r="BG141" i="31"/>
  <c r="BG143" i="31"/>
  <c r="BZ143" i="31" s="1"/>
  <c r="BZ139" i="31"/>
  <c r="BZ141" i="31" s="1"/>
  <c r="BF45" i="26"/>
  <c r="BE47" i="26"/>
  <c r="BE52" i="26"/>
  <c r="BE73" i="26" s="1"/>
  <c r="BD54" i="26"/>
  <c r="BD73" i="26"/>
  <c r="BF59" i="26"/>
  <c r="BE61" i="26"/>
  <c r="BS85" i="33"/>
  <c r="BS86" i="33" s="1"/>
  <c r="AX128" i="26"/>
  <c r="AX110" i="26"/>
  <c r="BX48" i="26"/>
  <c r="BX62" i="26"/>
  <c r="BX55" i="26"/>
  <c r="AV57" i="33"/>
  <c r="AW51" i="33"/>
  <c r="AW54" i="33" s="1"/>
  <c r="AW57" i="33" s="1"/>
  <c r="CP73" i="26"/>
  <c r="BY49" i="31"/>
  <c r="BY67" i="31" s="1"/>
  <c r="BU85" i="33"/>
  <c r="BU86" i="33" s="1"/>
  <c r="AM104" i="31"/>
  <c r="AM112" i="31"/>
  <c r="AU104" i="31"/>
  <c r="AU112" i="31"/>
  <c r="BO85" i="33"/>
  <c r="BO86" i="33" s="1"/>
  <c r="BO53" i="33"/>
  <c r="BT85" i="33"/>
  <c r="BT86" i="33" s="1"/>
  <c r="BT53" i="33"/>
  <c r="BU102" i="31"/>
  <c r="BU103" i="31"/>
  <c r="BU110" i="31"/>
  <c r="M68" i="33"/>
  <c r="M69" i="33" s="1"/>
  <c r="M72" i="33" s="1"/>
  <c r="N66" i="33"/>
  <c r="M67" i="33"/>
  <c r="M78" i="33"/>
  <c r="M77" i="33" s="1"/>
  <c r="M81" i="33" s="1"/>
  <c r="AU57" i="33"/>
  <c r="BC90" i="32"/>
  <c r="BC92" i="32" s="1"/>
  <c r="BY30" i="32"/>
  <c r="BW102" i="31"/>
  <c r="BW103" i="31"/>
  <c r="BW110" i="31"/>
  <c r="BY47" i="33"/>
  <c r="BQ85" i="33"/>
  <c r="BQ86" i="33" s="1"/>
  <c r="BQ53" i="33"/>
  <c r="BM85" i="33"/>
  <c r="BM86" i="33" s="1"/>
  <c r="BM53" i="33"/>
  <c r="BM54" i="33" s="1"/>
  <c r="BN85" i="33"/>
  <c r="BN86" i="33" s="1"/>
  <c r="BN53" i="33"/>
  <c r="AM130" i="31"/>
  <c r="AM111" i="31"/>
  <c r="BC37" i="33"/>
  <c r="BY37" i="33" s="1"/>
  <c r="AU111" i="31"/>
  <c r="BV85" i="33"/>
  <c r="BV86" i="33" s="1"/>
  <c r="BV53" i="33"/>
  <c r="BR85" i="33"/>
  <c r="BR86" i="33" s="1"/>
  <c r="BR53" i="33"/>
  <c r="AY79" i="26"/>
  <c r="AX79" i="26"/>
  <c r="BC54" i="26"/>
  <c r="BY52" i="26"/>
  <c r="BY54" i="26" s="1"/>
  <c r="BX30" i="33"/>
  <c r="BX38" i="33" s="1"/>
  <c r="AY38" i="33"/>
  <c r="BA10" i="26"/>
  <c r="BA73" i="26"/>
  <c r="BA9" i="26"/>
  <c r="AX152" i="31"/>
  <c r="BY47" i="26"/>
  <c r="BX77" i="26"/>
  <c r="BX79" i="26" s="1"/>
  <c r="BX53" i="32"/>
  <c r="BX51" i="32" s="1"/>
  <c r="BX35" i="31"/>
  <c r="BX45" i="31"/>
  <c r="AY175" i="31"/>
  <c r="BX11" i="31"/>
  <c r="BB10" i="26"/>
  <c r="BB73" i="26"/>
  <c r="BB9" i="26"/>
  <c r="BX15" i="31"/>
  <c r="BI99" i="31" l="1"/>
  <c r="BI44" i="33"/>
  <c r="BH44" i="33"/>
  <c r="BH99" i="31"/>
  <c r="AZ81" i="26"/>
  <c r="BJ37" i="32"/>
  <c r="BI46" i="33"/>
  <c r="BH75" i="32"/>
  <c r="BI137" i="31"/>
  <c r="BJ136" i="31"/>
  <c r="BJ39" i="31"/>
  <c r="BK36" i="31"/>
  <c r="BK39" i="31" s="1"/>
  <c r="BI140" i="31"/>
  <c r="BI75" i="32" s="1"/>
  <c r="BJ139" i="31"/>
  <c r="BI141" i="31"/>
  <c r="BI143" i="31"/>
  <c r="BZ60" i="31"/>
  <c r="BZ108" i="31" s="1"/>
  <c r="BH60" i="31"/>
  <c r="BD7" i="31"/>
  <c r="BD53" i="32" s="1"/>
  <c r="BD51" i="32" s="1"/>
  <c r="BE7" i="31"/>
  <c r="BI9" i="32"/>
  <c r="BH87" i="32"/>
  <c r="BZ22" i="32"/>
  <c r="BH22" i="32"/>
  <c r="BI33" i="32"/>
  <c r="BH91" i="32"/>
  <c r="BZ13" i="32"/>
  <c r="BH13" i="32"/>
  <c r="BH22" i="33" s="1"/>
  <c r="BI62" i="32"/>
  <c r="BJ58" i="32"/>
  <c r="BJ27" i="32"/>
  <c r="BJ25" i="33" s="1"/>
  <c r="BF45" i="33"/>
  <c r="BE47" i="33"/>
  <c r="BE65" i="32"/>
  <c r="BG22" i="33"/>
  <c r="BZ22" i="33" s="1"/>
  <c r="BG26" i="33"/>
  <c r="BZ26" i="33" s="1"/>
  <c r="BE20" i="32"/>
  <c r="BE37" i="33" s="1"/>
  <c r="BG28" i="32"/>
  <c r="BH28" i="32" s="1"/>
  <c r="BH24" i="33" s="1"/>
  <c r="BF24" i="33"/>
  <c r="BG91" i="32"/>
  <c r="BZ33" i="32"/>
  <c r="BZ46" i="33"/>
  <c r="BD90" i="32"/>
  <c r="BD92" i="32" s="1"/>
  <c r="BE30" i="32"/>
  <c r="BE81" i="31"/>
  <c r="BG87" i="32"/>
  <c r="BZ9" i="32"/>
  <c r="BF12" i="32"/>
  <c r="BF21" i="33" s="1"/>
  <c r="BZ61" i="31"/>
  <c r="BZ63" i="31" s="1"/>
  <c r="BZ140" i="31"/>
  <c r="BG61" i="31"/>
  <c r="BG108" i="31"/>
  <c r="BF46" i="31"/>
  <c r="BE115" i="31"/>
  <c r="BD75" i="26"/>
  <c r="BD11" i="26"/>
  <c r="BD48" i="26"/>
  <c r="BD62" i="26"/>
  <c r="BD55" i="26"/>
  <c r="BE11" i="26"/>
  <c r="BE75" i="26"/>
  <c r="BE74" i="26"/>
  <c r="BE62" i="26"/>
  <c r="BG59" i="26"/>
  <c r="BF61" i="26"/>
  <c r="BF52" i="26"/>
  <c r="BE54" i="26"/>
  <c r="BE55" i="26"/>
  <c r="BE48" i="26"/>
  <c r="BF47" i="26"/>
  <c r="BG45" i="26"/>
  <c r="BX81" i="26"/>
  <c r="BU111" i="31"/>
  <c r="BU130" i="31"/>
  <c r="BN51" i="33"/>
  <c r="BN54" i="33" s="1"/>
  <c r="BM57" i="33"/>
  <c r="BW111" i="31"/>
  <c r="BW130" i="31"/>
  <c r="BU104" i="31"/>
  <c r="BU112" i="31"/>
  <c r="AM113" i="31"/>
  <c r="AM132" i="31"/>
  <c r="BW104" i="31"/>
  <c r="BW112" i="31"/>
  <c r="N67" i="33"/>
  <c r="O66" i="33"/>
  <c r="N68" i="33"/>
  <c r="N69" i="33" s="1"/>
  <c r="N72" i="33" s="1"/>
  <c r="N78" i="33"/>
  <c r="N77" i="33" s="1"/>
  <c r="N81" i="33" s="1"/>
  <c r="AU113" i="31"/>
  <c r="AU132" i="31"/>
  <c r="AZ38" i="33"/>
  <c r="BX62" i="33"/>
  <c r="BX64" i="33" s="1"/>
  <c r="AX175" i="31"/>
  <c r="BA11" i="26"/>
  <c r="BA62" i="26"/>
  <c r="BA7" i="31"/>
  <c r="BA48" i="26"/>
  <c r="BA74" i="26"/>
  <c r="BA75" i="26"/>
  <c r="BA55" i="26"/>
  <c r="BX25" i="31"/>
  <c r="BX20" i="31"/>
  <c r="BX54" i="32"/>
  <c r="BX152" i="31"/>
  <c r="BX22" i="31"/>
  <c r="BX16" i="31"/>
  <c r="BX64" i="31"/>
  <c r="BX42" i="31"/>
  <c r="BX52" i="31"/>
  <c r="BX13" i="31"/>
  <c r="BX50" i="31"/>
  <c r="BX40" i="31"/>
  <c r="BX10" i="32"/>
  <c r="BX47" i="32" s="1"/>
  <c r="BC10" i="26"/>
  <c r="BC9" i="26"/>
  <c r="BC73" i="26"/>
  <c r="BD74" i="26" s="1"/>
  <c r="BY8" i="26"/>
  <c r="BB7" i="31"/>
  <c r="BB62" i="26"/>
  <c r="BB74" i="26"/>
  <c r="BB48" i="26"/>
  <c r="BB11" i="26"/>
  <c r="BB75" i="26"/>
  <c r="BB55" i="26"/>
  <c r="BJ99" i="31" l="1"/>
  <c r="BJ44" i="33"/>
  <c r="BE45" i="31"/>
  <c r="BE53" i="32"/>
  <c r="BE51" i="32" s="1"/>
  <c r="BB69" i="31"/>
  <c r="BB53" i="32"/>
  <c r="BB51" i="32" s="1"/>
  <c r="BA69" i="31"/>
  <c r="BA53" i="32"/>
  <c r="BA51" i="32" s="1"/>
  <c r="BK37" i="32"/>
  <c r="BJ46" i="33"/>
  <c r="BI22" i="32"/>
  <c r="BI26" i="33" s="1"/>
  <c r="BH26" i="33"/>
  <c r="AZ19" i="33"/>
  <c r="BZ75" i="32"/>
  <c r="BZ68" i="31"/>
  <c r="BJ141" i="31"/>
  <c r="BJ140" i="31"/>
  <c r="BK139" i="31"/>
  <c r="BJ143" i="31"/>
  <c r="CA36" i="31"/>
  <c r="BK136" i="31"/>
  <c r="BK137" i="31" s="1"/>
  <c r="BJ137" i="31"/>
  <c r="BZ59" i="26"/>
  <c r="BZ61" i="26" s="1"/>
  <c r="BH59" i="26"/>
  <c r="BI60" i="31"/>
  <c r="BH108" i="31"/>
  <c r="BH61" i="31"/>
  <c r="BE77" i="26"/>
  <c r="BE79" i="26" s="1"/>
  <c r="BE35" i="31"/>
  <c r="BD35" i="31"/>
  <c r="BE15" i="31"/>
  <c r="BE69" i="31"/>
  <c r="BE62" i="33"/>
  <c r="BE30" i="33" s="1"/>
  <c r="BE38" i="33" s="1"/>
  <c r="BE11" i="31"/>
  <c r="BE42" i="31" s="1"/>
  <c r="BE10" i="32"/>
  <c r="BD62" i="33"/>
  <c r="BD30" i="33" s="1"/>
  <c r="BD69" i="31"/>
  <c r="BD15" i="31"/>
  <c r="BD45" i="31"/>
  <c r="BD13" i="31"/>
  <c r="BD77" i="26"/>
  <c r="BD79" i="26" s="1"/>
  <c r="BD116" i="31"/>
  <c r="BE12" i="31"/>
  <c r="BD11" i="31"/>
  <c r="BD50" i="31" s="1"/>
  <c r="BZ45" i="26"/>
  <c r="BZ47" i="26" s="1"/>
  <c r="BH45" i="26"/>
  <c r="BE116" i="31"/>
  <c r="BK58" i="32"/>
  <c r="BJ62" i="32"/>
  <c r="BI13" i="32"/>
  <c r="BI28" i="32"/>
  <c r="BI24" i="33" s="1"/>
  <c r="BK27" i="32"/>
  <c r="BK25" i="33" s="1"/>
  <c r="CA25" i="33" s="1"/>
  <c r="BI91" i="32"/>
  <c r="BJ33" i="32"/>
  <c r="BI87" i="32"/>
  <c r="BJ9" i="32"/>
  <c r="BX19" i="33"/>
  <c r="CQ73" i="26"/>
  <c r="BF65" i="32"/>
  <c r="BG45" i="33"/>
  <c r="BH45" i="33" s="1"/>
  <c r="BF47" i="33"/>
  <c r="BG12" i="32"/>
  <c r="BF20" i="32"/>
  <c r="BF37" i="33" s="1"/>
  <c r="BE90" i="32"/>
  <c r="BE92" i="32" s="1"/>
  <c r="BF30" i="32"/>
  <c r="BF81" i="31"/>
  <c r="BG24" i="33"/>
  <c r="BZ24" i="33" s="1"/>
  <c r="BZ28" i="32"/>
  <c r="BG46" i="31"/>
  <c r="BF49" i="31"/>
  <c r="BF67" i="31" s="1"/>
  <c r="BF115" i="31"/>
  <c r="BG63" i="31"/>
  <c r="BG68" i="31" s="1"/>
  <c r="BG67" i="31"/>
  <c r="BE13" i="31"/>
  <c r="BD10" i="32"/>
  <c r="BZ10" i="26"/>
  <c r="BG52" i="26"/>
  <c r="BF54" i="26"/>
  <c r="BE81" i="26"/>
  <c r="BD81" i="26"/>
  <c r="BF73" i="26"/>
  <c r="BG47" i="26"/>
  <c r="BG61" i="26"/>
  <c r="BO51" i="33"/>
  <c r="BO54" i="33" s="1"/>
  <c r="BN57" i="33"/>
  <c r="BU132" i="31"/>
  <c r="BU113" i="31"/>
  <c r="O68" i="33"/>
  <c r="BO68" i="33" s="1"/>
  <c r="P66" i="33"/>
  <c r="BO66" i="33"/>
  <c r="O78" i="33"/>
  <c r="O77" i="33" s="1"/>
  <c r="O81" i="33" s="1"/>
  <c r="O67" i="33"/>
  <c r="BW132" i="31"/>
  <c r="BW113" i="31"/>
  <c r="AZ175" i="31"/>
  <c r="BA45" i="31"/>
  <c r="BA35" i="31"/>
  <c r="BA13" i="31"/>
  <c r="BA62" i="33"/>
  <c r="BA30" i="33" s="1"/>
  <c r="BA15" i="31"/>
  <c r="BA54" i="32" s="1"/>
  <c r="BA11" i="31"/>
  <c r="BA77" i="26"/>
  <c r="BA79" i="26" s="1"/>
  <c r="BA12" i="31"/>
  <c r="BA81" i="26"/>
  <c r="BB81" i="26"/>
  <c r="BB12" i="31"/>
  <c r="BB77" i="26"/>
  <c r="BB79" i="26" s="1"/>
  <c r="BB35" i="31"/>
  <c r="BB62" i="33"/>
  <c r="BB30" i="33" s="1"/>
  <c r="BB38" i="33" s="1"/>
  <c r="BB15" i="31"/>
  <c r="BB54" i="32" s="1"/>
  <c r="BB45" i="31"/>
  <c r="BB13" i="31"/>
  <c r="BB11" i="31"/>
  <c r="BC11" i="26"/>
  <c r="BC55" i="26"/>
  <c r="BC48" i="26"/>
  <c r="BC7" i="31"/>
  <c r="BC62" i="26"/>
  <c r="BC74" i="26"/>
  <c r="BC75" i="26"/>
  <c r="BX11" i="32"/>
  <c r="BX49" i="32" s="1"/>
  <c r="BX48" i="32" s="1"/>
  <c r="BX20" i="33"/>
  <c r="BX21" i="31"/>
  <c r="BX27" i="31"/>
  <c r="BY73" i="26"/>
  <c r="BY10" i="26"/>
  <c r="BX26" i="32"/>
  <c r="BX29" i="31"/>
  <c r="BX23" i="31"/>
  <c r="BX71" i="31"/>
  <c r="BX72" i="31" s="1"/>
  <c r="BX26" i="31"/>
  <c r="BK99" i="31" l="1"/>
  <c r="CA99" i="31" s="1"/>
  <c r="BK44" i="33"/>
  <c r="CA44" i="33" s="1"/>
  <c r="BA38" i="33"/>
  <c r="BD22" i="31"/>
  <c r="BD29" i="31" s="1"/>
  <c r="BD30" i="31" s="1"/>
  <c r="BD54" i="32"/>
  <c r="BD26" i="32" s="1"/>
  <c r="BY7" i="31"/>
  <c r="BC53" i="32"/>
  <c r="BC51" i="32" s="1"/>
  <c r="BE25" i="31"/>
  <c r="BE71" i="31" s="1"/>
  <c r="BE175" i="31" s="1"/>
  <c r="BE54" i="32"/>
  <c r="BE26" i="32" s="1"/>
  <c r="BI45" i="33"/>
  <c r="BH47" i="33"/>
  <c r="BK62" i="32"/>
  <c r="CA58" i="32"/>
  <c r="CA62" i="32" s="1"/>
  <c r="BI22" i="33"/>
  <c r="BJ22" i="32"/>
  <c r="BJ26" i="33"/>
  <c r="BK46" i="33"/>
  <c r="CA37" i="32"/>
  <c r="AZ20" i="33"/>
  <c r="CA39" i="31"/>
  <c r="BK140" i="31"/>
  <c r="BK75" i="32" s="1"/>
  <c r="BK143" i="31"/>
  <c r="CA143" i="31" s="1"/>
  <c r="BK141" i="31"/>
  <c r="CA136" i="31"/>
  <c r="BJ75" i="32"/>
  <c r="BG115" i="31"/>
  <c r="BH46" i="31"/>
  <c r="CA137" i="31"/>
  <c r="CA139" i="31"/>
  <c r="BI59" i="26"/>
  <c r="BH61" i="26"/>
  <c r="BH63" i="31"/>
  <c r="BH68" i="31" s="1"/>
  <c r="BJ60" i="31"/>
  <c r="BI61" i="31"/>
  <c r="BI108" i="31"/>
  <c r="BD152" i="31"/>
  <c r="BE20" i="31"/>
  <c r="BE21" i="31" s="1"/>
  <c r="BE152" i="31"/>
  <c r="BE22" i="31"/>
  <c r="BE23" i="31" s="1"/>
  <c r="BE16" i="31"/>
  <c r="BE72" i="31"/>
  <c r="BE52" i="31"/>
  <c r="BE50" i="31"/>
  <c r="BD64" i="31"/>
  <c r="BD23" i="31"/>
  <c r="BE40" i="31"/>
  <c r="BE19" i="33"/>
  <c r="BE64" i="31"/>
  <c r="BD20" i="31"/>
  <c r="BD27" i="31" s="1"/>
  <c r="BD25" i="31"/>
  <c r="BD71" i="31" s="1"/>
  <c r="BD72" i="31" s="1"/>
  <c r="BD16" i="31"/>
  <c r="BD42" i="31"/>
  <c r="BD52" i="31"/>
  <c r="BD40" i="31"/>
  <c r="BG73" i="26"/>
  <c r="BG62" i="26" s="1"/>
  <c r="BH52" i="26"/>
  <c r="BH73" i="26" s="1"/>
  <c r="BI45" i="26"/>
  <c r="BH47" i="26"/>
  <c r="BF7" i="31"/>
  <c r="BF53" i="32" s="1"/>
  <c r="BF51" i="32" s="1"/>
  <c r="BK9" i="32"/>
  <c r="BJ87" i="32"/>
  <c r="BK33" i="32"/>
  <c r="BJ91" i="32"/>
  <c r="CA27" i="32"/>
  <c r="BJ28" i="32"/>
  <c r="BJ24" i="33" s="1"/>
  <c r="BJ13" i="32"/>
  <c r="BZ12" i="32"/>
  <c r="BH12" i="32"/>
  <c r="BX26" i="33"/>
  <c r="BG47" i="33"/>
  <c r="BZ45" i="33"/>
  <c r="BZ47" i="33" s="1"/>
  <c r="BG65" i="32"/>
  <c r="BG21" i="33"/>
  <c r="BZ21" i="33" s="1"/>
  <c r="BZ46" i="31"/>
  <c r="BZ49" i="31" s="1"/>
  <c r="BZ67" i="31" s="1"/>
  <c r="BG30" i="32"/>
  <c r="BG81" i="31"/>
  <c r="BZ81" i="31" s="1"/>
  <c r="BZ82" i="31" s="1"/>
  <c r="BF90" i="32"/>
  <c r="BF92" i="32" s="1"/>
  <c r="BG20" i="32"/>
  <c r="BD38" i="33"/>
  <c r="BC69" i="31"/>
  <c r="BD12" i="31"/>
  <c r="BZ52" i="26"/>
  <c r="BZ54" i="26" s="1"/>
  <c r="BF75" i="26"/>
  <c r="BF74" i="26"/>
  <c r="BF11" i="26"/>
  <c r="BF62" i="26"/>
  <c r="BF48" i="26"/>
  <c r="BF55" i="26"/>
  <c r="BG54" i="26"/>
  <c r="BC35" i="31"/>
  <c r="BO67" i="33"/>
  <c r="BO69" i="33"/>
  <c r="BO72" i="33" s="1"/>
  <c r="BO78" i="33"/>
  <c r="BO77" i="33" s="1"/>
  <c r="BO81" i="33" s="1"/>
  <c r="O69" i="33"/>
  <c r="O72" i="33" s="1"/>
  <c r="P67" i="33"/>
  <c r="Q66" i="33"/>
  <c r="P78" i="33"/>
  <c r="P68" i="33"/>
  <c r="P69" i="33" s="1"/>
  <c r="P72" i="33" s="1"/>
  <c r="P77" i="33"/>
  <c r="P81" i="33" s="1"/>
  <c r="BO57" i="33"/>
  <c r="BP51" i="33"/>
  <c r="BP54" i="33" s="1"/>
  <c r="BX23" i="33"/>
  <c r="BA50" i="31"/>
  <c r="BA42" i="31"/>
  <c r="BA40" i="31"/>
  <c r="BA52" i="31"/>
  <c r="BA64" i="31"/>
  <c r="BA10" i="32"/>
  <c r="BA19" i="33" s="1"/>
  <c r="BA16" i="31"/>
  <c r="BA152" i="31"/>
  <c r="BA22" i="31"/>
  <c r="BA23" i="31" s="1"/>
  <c r="BA20" i="31"/>
  <c r="BA21" i="31" s="1"/>
  <c r="BA25" i="31"/>
  <c r="BA71" i="31" s="1"/>
  <c r="BX50" i="32"/>
  <c r="BX31" i="32"/>
  <c r="BX32" i="31"/>
  <c r="BX73" i="31"/>
  <c r="BX74" i="31" s="1"/>
  <c r="BX28" i="31"/>
  <c r="BX30" i="31"/>
  <c r="BX75" i="31"/>
  <c r="BX76" i="31" s="1"/>
  <c r="BY11" i="26"/>
  <c r="BY75" i="26"/>
  <c r="BY62" i="26"/>
  <c r="BY55" i="26"/>
  <c r="BY48" i="26"/>
  <c r="BC81" i="26"/>
  <c r="BB25" i="31"/>
  <c r="BB71" i="31" s="1"/>
  <c r="BB20" i="31"/>
  <c r="BB22" i="31"/>
  <c r="BB152" i="31"/>
  <c r="BB16" i="31"/>
  <c r="BC62" i="33"/>
  <c r="BC30" i="33" s="1"/>
  <c r="BY30" i="33" s="1"/>
  <c r="BC12" i="31"/>
  <c r="BC13" i="31"/>
  <c r="BC15" i="31"/>
  <c r="BC54" i="32" s="1"/>
  <c r="BC77" i="26"/>
  <c r="BC79" i="26" s="1"/>
  <c r="BC45" i="31"/>
  <c r="BC11" i="31"/>
  <c r="BB52" i="31"/>
  <c r="BB40" i="31"/>
  <c r="BB64" i="31"/>
  <c r="BB50" i="31"/>
  <c r="BB42" i="31"/>
  <c r="BB10" i="32"/>
  <c r="BE11" i="32" l="1"/>
  <c r="BJ45" i="33"/>
  <c r="BI47" i="33"/>
  <c r="BI12" i="32"/>
  <c r="BI21" i="33" s="1"/>
  <c r="CA46" i="33"/>
  <c r="BK22" i="32"/>
  <c r="CA22" i="32" s="1"/>
  <c r="BH21" i="33"/>
  <c r="BJ22" i="33"/>
  <c r="CA141" i="31"/>
  <c r="CA140" i="31"/>
  <c r="CA75" i="32" s="1"/>
  <c r="BZ115" i="31"/>
  <c r="BH49" i="31"/>
  <c r="BH67" i="31" s="1"/>
  <c r="BI46" i="31"/>
  <c r="BH115" i="31"/>
  <c r="BE27" i="31"/>
  <c r="BE28" i="31" s="1"/>
  <c r="BI61" i="26"/>
  <c r="BJ59" i="26"/>
  <c r="BI63" i="31"/>
  <c r="BI68" i="31" s="1"/>
  <c r="BI67" i="31"/>
  <c r="BK60" i="31"/>
  <c r="BJ61" i="31"/>
  <c r="BJ108" i="31"/>
  <c r="BE29" i="31"/>
  <c r="BE75" i="31" s="1"/>
  <c r="BE76" i="31" s="1"/>
  <c r="BD21" i="31"/>
  <c r="BD175" i="31"/>
  <c r="BG48" i="26"/>
  <c r="BD11" i="32"/>
  <c r="BF35" i="31"/>
  <c r="BG75" i="26"/>
  <c r="BF13" i="31"/>
  <c r="BG55" i="26"/>
  <c r="BG11" i="26"/>
  <c r="BF77" i="26"/>
  <c r="BF79" i="26" s="1"/>
  <c r="BF69" i="31"/>
  <c r="BF45" i="31"/>
  <c r="BF11" i="31"/>
  <c r="BF50" i="31" s="1"/>
  <c r="BD75" i="31"/>
  <c r="BD76" i="31" s="1"/>
  <c r="BG7" i="31"/>
  <c r="BG53" i="32" s="1"/>
  <c r="BG51" i="32" s="1"/>
  <c r="BG74" i="26"/>
  <c r="BH74" i="26"/>
  <c r="BF15" i="31"/>
  <c r="BF54" i="32" s="1"/>
  <c r="BF62" i="33"/>
  <c r="BF30" i="33" s="1"/>
  <c r="BF38" i="33" s="1"/>
  <c r="BF116" i="31"/>
  <c r="BF12" i="31"/>
  <c r="BI52" i="26"/>
  <c r="BI73" i="26" s="1"/>
  <c r="BI48" i="26" s="1"/>
  <c r="BH54" i="26"/>
  <c r="BH11" i="26"/>
  <c r="BH7" i="31"/>
  <c r="BH55" i="26"/>
  <c r="BH62" i="26"/>
  <c r="BH75" i="26"/>
  <c r="BH48" i="26"/>
  <c r="BI47" i="26"/>
  <c r="BJ45" i="26"/>
  <c r="BD28" i="31"/>
  <c r="BK91" i="32"/>
  <c r="CA33" i="32"/>
  <c r="BK13" i="32"/>
  <c r="BK22" i="33" s="1"/>
  <c r="BZ20" i="32"/>
  <c r="BH20" i="32"/>
  <c r="BH30" i="32"/>
  <c r="BH81" i="31"/>
  <c r="BZ65" i="32"/>
  <c r="BH65" i="32"/>
  <c r="BK28" i="32"/>
  <c r="BK24" i="33" s="1"/>
  <c r="CA24" i="33" s="1"/>
  <c r="BK87" i="32"/>
  <c r="CA9" i="32"/>
  <c r="BZ73" i="26"/>
  <c r="BZ75" i="26" s="1"/>
  <c r="BG37" i="33"/>
  <c r="BZ37" i="33" s="1"/>
  <c r="BD73" i="31"/>
  <c r="BD74" i="31" s="1"/>
  <c r="BZ30" i="32"/>
  <c r="BG90" i="32"/>
  <c r="BG92" i="32" s="1"/>
  <c r="BD31" i="32"/>
  <c r="BF10" i="32"/>
  <c r="BE31" i="32"/>
  <c r="BE23" i="33"/>
  <c r="BF81" i="26"/>
  <c r="BY69" i="31"/>
  <c r="Q68" i="33"/>
  <c r="Q69" i="33" s="1"/>
  <c r="Q72" i="33" s="1"/>
  <c r="R66" i="33"/>
  <c r="Q67" i="33"/>
  <c r="Q78" i="33"/>
  <c r="Q77" i="33" s="1"/>
  <c r="Q81" i="33" s="1"/>
  <c r="BQ51" i="33"/>
  <c r="BQ54" i="33" s="1"/>
  <c r="BP57" i="33"/>
  <c r="AZ23" i="33"/>
  <c r="AZ26" i="33" s="1"/>
  <c r="BY26" i="33" s="1"/>
  <c r="BA29" i="31"/>
  <c r="BA75" i="31" s="1"/>
  <c r="BA76" i="31" s="1"/>
  <c r="BA27" i="31"/>
  <c r="BA73" i="31" s="1"/>
  <c r="BA74" i="31" s="1"/>
  <c r="BA175" i="31"/>
  <c r="BA72" i="31"/>
  <c r="BB19" i="33"/>
  <c r="BA11" i="32"/>
  <c r="BA20" i="33" s="1"/>
  <c r="BA26" i="32"/>
  <c r="BB72" i="31"/>
  <c r="BB175" i="31"/>
  <c r="BY11" i="31"/>
  <c r="BC40" i="31"/>
  <c r="BC52" i="31"/>
  <c r="BC64" i="31"/>
  <c r="BC42" i="31"/>
  <c r="BC50" i="31"/>
  <c r="BC25" i="31"/>
  <c r="BC71" i="31" s="1"/>
  <c r="BC20" i="31"/>
  <c r="BC16" i="31"/>
  <c r="BC152" i="31"/>
  <c r="BC22" i="31"/>
  <c r="BY15" i="31"/>
  <c r="BC38" i="33"/>
  <c r="BB23" i="31"/>
  <c r="BB29" i="31"/>
  <c r="BC10" i="32"/>
  <c r="BD19" i="33" s="1"/>
  <c r="BY77" i="26"/>
  <c r="BY79" i="26" s="1"/>
  <c r="BY45" i="31"/>
  <c r="BY53" i="32"/>
  <c r="BY51" i="32" s="1"/>
  <c r="BY35" i="31"/>
  <c r="BB21" i="31"/>
  <c r="BB27" i="31"/>
  <c r="BY81" i="26"/>
  <c r="BB26" i="32"/>
  <c r="BB11" i="32"/>
  <c r="BE20" i="33" l="1"/>
  <c r="BF52" i="31"/>
  <c r="BK45" i="33"/>
  <c r="BJ47" i="33"/>
  <c r="CA22" i="33"/>
  <c r="BK26" i="33"/>
  <c r="CA26" i="33" s="1"/>
  <c r="BJ12" i="32"/>
  <c r="BJ21" i="33" s="1"/>
  <c r="BH37" i="33"/>
  <c r="BJ46" i="31"/>
  <c r="BI115" i="31"/>
  <c r="BE73" i="31"/>
  <c r="BE74" i="31" s="1"/>
  <c r="BE32" i="31"/>
  <c r="BK59" i="26"/>
  <c r="BJ61" i="26"/>
  <c r="BJ63" i="31"/>
  <c r="BJ68" i="31" s="1"/>
  <c r="BK61" i="31"/>
  <c r="BK108" i="31"/>
  <c r="CA60" i="31"/>
  <c r="BF25" i="31"/>
  <c r="BF71" i="31" s="1"/>
  <c r="BF72" i="31" s="1"/>
  <c r="BE30" i="31"/>
  <c r="BF40" i="31"/>
  <c r="BF42" i="31"/>
  <c r="BF64" i="31"/>
  <c r="BG81" i="26"/>
  <c r="BF152" i="31"/>
  <c r="BF16" i="31"/>
  <c r="BF22" i="31"/>
  <c r="BF23" i="31" s="1"/>
  <c r="BF20" i="31"/>
  <c r="BF21" i="31" s="1"/>
  <c r="BG62" i="33"/>
  <c r="BG30" i="33" s="1"/>
  <c r="BZ30" i="33" s="1"/>
  <c r="BZ62" i="33" s="1"/>
  <c r="BG45" i="31"/>
  <c r="BG12" i="31"/>
  <c r="BG11" i="31"/>
  <c r="BG15" i="31"/>
  <c r="BG54" i="32" s="1"/>
  <c r="BG116" i="31"/>
  <c r="BG77" i="26"/>
  <c r="BG79" i="26" s="1"/>
  <c r="BG13" i="31"/>
  <c r="BG69" i="31"/>
  <c r="BG35" i="31"/>
  <c r="BH12" i="31"/>
  <c r="BZ7" i="31"/>
  <c r="BJ52" i="26"/>
  <c r="BJ73" i="26" s="1"/>
  <c r="BI54" i="26"/>
  <c r="BZ55" i="26"/>
  <c r="BI11" i="26"/>
  <c r="BI74" i="26"/>
  <c r="BI7" i="31"/>
  <c r="BI62" i="26"/>
  <c r="BI55" i="26"/>
  <c r="BI75" i="26"/>
  <c r="BH77" i="26"/>
  <c r="BH79" i="26" s="1"/>
  <c r="BH11" i="31"/>
  <c r="BH53" i="32"/>
  <c r="BH69" i="31"/>
  <c r="BH116" i="31"/>
  <c r="BH35" i="31"/>
  <c r="BH62" i="33"/>
  <c r="BH30" i="33" s="1"/>
  <c r="BH15" i="31"/>
  <c r="BH45" i="31"/>
  <c r="BH13" i="31"/>
  <c r="BZ48" i="26"/>
  <c r="BJ47" i="26"/>
  <c r="BK45" i="26"/>
  <c r="BH81" i="26"/>
  <c r="CA28" i="32"/>
  <c r="BH90" i="32"/>
  <c r="BH92" i="32" s="1"/>
  <c r="BI30" i="32"/>
  <c r="BI81" i="31"/>
  <c r="BI65" i="32"/>
  <c r="BJ65" i="32" s="1"/>
  <c r="BK65" i="32" s="1"/>
  <c r="CA65" i="32" s="1"/>
  <c r="BI20" i="32"/>
  <c r="CA13" i="32"/>
  <c r="BZ11" i="26"/>
  <c r="BZ62" i="26"/>
  <c r="BF19" i="33"/>
  <c r="BF26" i="32"/>
  <c r="BF11" i="32"/>
  <c r="BQ57" i="33"/>
  <c r="BR51" i="33"/>
  <c r="BR54" i="33" s="1"/>
  <c r="R68" i="33"/>
  <c r="R69" i="33" s="1"/>
  <c r="R72" i="33" s="1"/>
  <c r="R67" i="33"/>
  <c r="R78" i="33"/>
  <c r="R77" i="33" s="1"/>
  <c r="R81" i="33" s="1"/>
  <c r="S66" i="33"/>
  <c r="BA30" i="31"/>
  <c r="BA28" i="31"/>
  <c r="BA32" i="31"/>
  <c r="BB20" i="33"/>
  <c r="BA31" i="32"/>
  <c r="BA23" i="33"/>
  <c r="BY22" i="31"/>
  <c r="BY54" i="32"/>
  <c r="BY16" i="31"/>
  <c r="BY20" i="31"/>
  <c r="BY21" i="31" s="1"/>
  <c r="BY152" i="31"/>
  <c r="BC11" i="32"/>
  <c r="BD20" i="33" s="1"/>
  <c r="BC26" i="32"/>
  <c r="BD23" i="33" s="1"/>
  <c r="BC23" i="31"/>
  <c r="BC29" i="31"/>
  <c r="BC21" i="31"/>
  <c r="BC27" i="31"/>
  <c r="BD32" i="31" s="1"/>
  <c r="BB75" i="31"/>
  <c r="BB76" i="31" s="1"/>
  <c r="BB30" i="31"/>
  <c r="BB31" i="32"/>
  <c r="BB23" i="33"/>
  <c r="BB73" i="31"/>
  <c r="BB74" i="31" s="1"/>
  <c r="BB28" i="31"/>
  <c r="BB32" i="31"/>
  <c r="BY10" i="32"/>
  <c r="BY47" i="32" s="1"/>
  <c r="BC19" i="33"/>
  <c r="BY19" i="33" s="1"/>
  <c r="BY38" i="33"/>
  <c r="BY62" i="33"/>
  <c r="BY64" i="33" s="1"/>
  <c r="BC72" i="31"/>
  <c r="BC175" i="31"/>
  <c r="BY64" i="31"/>
  <c r="BY42" i="31"/>
  <c r="BY52" i="31"/>
  <c r="BY50" i="31"/>
  <c r="BY40" i="31"/>
  <c r="BY13" i="31"/>
  <c r="BY25" i="31"/>
  <c r="BF27" i="31" l="1"/>
  <c r="BF32" i="31" s="1"/>
  <c r="CA45" i="33"/>
  <c r="CA47" i="33" s="1"/>
  <c r="BK47" i="33"/>
  <c r="BK12" i="32"/>
  <c r="CA12" i="32" s="1"/>
  <c r="BI37" i="33"/>
  <c r="BZ35" i="31"/>
  <c r="BK46" i="31"/>
  <c r="BK115" i="31" s="1"/>
  <c r="BJ49" i="31"/>
  <c r="BJ67" i="31" s="1"/>
  <c r="BJ115" i="31"/>
  <c r="BF175" i="31"/>
  <c r="BK61" i="26"/>
  <c r="CA59" i="26"/>
  <c r="CA61" i="26" s="1"/>
  <c r="BK63" i="31"/>
  <c r="BK68" i="31" s="1"/>
  <c r="BK67" i="31"/>
  <c r="CA108" i="31"/>
  <c r="CA61" i="31"/>
  <c r="BF29" i="31"/>
  <c r="BF75" i="31" s="1"/>
  <c r="BF76" i="31" s="1"/>
  <c r="BG38" i="33"/>
  <c r="BZ38" i="33"/>
  <c r="BZ64" i="33"/>
  <c r="BG64" i="31"/>
  <c r="BG40" i="31"/>
  <c r="BG50" i="31"/>
  <c r="BZ11" i="31"/>
  <c r="BG42" i="31"/>
  <c r="BG52" i="31"/>
  <c r="BG25" i="31"/>
  <c r="BG71" i="31" s="1"/>
  <c r="BG152" i="31"/>
  <c r="BG16" i="31"/>
  <c r="BZ15" i="31"/>
  <c r="BG26" i="32"/>
  <c r="BZ26" i="32" s="1"/>
  <c r="BG20" i="31"/>
  <c r="BG22" i="31"/>
  <c r="BG23" i="31" s="1"/>
  <c r="BZ53" i="32"/>
  <c r="BZ51" i="32" s="1"/>
  <c r="BZ116" i="31"/>
  <c r="BZ45" i="31"/>
  <c r="BZ69" i="31"/>
  <c r="BZ77" i="26"/>
  <c r="BZ79" i="26" s="1"/>
  <c r="BG10" i="32"/>
  <c r="BZ81" i="26"/>
  <c r="BK52" i="26"/>
  <c r="BK54" i="26" s="1"/>
  <c r="BJ54" i="26"/>
  <c r="BH54" i="32"/>
  <c r="BH26" i="32" s="1"/>
  <c r="BH31" i="32" s="1"/>
  <c r="BH16" i="31"/>
  <c r="BH22" i="31"/>
  <c r="BH23" i="31" s="1"/>
  <c r="BH20" i="31"/>
  <c r="BH21" i="31" s="1"/>
  <c r="BH152" i="31"/>
  <c r="BK47" i="26"/>
  <c r="BH38" i="33"/>
  <c r="BH10" i="32"/>
  <c r="BH51" i="32"/>
  <c r="BI81" i="26"/>
  <c r="BJ62" i="26"/>
  <c r="BJ11" i="26"/>
  <c r="BJ7" i="31"/>
  <c r="BJ74" i="26"/>
  <c r="BJ55" i="26"/>
  <c r="BJ75" i="26"/>
  <c r="CA45" i="26"/>
  <c r="BH52" i="31"/>
  <c r="BH40" i="31"/>
  <c r="BH64" i="31"/>
  <c r="BH50" i="31"/>
  <c r="BH42" i="31"/>
  <c r="BJ48" i="26"/>
  <c r="BH25" i="31"/>
  <c r="BH71" i="31" s="1"/>
  <c r="BI77" i="26"/>
  <c r="BI79" i="26" s="1"/>
  <c r="BI12" i="31"/>
  <c r="BI116" i="31"/>
  <c r="BI53" i="32"/>
  <c r="BI15" i="31"/>
  <c r="BI69" i="31"/>
  <c r="BI35" i="31"/>
  <c r="BI11" i="31"/>
  <c r="BI45" i="31"/>
  <c r="BI62" i="33"/>
  <c r="BI30" i="33" s="1"/>
  <c r="BI38" i="33" s="1"/>
  <c r="BI13" i="31"/>
  <c r="BI90" i="32"/>
  <c r="BI92" i="32" s="1"/>
  <c r="BJ30" i="32"/>
  <c r="BJ81" i="31"/>
  <c r="BH49" i="32"/>
  <c r="BJ20" i="32"/>
  <c r="BF73" i="31"/>
  <c r="BF74" i="31" s="1"/>
  <c r="BF20" i="33"/>
  <c r="BF23" i="33"/>
  <c r="BF31" i="32"/>
  <c r="BY23" i="31"/>
  <c r="T66" i="33"/>
  <c r="BP66" i="33"/>
  <c r="S78" i="33"/>
  <c r="S77" i="33" s="1"/>
  <c r="S81" i="33" s="1"/>
  <c r="S68" i="33"/>
  <c r="BP68" i="33" s="1"/>
  <c r="S67" i="33"/>
  <c r="BS51" i="33"/>
  <c r="BS54" i="33" s="1"/>
  <c r="BR57" i="33"/>
  <c r="BY27" i="31"/>
  <c r="BY28" i="31" s="1"/>
  <c r="BC32" i="31"/>
  <c r="BC73" i="31"/>
  <c r="BC74" i="31" s="1"/>
  <c r="BC28" i="31"/>
  <c r="BC31" i="32"/>
  <c r="BC23" i="33"/>
  <c r="BY23" i="33" s="1"/>
  <c r="BY26" i="32"/>
  <c r="BY26" i="31"/>
  <c r="BY71" i="31"/>
  <c r="BY72" i="31" s="1"/>
  <c r="BY11" i="32"/>
  <c r="BY49" i="32" s="1"/>
  <c r="BC20" i="33"/>
  <c r="BY20" i="33" s="1"/>
  <c r="BC75" i="31"/>
  <c r="BC76" i="31" s="1"/>
  <c r="BC30" i="31"/>
  <c r="BY29" i="31"/>
  <c r="CA46" i="31" l="1"/>
  <c r="CA115" i="31" s="1"/>
  <c r="BF28" i="31"/>
  <c r="BK21" i="33"/>
  <c r="CA21" i="33" s="1"/>
  <c r="BJ37" i="33"/>
  <c r="CA49" i="31"/>
  <c r="CA67" i="31" s="1"/>
  <c r="BG23" i="33"/>
  <c r="BZ23" i="33" s="1"/>
  <c r="CA63" i="31"/>
  <c r="CA68" i="31" s="1"/>
  <c r="BF30" i="31"/>
  <c r="BG31" i="32"/>
  <c r="BG11" i="32"/>
  <c r="BG20" i="33" s="1"/>
  <c r="BZ20" i="33" s="1"/>
  <c r="BG29" i="31"/>
  <c r="BK73" i="26"/>
  <c r="BK11" i="26" s="1"/>
  <c r="BG72" i="31"/>
  <c r="BG175" i="31"/>
  <c r="BZ52" i="31"/>
  <c r="BZ40" i="31"/>
  <c r="BZ42" i="31"/>
  <c r="BZ13" i="31"/>
  <c r="BZ64" i="31"/>
  <c r="BZ50" i="31"/>
  <c r="BZ25" i="31"/>
  <c r="BZ20" i="31"/>
  <c r="BZ16" i="31"/>
  <c r="BZ152" i="31"/>
  <c r="BZ22" i="31"/>
  <c r="BZ54" i="32"/>
  <c r="BZ50" i="32" s="1"/>
  <c r="BH19" i="33"/>
  <c r="BG19" i="33"/>
  <c r="BZ19" i="33" s="1"/>
  <c r="BZ10" i="32"/>
  <c r="BZ47" i="32" s="1"/>
  <c r="BG21" i="31"/>
  <c r="BG27" i="31"/>
  <c r="BH23" i="33"/>
  <c r="CA52" i="26"/>
  <c r="CA54" i="26" s="1"/>
  <c r="BJ81" i="26"/>
  <c r="BH29" i="31"/>
  <c r="BH30" i="31" s="1"/>
  <c r="BK7" i="31"/>
  <c r="CA7" i="31" s="1"/>
  <c r="BI25" i="31"/>
  <c r="BI71" i="31" s="1"/>
  <c r="BI152" i="31"/>
  <c r="BI22" i="31"/>
  <c r="BI23" i="31" s="1"/>
  <c r="BI20" i="31"/>
  <c r="BI21" i="31" s="1"/>
  <c r="BI54" i="32"/>
  <c r="BI26" i="32" s="1"/>
  <c r="BI16" i="31"/>
  <c r="BH27" i="31"/>
  <c r="BI10" i="32"/>
  <c r="BI51" i="32"/>
  <c r="BH72" i="31"/>
  <c r="BH175" i="31"/>
  <c r="BI40" i="31"/>
  <c r="BI42" i="31"/>
  <c r="BI50" i="31"/>
  <c r="BI64" i="31"/>
  <c r="BI52" i="31"/>
  <c r="CA47" i="26"/>
  <c r="BJ53" i="32"/>
  <c r="BJ15" i="31"/>
  <c r="BJ69" i="31"/>
  <c r="BJ77" i="26"/>
  <c r="BJ79" i="26" s="1"/>
  <c r="BJ12" i="31"/>
  <c r="BJ116" i="31"/>
  <c r="BJ35" i="31"/>
  <c r="BJ62" i="33"/>
  <c r="BJ30" i="33" s="1"/>
  <c r="BJ45" i="31"/>
  <c r="BJ11" i="31"/>
  <c r="BJ13" i="31"/>
  <c r="BI49" i="32"/>
  <c r="BH48" i="32"/>
  <c r="BH11" i="32"/>
  <c r="BK30" i="32"/>
  <c r="BJ90" i="32"/>
  <c r="BJ92" i="32" s="1"/>
  <c r="BK81" i="31"/>
  <c r="CA81" i="31" s="1"/>
  <c r="CA82" i="31" s="1"/>
  <c r="BK20" i="32"/>
  <c r="BK37" i="33" s="1"/>
  <c r="BZ31" i="32"/>
  <c r="BT51" i="33"/>
  <c r="BT54" i="33" s="1"/>
  <c r="BS57" i="33"/>
  <c r="BP67" i="33"/>
  <c r="BP69" i="33"/>
  <c r="BP72" i="33" s="1"/>
  <c r="BP78" i="33"/>
  <c r="BP77" i="33" s="1"/>
  <c r="BP81" i="33" s="1"/>
  <c r="S69" i="33"/>
  <c r="S72" i="33" s="1"/>
  <c r="T67" i="33"/>
  <c r="T78" i="33"/>
  <c r="T77" i="33" s="1"/>
  <c r="T81" i="33" s="1"/>
  <c r="U66" i="33"/>
  <c r="T68" i="33"/>
  <c r="T69" i="33" s="1"/>
  <c r="T72" i="33" s="1"/>
  <c r="BY73" i="31"/>
  <c r="BY74" i="31" s="1"/>
  <c r="BY32" i="31"/>
  <c r="BY30" i="31"/>
  <c r="BY75" i="31"/>
  <c r="BY76" i="31" s="1"/>
  <c r="BY50" i="32"/>
  <c r="BY31" i="32"/>
  <c r="BY48" i="32"/>
  <c r="BJ38" i="33" l="1"/>
  <c r="CA37" i="33"/>
  <c r="BH20" i="33"/>
  <c r="BZ11" i="32"/>
  <c r="CA73" i="26"/>
  <c r="CA48" i="26" s="1"/>
  <c r="BK75" i="26"/>
  <c r="BK48" i="26"/>
  <c r="BK62" i="26"/>
  <c r="BK55" i="26"/>
  <c r="BI29" i="31"/>
  <c r="BI75" i="31" s="1"/>
  <c r="BI76" i="31" s="1"/>
  <c r="BK74" i="26"/>
  <c r="BZ49" i="32"/>
  <c r="BZ48" i="32" s="1"/>
  <c r="BG75" i="31"/>
  <c r="BG76" i="31" s="1"/>
  <c r="BG30" i="31"/>
  <c r="BH75" i="31"/>
  <c r="BH76" i="31" s="1"/>
  <c r="BZ21" i="31"/>
  <c r="BZ27" i="31"/>
  <c r="BG73" i="31"/>
  <c r="BG74" i="31" s="1"/>
  <c r="BG32" i="31"/>
  <c r="BG28" i="31"/>
  <c r="BZ23" i="31"/>
  <c r="BZ29" i="31"/>
  <c r="BZ26" i="31"/>
  <c r="BZ71" i="31"/>
  <c r="BZ72" i="31" s="1"/>
  <c r="BI27" i="31"/>
  <c r="BI73" i="31" s="1"/>
  <c r="BI74" i="31" s="1"/>
  <c r="BJ42" i="31"/>
  <c r="BJ64" i="31"/>
  <c r="BJ50" i="31"/>
  <c r="BJ40" i="31"/>
  <c r="BJ52" i="31"/>
  <c r="BJ22" i="31"/>
  <c r="BJ23" i="31" s="1"/>
  <c r="BJ16" i="31"/>
  <c r="BJ152" i="31"/>
  <c r="BJ54" i="32"/>
  <c r="BJ26" i="32" s="1"/>
  <c r="BJ20" i="31"/>
  <c r="BJ21" i="31" s="1"/>
  <c r="CA35" i="31"/>
  <c r="CA53" i="32"/>
  <c r="CA51" i="32" s="1"/>
  <c r="CA69" i="31"/>
  <c r="CA45" i="31"/>
  <c r="CA116" i="31"/>
  <c r="CA77" i="26"/>
  <c r="CA79" i="26" s="1"/>
  <c r="BJ10" i="32"/>
  <c r="BJ51" i="32"/>
  <c r="BI23" i="33"/>
  <c r="BI31" i="32"/>
  <c r="BI72" i="31"/>
  <c r="BI175" i="31"/>
  <c r="BJ25" i="31"/>
  <c r="BJ71" i="31" s="1"/>
  <c r="BI19" i="33"/>
  <c r="BH28" i="31"/>
  <c r="BH73" i="31"/>
  <c r="BH74" i="31" s="1"/>
  <c r="BH32" i="31"/>
  <c r="BK77" i="26"/>
  <c r="BK79" i="26" s="1"/>
  <c r="BK69" i="31"/>
  <c r="BK53" i="32"/>
  <c r="BK35" i="31"/>
  <c r="BK12" i="31"/>
  <c r="BK116" i="31"/>
  <c r="BK62" i="33"/>
  <c r="BK30" i="33" s="1"/>
  <c r="BK38" i="33" s="1"/>
  <c r="BK45" i="31"/>
  <c r="BK15" i="31"/>
  <c r="BK25" i="31" s="1"/>
  <c r="BK71" i="31" s="1"/>
  <c r="BK11" i="31"/>
  <c r="CA11" i="31" s="1"/>
  <c r="BK13" i="31"/>
  <c r="CA20" i="32"/>
  <c r="BK90" i="32"/>
  <c r="BK92" i="32" s="1"/>
  <c r="CA30" i="32"/>
  <c r="BI48" i="32"/>
  <c r="BI11" i="32"/>
  <c r="BJ49" i="32"/>
  <c r="U68" i="33"/>
  <c r="U69" i="33" s="1"/>
  <c r="U72" i="33" s="1"/>
  <c r="V66" i="33"/>
  <c r="U67" i="33"/>
  <c r="U78" i="33"/>
  <c r="U77" i="33" s="1"/>
  <c r="U81" i="33" s="1"/>
  <c r="BT57" i="33"/>
  <c r="BU51" i="33"/>
  <c r="BU54" i="33" s="1"/>
  <c r="BI28" i="31" l="1"/>
  <c r="CA75" i="26"/>
  <c r="BI32" i="31"/>
  <c r="CA62" i="26"/>
  <c r="BK81" i="26"/>
  <c r="CA11" i="26"/>
  <c r="CA55" i="26"/>
  <c r="BI30" i="31"/>
  <c r="BZ75" i="31"/>
  <c r="BZ76" i="31" s="1"/>
  <c r="BZ30" i="31"/>
  <c r="BZ73" i="31"/>
  <c r="BZ74" i="31" s="1"/>
  <c r="BZ32" i="31"/>
  <c r="BZ28" i="31"/>
  <c r="CA40" i="31"/>
  <c r="CA52" i="31"/>
  <c r="CA64" i="31"/>
  <c r="CA50" i="31"/>
  <c r="CA42" i="31"/>
  <c r="CA13" i="31"/>
  <c r="BJ175" i="31"/>
  <c r="BJ72" i="31"/>
  <c r="BJ27" i="31"/>
  <c r="BK50" i="31"/>
  <c r="BK40" i="31"/>
  <c r="BK64" i="31"/>
  <c r="BK42" i="31"/>
  <c r="BK52" i="31"/>
  <c r="BK72" i="31"/>
  <c r="BK175" i="31"/>
  <c r="BK10" i="32"/>
  <c r="CA10" i="32" s="1"/>
  <c r="CA47" i="32" s="1"/>
  <c r="BK51" i="32"/>
  <c r="BK54" i="32"/>
  <c r="BK26" i="32" s="1"/>
  <c r="BK20" i="31"/>
  <c r="BK21" i="31" s="1"/>
  <c r="BK152" i="31"/>
  <c r="BK16" i="31"/>
  <c r="BK22" i="31"/>
  <c r="BK23" i="31" s="1"/>
  <c r="CA15" i="31"/>
  <c r="BJ19" i="33"/>
  <c r="BJ23" i="33"/>
  <c r="BJ31" i="32"/>
  <c r="BJ29" i="31"/>
  <c r="CA30" i="33"/>
  <c r="BI20" i="33"/>
  <c r="BK49" i="32"/>
  <c r="BJ11" i="32"/>
  <c r="BJ48" i="32"/>
  <c r="BV51" i="33"/>
  <c r="BV54" i="33" s="1"/>
  <c r="BU57" i="33"/>
  <c r="W66" i="33"/>
  <c r="V67" i="33"/>
  <c r="V78" i="33"/>
  <c r="V77" i="33" s="1"/>
  <c r="V81" i="33" s="1"/>
  <c r="V68" i="33"/>
  <c r="V69" i="33" s="1"/>
  <c r="V72" i="33" s="1"/>
  <c r="CA81" i="26" l="1"/>
  <c r="BK27" i="31"/>
  <c r="BK73" i="31" s="1"/>
  <c r="BK74" i="31" s="1"/>
  <c r="CA62" i="33"/>
  <c r="CA64" i="33" s="1"/>
  <c r="CA38" i="33"/>
  <c r="CA26" i="32"/>
  <c r="BK23" i="33"/>
  <c r="CA23" i="33" s="1"/>
  <c r="BK31" i="32"/>
  <c r="CA16" i="31"/>
  <c r="CA22" i="31"/>
  <c r="CA152" i="31"/>
  <c r="CA54" i="32"/>
  <c r="CA20" i="31"/>
  <c r="CA25" i="31"/>
  <c r="BK19" i="33"/>
  <c r="CA19" i="33" s="1"/>
  <c r="BJ28" i="31"/>
  <c r="BJ73" i="31"/>
  <c r="BJ74" i="31" s="1"/>
  <c r="BJ32" i="31"/>
  <c r="BK28" i="31"/>
  <c r="BJ75" i="31"/>
  <c r="BJ76" i="31" s="1"/>
  <c r="BJ30" i="31"/>
  <c r="BK29" i="31"/>
  <c r="BJ20" i="33"/>
  <c r="BK48" i="32"/>
  <c r="BK11" i="32"/>
  <c r="BK20" i="33" s="1"/>
  <c r="X66" i="33"/>
  <c r="BQ66" i="33"/>
  <c r="W68" i="33"/>
  <c r="BQ68" i="33" s="1"/>
  <c r="W67" i="33"/>
  <c r="W78" i="33"/>
  <c r="W77" i="33" s="1"/>
  <c r="W81" i="33" s="1"/>
  <c r="BW51" i="33"/>
  <c r="BW54" i="33" s="1"/>
  <c r="BV57" i="33"/>
  <c r="BK32" i="31" l="1"/>
  <c r="CA26" i="31"/>
  <c r="CA71" i="31"/>
  <c r="CA72" i="31" s="1"/>
  <c r="CA23" i="31"/>
  <c r="CA29" i="31"/>
  <c r="CA50" i="32"/>
  <c r="CA31" i="32"/>
  <c r="CA21" i="31"/>
  <c r="CA27" i="31"/>
  <c r="BK75" i="31"/>
  <c r="BK76" i="31" s="1"/>
  <c r="BK30" i="31"/>
  <c r="CA20" i="33"/>
  <c r="CA11" i="32"/>
  <c r="CA49" i="32" s="1"/>
  <c r="CA48" i="32" s="1"/>
  <c r="W69" i="33"/>
  <c r="W72" i="33" s="1"/>
  <c r="X67" i="33"/>
  <c r="Y66" i="33"/>
  <c r="X78" i="33"/>
  <c r="X77" i="33" s="1"/>
  <c r="X81" i="33" s="1"/>
  <c r="X68" i="33"/>
  <c r="X69" i="33" s="1"/>
  <c r="X72" i="33" s="1"/>
  <c r="BX51" i="33"/>
  <c r="BW57" i="33"/>
  <c r="BQ78" i="33"/>
  <c r="BQ67" i="33"/>
  <c r="BQ77" i="33"/>
  <c r="BQ81" i="33" s="1"/>
  <c r="BQ69" i="33"/>
  <c r="BQ72" i="33" s="1"/>
  <c r="CA73" i="31" l="1"/>
  <c r="CA74" i="31" s="1"/>
  <c r="CA28" i="31"/>
  <c r="CA32" i="31"/>
  <c r="CA75" i="31"/>
  <c r="CA76" i="31" s="1"/>
  <c r="CA30" i="31"/>
  <c r="Y68" i="33"/>
  <c r="Y69" i="33" s="1"/>
  <c r="Y72" i="33" s="1"/>
  <c r="Z66" i="33"/>
  <c r="Y67" i="33"/>
  <c r="Y78" i="33"/>
  <c r="Y77" i="33" s="1"/>
  <c r="Y81" i="33" s="1"/>
  <c r="Z68" i="33" l="1"/>
  <c r="Z69" i="33" s="1"/>
  <c r="Z72" i="33" s="1"/>
  <c r="Z67" i="33"/>
  <c r="Z78" i="33"/>
  <c r="Z77" i="33" s="1"/>
  <c r="Z81" i="33" s="1"/>
  <c r="AA66" i="33"/>
  <c r="BR66" i="33" l="1"/>
  <c r="AB66" i="33"/>
  <c r="AA68" i="33"/>
  <c r="BR68" i="33" s="1"/>
  <c r="AA67" i="33"/>
  <c r="AA78" i="33"/>
  <c r="AA77" i="33" s="1"/>
  <c r="AA81" i="33" s="1"/>
  <c r="AA69" i="33" l="1"/>
  <c r="AA72" i="33" s="1"/>
  <c r="AB78" i="33"/>
  <c r="AB77" i="33" s="1"/>
  <c r="AB81" i="33" s="1"/>
  <c r="AC66" i="33"/>
  <c r="AB68" i="33"/>
  <c r="AB69" i="33" s="1"/>
  <c r="AB72" i="33" s="1"/>
  <c r="AB67" i="33"/>
  <c r="BR67" i="33"/>
  <c r="BR78" i="33"/>
  <c r="BR69" i="33"/>
  <c r="BR72" i="33" s="1"/>
  <c r="BR77" i="33"/>
  <c r="BR81" i="33" s="1"/>
  <c r="AC68" i="33" l="1"/>
  <c r="AC69" i="33" s="1"/>
  <c r="AC72" i="33" s="1"/>
  <c r="AD66" i="33"/>
  <c r="AC67" i="33"/>
  <c r="AC78" i="33"/>
  <c r="AC77" i="33" s="1"/>
  <c r="AC81" i="33" s="1"/>
  <c r="AD67" i="33" l="1"/>
  <c r="AD78" i="33"/>
  <c r="AE66" i="33"/>
  <c r="AD77" i="33"/>
  <c r="AD81" i="33" s="1"/>
  <c r="AD68" i="33"/>
  <c r="AD69" i="33" s="1"/>
  <c r="AD72" i="33" s="1"/>
  <c r="AF66" i="33" l="1"/>
  <c r="AE78" i="33"/>
  <c r="BS66" i="33"/>
  <c r="AE77" i="33"/>
  <c r="AE81" i="33" s="1"/>
  <c r="AE67" i="33"/>
  <c r="AE68" i="33"/>
  <c r="BS68" i="33" s="1"/>
  <c r="AE69" i="33" l="1"/>
  <c r="AE72" i="33" s="1"/>
  <c r="AF67" i="33"/>
  <c r="AG66" i="33"/>
  <c r="AF78" i="33"/>
  <c r="AF68" i="33"/>
  <c r="AF69" i="33" s="1"/>
  <c r="AF72" i="33" s="1"/>
  <c r="AF77" i="33"/>
  <c r="AF81" i="33" s="1"/>
  <c r="BS67" i="33"/>
  <c r="BS69" i="33"/>
  <c r="BS72" i="33" s="1"/>
  <c r="BS78" i="33"/>
  <c r="BS77" i="33" s="1"/>
  <c r="BS81" i="33" s="1"/>
  <c r="AG68" i="33" l="1"/>
  <c r="AG69" i="33" s="1"/>
  <c r="AG72" i="33" s="1"/>
  <c r="AG67" i="33"/>
  <c r="AH66" i="33"/>
  <c r="AG78" i="33"/>
  <c r="AG77" i="33" s="1"/>
  <c r="AG81" i="33" s="1"/>
  <c r="AI66" i="33" l="1"/>
  <c r="AH78" i="33"/>
  <c r="AH77" i="33" s="1"/>
  <c r="AH81" i="33" s="1"/>
  <c r="AH68" i="33"/>
  <c r="AH69" i="33" s="1"/>
  <c r="AH72" i="33" s="1"/>
  <c r="AH67" i="33"/>
  <c r="AI67" i="33" l="1"/>
  <c r="AI68" i="33"/>
  <c r="BT68" i="33" s="1"/>
  <c r="BT66" i="33"/>
  <c r="AI78" i="33"/>
  <c r="AI77" i="33" s="1"/>
  <c r="AI81" i="33" s="1"/>
  <c r="AJ66" i="33"/>
  <c r="BT67" i="33" l="1"/>
  <c r="BT78" i="33"/>
  <c r="BT77" i="33" s="1"/>
  <c r="BT81" i="33" s="1"/>
  <c r="BT69" i="33"/>
  <c r="BT72" i="33" s="1"/>
  <c r="AJ68" i="33"/>
  <c r="AJ69" i="33" s="1"/>
  <c r="AJ72" i="33" s="1"/>
  <c r="AJ67" i="33"/>
  <c r="AJ78" i="33"/>
  <c r="AJ77" i="33" s="1"/>
  <c r="AJ81" i="33" s="1"/>
  <c r="AK66" i="33"/>
  <c r="AI69" i="33"/>
  <c r="AI72" i="33" s="1"/>
  <c r="AK68" i="33" l="1"/>
  <c r="AK69" i="33" s="1"/>
  <c r="AK72" i="33" s="1"/>
  <c r="AK67" i="33"/>
  <c r="AL66" i="33"/>
  <c r="AK78" i="33"/>
  <c r="AK77" i="33" s="1"/>
  <c r="AK81" i="33" s="1"/>
  <c r="AM66" i="33" l="1"/>
  <c r="AL78" i="33"/>
  <c r="AL77" i="33" s="1"/>
  <c r="AL81" i="33" s="1"/>
  <c r="AL68" i="33"/>
  <c r="AL69" i="33" s="1"/>
  <c r="AL72" i="33" s="1"/>
  <c r="AL67" i="33"/>
  <c r="AM78" i="33" l="1"/>
  <c r="AN66" i="33"/>
  <c r="AM77" i="33"/>
  <c r="AM81" i="33" s="1"/>
  <c r="AM67" i="33"/>
  <c r="AM68" i="33"/>
  <c r="BU68" i="33" s="1"/>
  <c r="BU66" i="33"/>
  <c r="AM69" i="33" l="1"/>
  <c r="AM72" i="33" s="1"/>
  <c r="BU67" i="33"/>
  <c r="BU69" i="33"/>
  <c r="BU72" i="33" s="1"/>
  <c r="BU78" i="33"/>
  <c r="BU77" i="33" s="1"/>
  <c r="BU81" i="33" s="1"/>
  <c r="AN78" i="33"/>
  <c r="AN67" i="33"/>
  <c r="AN68" i="33"/>
  <c r="AN69" i="33" s="1"/>
  <c r="AN72" i="33" s="1"/>
  <c r="AO66" i="33"/>
  <c r="AN77" i="33"/>
  <c r="AN81" i="33" s="1"/>
  <c r="AO68" i="33" l="1"/>
  <c r="AO69" i="33" s="1"/>
  <c r="AO72" i="33" s="1"/>
  <c r="AP66" i="33"/>
  <c r="AO67" i="33"/>
  <c r="AO78" i="33"/>
  <c r="AO77" i="33" s="1"/>
  <c r="AO81" i="33" s="1"/>
  <c r="AQ66" i="33" l="1"/>
  <c r="AP78" i="33"/>
  <c r="AP77" i="33" s="1"/>
  <c r="AP81" i="33" s="1"/>
  <c r="AP68" i="33"/>
  <c r="AP69" i="33" s="1"/>
  <c r="AP72" i="33" s="1"/>
  <c r="AP67" i="33"/>
  <c r="AQ78" i="33" l="1"/>
  <c r="AQ77" i="33" s="1"/>
  <c r="AQ81" i="33" s="1"/>
  <c r="BV66" i="33"/>
  <c r="AQ67" i="33"/>
  <c r="AR66" i="33"/>
  <c r="AQ68" i="33"/>
  <c r="BV68" i="33" s="1"/>
  <c r="AS66" i="33" l="1"/>
  <c r="AR67" i="33"/>
  <c r="AR68" i="33"/>
  <c r="AR69" i="33" s="1"/>
  <c r="AR72" i="33" s="1"/>
  <c r="AR78" i="33"/>
  <c r="AR77" i="33" s="1"/>
  <c r="AR81" i="33" s="1"/>
  <c r="AQ69" i="33"/>
  <c r="AQ72" i="33" s="1"/>
  <c r="BV67" i="33"/>
  <c r="BV69" i="33"/>
  <c r="BV72" i="33" s="1"/>
  <c r="BV78" i="33"/>
  <c r="BV77" i="33" s="1"/>
  <c r="BV81" i="33" s="1"/>
  <c r="AS67" i="33" l="1"/>
  <c r="AT66" i="33"/>
  <c r="AS68" i="33"/>
  <c r="AS69" i="33" s="1"/>
  <c r="AS72" i="33" s="1"/>
  <c r="AS78" i="33"/>
  <c r="AS77" i="33" s="1"/>
  <c r="AS81" i="33" s="1"/>
  <c r="AT78" i="33" l="1"/>
  <c r="AT77" i="33" s="1"/>
  <c r="AT81" i="33" s="1"/>
  <c r="AT67" i="33"/>
  <c r="AT68" i="33"/>
  <c r="AT69" i="33" s="1"/>
  <c r="AT72" i="33" s="1"/>
  <c r="BW66" i="33" l="1"/>
  <c r="AU67" i="33"/>
  <c r="AU78" i="33"/>
  <c r="AU77" i="33" l="1"/>
  <c r="AU81" i="33" s="1"/>
  <c r="BW68" i="33"/>
  <c r="BW69" i="33" s="1"/>
  <c r="BW72" i="33" s="1"/>
  <c r="AU69" i="33"/>
  <c r="AU72" i="33" s="1"/>
  <c r="BW67" i="33"/>
  <c r="BW78" i="33"/>
  <c r="BW77" i="33" s="1"/>
  <c r="BW81" i="33" s="1"/>
  <c r="AW78" i="33"/>
  <c r="AW77" i="33" s="1"/>
  <c r="AW81" i="33" s="1"/>
  <c r="AV176" i="31" l="1"/>
  <c r="AV177" i="31" s="1"/>
  <c r="AV97" i="32" s="1"/>
  <c r="AW176" i="31"/>
  <c r="AW177" i="31" s="1"/>
  <c r="AX176" i="31" l="1"/>
  <c r="AX177" i="31" s="1"/>
  <c r="AW72" i="33" l="1"/>
  <c r="BX66" i="33"/>
  <c r="AZ78" i="33"/>
  <c r="AZ77" i="33" s="1"/>
  <c r="AZ81" i="33" s="1"/>
  <c r="AX72" i="33" l="1"/>
  <c r="BA66" i="33"/>
  <c r="BB66" i="33" l="1"/>
  <c r="BX16" i="32" l="1"/>
  <c r="BX71" i="33" s="1"/>
  <c r="BC66" i="33"/>
  <c r="BD66" i="33" l="1"/>
  <c r="BY66" i="33"/>
  <c r="BE66" i="33" l="1"/>
  <c r="BF66" i="33" l="1"/>
  <c r="BG66" i="33" l="1"/>
  <c r="BH66" i="33" l="1"/>
  <c r="BZ66" i="33"/>
  <c r="BI66" i="33" l="1"/>
  <c r="BJ66" i="33" l="1"/>
  <c r="BK66" i="33" l="1"/>
  <c r="CA66" i="33" s="1"/>
  <c r="AV102" i="32" l="1"/>
  <c r="AW68" i="32" l="1"/>
  <c r="AW102" i="32"/>
  <c r="AW85" i="33" l="1"/>
  <c r="AW86" i="33" s="1"/>
  <c r="AW70" i="32"/>
  <c r="AW71" i="32" s="1"/>
  <c r="AX51" i="33" l="1"/>
  <c r="AW86" i="32" l="1"/>
  <c r="AW88" i="32" s="1"/>
  <c r="AW94" i="32" s="1"/>
  <c r="AW97" i="32" s="1"/>
  <c r="AW95" i="32" l="1"/>
  <c r="AX68" i="32" l="1"/>
  <c r="AX8" i="33" l="1"/>
  <c r="AX76" i="32"/>
  <c r="AX77" i="32"/>
  <c r="AX78" i="32" s="1"/>
  <c r="AX70" i="32"/>
  <c r="AX71" i="32" s="1"/>
  <c r="AX27" i="33" l="1"/>
  <c r="AX85" i="33" s="1"/>
  <c r="AX86" i="33" s="1"/>
  <c r="AX53" i="33" l="1"/>
  <c r="AX54" i="33" s="1"/>
  <c r="AY51" i="33" s="1"/>
  <c r="AX56" i="33"/>
  <c r="AX102" i="32"/>
  <c r="AX57" i="33" l="1"/>
  <c r="AX79" i="32"/>
  <c r="AX81" i="32" s="1"/>
  <c r="AX86" i="32"/>
  <c r="AX88" i="32" s="1"/>
  <c r="AX94" i="32" s="1"/>
  <c r="AX97" i="32" s="1"/>
  <c r="AX95" i="32" l="1"/>
  <c r="AX82" i="32"/>
  <c r="AX80" i="32"/>
  <c r="BX79" i="31"/>
  <c r="BX80" i="31" s="1"/>
  <c r="BX78" i="31" l="1"/>
  <c r="BX86" i="31" s="1"/>
  <c r="BX84" i="31" l="1"/>
  <c r="BX91" i="31" s="1"/>
  <c r="BX89" i="31"/>
  <c r="BX90" i="31" s="1"/>
  <c r="BX93" i="31"/>
  <c r="BX87" i="31" l="1"/>
  <c r="BX92" i="31"/>
  <c r="BX94" i="31"/>
  <c r="BX98" i="31"/>
  <c r="BX115" i="31" s="1"/>
  <c r="BX116" i="31" s="1"/>
  <c r="BX96" i="31"/>
  <c r="BX101" i="31" l="1"/>
  <c r="BX110" i="31" s="1"/>
  <c r="BX106" i="31"/>
  <c r="BX97" i="31"/>
  <c r="BX102" i="31" l="1"/>
  <c r="BX103" i="31"/>
  <c r="BX107" i="31"/>
  <c r="BX122" i="31"/>
  <c r="AY8" i="33"/>
  <c r="BX130" i="31"/>
  <c r="BX111" i="31"/>
  <c r="BX104" i="31" l="1"/>
  <c r="BX112" i="31"/>
  <c r="BX132" i="31" s="1"/>
  <c r="AY102" i="32"/>
  <c r="BX8" i="33"/>
  <c r="BX125" i="31"/>
  <c r="BX123" i="31"/>
  <c r="BX66" i="32"/>
  <c r="AY68" i="32"/>
  <c r="BX113" i="31" l="1"/>
  <c r="AY77" i="32"/>
  <c r="AY78" i="32" s="1"/>
  <c r="AY76" i="32"/>
  <c r="AY70" i="32"/>
  <c r="BX39" i="32"/>
  <c r="BX129" i="31"/>
  <c r="BX127" i="31"/>
  <c r="BX68" i="32"/>
  <c r="BX102" i="32"/>
  <c r="BX76" i="32" l="1"/>
  <c r="BX77" i="32"/>
  <c r="BX78" i="32" s="1"/>
  <c r="BX41" i="32"/>
  <c r="AY71" i="32"/>
  <c r="BX70" i="32"/>
  <c r="BX71" i="32" s="1"/>
  <c r="AY56" i="33" l="1"/>
  <c r="AY79" i="32"/>
  <c r="AY86" i="32"/>
  <c r="AY88" i="32" s="1"/>
  <c r="AY94" i="32" s="1"/>
  <c r="BX8" i="32"/>
  <c r="BX79" i="32" l="1"/>
  <c r="BX14" i="32"/>
  <c r="BX56" i="33"/>
  <c r="AY82" i="32"/>
  <c r="AY81" i="32"/>
  <c r="AY80" i="32"/>
  <c r="AY95" i="32" l="1"/>
  <c r="BX81" i="32"/>
  <c r="BX80" i="32"/>
  <c r="BX82" i="32"/>
  <c r="BX23" i="32"/>
  <c r="BX67" i="33" l="1"/>
  <c r="BX43" i="32"/>
  <c r="AZ8" i="33" l="1"/>
  <c r="AZ66" i="32"/>
  <c r="AZ68" i="32" s="1"/>
  <c r="AZ70" i="32" s="1"/>
  <c r="AZ71" i="32" s="1"/>
  <c r="AZ76" i="32" l="1"/>
  <c r="AZ77" i="32"/>
  <c r="AZ78" i="32" s="1"/>
  <c r="AZ41" i="32"/>
  <c r="AZ102" i="32"/>
  <c r="BA115" i="31" l="1"/>
  <c r="BA116" i="31" s="1"/>
  <c r="BB115" i="31" l="1"/>
  <c r="BB116" i="31" s="1"/>
  <c r="BY98" i="31" l="1"/>
  <c r="BY115" i="31" s="1"/>
  <c r="BY116" i="31" s="1"/>
  <c r="BC115" i="31"/>
  <c r="BC116" i="31" s="1"/>
  <c r="BX10" i="33" l="1"/>
  <c r="AY27" i="33"/>
  <c r="AY53" i="33" s="1"/>
  <c r="AY54" i="33" s="1"/>
  <c r="BX27" i="33"/>
  <c r="BX85" i="33" s="1"/>
  <c r="BX86" i="33" s="1"/>
  <c r="AY80" i="33"/>
  <c r="AY78" i="33" s="1"/>
  <c r="BX80" i="33"/>
  <c r="BX78" i="33" s="1"/>
  <c r="BX77" i="33" s="1"/>
  <c r="AY176" i="31"/>
  <c r="AY177" i="31" s="1"/>
  <c r="AY97" i="32" s="1"/>
  <c r="BX53" i="33" l="1"/>
  <c r="BX54" i="33" s="1"/>
  <c r="BX57" i="33" s="1"/>
  <c r="AY85" i="33"/>
  <c r="AY86" i="33" s="1"/>
  <c r="AZ51" i="33"/>
  <c r="AY57" i="33"/>
  <c r="BX81" i="33"/>
  <c r="AY77" i="33"/>
  <c r="BY51" i="33" l="1"/>
  <c r="AY81" i="33"/>
  <c r="BA78" i="33"/>
  <c r="BA77" i="33" l="1"/>
  <c r="BA10" i="33" s="1"/>
  <c r="BB78" i="33"/>
  <c r="BX68" i="33"/>
  <c r="BX69" i="33" s="1"/>
  <c r="BX72" i="33" s="1"/>
  <c r="AZ27" i="33"/>
  <c r="AZ176" i="31"/>
  <c r="AZ177" i="31" s="1"/>
  <c r="AZ53" i="33" l="1"/>
  <c r="AZ85" i="33"/>
  <c r="AZ86" i="33" s="1"/>
  <c r="BA68" i="33"/>
  <c r="BC78" i="33"/>
  <c r="BB77" i="33"/>
  <c r="BB10" i="33" s="1"/>
  <c r="BA80" i="33"/>
  <c r="BA81" i="33" s="1"/>
  <c r="BA176" i="31"/>
  <c r="BA177" i="31" s="1"/>
  <c r="BB80" i="33" l="1"/>
  <c r="BB81" i="33" s="1"/>
  <c r="BB176" i="31"/>
  <c r="BB177" i="31" s="1"/>
  <c r="BC77" i="33"/>
  <c r="BC10" i="33" s="1"/>
  <c r="BY10" i="33" s="1"/>
  <c r="BY80" i="33" s="1"/>
  <c r="BD78" i="33"/>
  <c r="BA69" i="33"/>
  <c r="BA16" i="32" s="1"/>
  <c r="BB68" i="33"/>
  <c r="AZ54" i="33"/>
  <c r="BA51" i="33" s="1"/>
  <c r="AZ79" i="32" l="1"/>
  <c r="AZ86" i="32"/>
  <c r="AZ88" i="32" s="1"/>
  <c r="AZ94" i="32" s="1"/>
  <c r="AZ97" i="32" s="1"/>
  <c r="AZ56" i="33"/>
  <c r="AZ57" i="33" s="1"/>
  <c r="BA79" i="31"/>
  <c r="BA71" i="33"/>
  <c r="BA72" i="33" s="1"/>
  <c r="BC80" i="33"/>
  <c r="BC81" i="33" s="1"/>
  <c r="BC176" i="31"/>
  <c r="BC177" i="31" s="1"/>
  <c r="BC68" i="33"/>
  <c r="BB69" i="33"/>
  <c r="BB16" i="32" s="1"/>
  <c r="BE78" i="33"/>
  <c r="BD77" i="33"/>
  <c r="BD10" i="33" s="1"/>
  <c r="BY78" i="33"/>
  <c r="BY77" i="33" s="1"/>
  <c r="BY81" i="33" s="1"/>
  <c r="BE77" i="33" l="1"/>
  <c r="BE10" i="33" s="1"/>
  <c r="BF78" i="33"/>
  <c r="BD80" i="33"/>
  <c r="BD81" i="33" s="1"/>
  <c r="BD176" i="31"/>
  <c r="BD177" i="31" s="1"/>
  <c r="BB71" i="33"/>
  <c r="BB72" i="33" s="1"/>
  <c r="BA78" i="31"/>
  <c r="AZ82" i="32"/>
  <c r="AZ80" i="32"/>
  <c r="AZ81" i="32"/>
  <c r="AZ95" i="32" s="1"/>
  <c r="BY68" i="33"/>
  <c r="BY69" i="33" s="1"/>
  <c r="BC69" i="33"/>
  <c r="BC16" i="32" s="1"/>
  <c r="BD68" i="33"/>
  <c r="BY16" i="32" l="1"/>
  <c r="BC71" i="33"/>
  <c r="BC72" i="33" s="1"/>
  <c r="AZ43" i="32"/>
  <c r="BE68" i="33"/>
  <c r="BD69" i="33"/>
  <c r="BD16" i="32" s="1"/>
  <c r="BA84" i="31"/>
  <c r="BA89" i="31"/>
  <c r="BA86" i="31"/>
  <c r="BA93" i="31" s="1"/>
  <c r="BG78" i="33"/>
  <c r="BF77" i="33"/>
  <c r="BF10" i="33" s="1"/>
  <c r="BE80" i="33"/>
  <c r="BE81" i="33" s="1"/>
  <c r="BE176" i="31"/>
  <c r="BE177" i="31" s="1"/>
  <c r="BG77" i="33" l="1"/>
  <c r="BG10" i="33" s="1"/>
  <c r="BG176" i="31" s="1"/>
  <c r="BG177" i="31" s="1"/>
  <c r="BH78" i="33"/>
  <c r="BD71" i="33"/>
  <c r="BD72" i="33" s="1"/>
  <c r="BF80" i="33"/>
  <c r="BF81" i="33" s="1"/>
  <c r="BF176" i="31"/>
  <c r="BF177" i="31" s="1"/>
  <c r="BA94" i="31"/>
  <c r="BA87" i="31"/>
  <c r="BA91" i="31"/>
  <c r="BE69" i="33"/>
  <c r="BE16" i="32" s="1"/>
  <c r="BF68" i="33"/>
  <c r="BY71" i="33"/>
  <c r="BY72" i="33" s="1"/>
  <c r="BA90" i="31"/>
  <c r="BG80" i="33" l="1"/>
  <c r="BG81" i="33" s="1"/>
  <c r="BZ10" i="33"/>
  <c r="BZ80" i="33" s="1"/>
  <c r="BZ78" i="33" s="1"/>
  <c r="BZ77" i="33" s="1"/>
  <c r="BZ81" i="33" s="1"/>
  <c r="BI78" i="33"/>
  <c r="BH77" i="33"/>
  <c r="BH10" i="33" s="1"/>
  <c r="BG68" i="33"/>
  <c r="BF69" i="33"/>
  <c r="BF16" i="32" s="1"/>
  <c r="BA92" i="31"/>
  <c r="BA101" i="31"/>
  <c r="BA110" i="31" s="1"/>
  <c r="BE71" i="33"/>
  <c r="BE72" i="33" s="1"/>
  <c r="BH80" i="33" l="1"/>
  <c r="BH81" i="33" s="1"/>
  <c r="BH176" i="31"/>
  <c r="BH177" i="31" s="1"/>
  <c r="BH68" i="33"/>
  <c r="BJ78" i="33"/>
  <c r="BI77" i="33"/>
  <c r="BI10" i="33" s="1"/>
  <c r="BA103" i="31"/>
  <c r="BA96" i="31"/>
  <c r="BF71" i="33"/>
  <c r="BF72" i="33" s="1"/>
  <c r="BA111" i="31"/>
  <c r="BA130" i="31"/>
  <c r="BG69" i="33"/>
  <c r="BG16" i="32" s="1"/>
  <c r="BZ68" i="33"/>
  <c r="BZ69" i="33" s="1"/>
  <c r="BI68" i="33" l="1"/>
  <c r="BI69" i="33" s="1"/>
  <c r="BI16" i="32" s="1"/>
  <c r="BI71" i="33" s="1"/>
  <c r="BI72" i="33" s="1"/>
  <c r="BH69" i="33"/>
  <c r="BH16" i="32" s="1"/>
  <c r="BH71" i="33" s="1"/>
  <c r="BH72" i="33" s="1"/>
  <c r="BI176" i="31"/>
  <c r="BI177" i="31" s="1"/>
  <c r="BI80" i="33"/>
  <c r="BI81" i="33" s="1"/>
  <c r="BK78" i="33"/>
  <c r="BK77" i="33" s="1"/>
  <c r="BK10" i="33" s="1"/>
  <c r="BJ77" i="33"/>
  <c r="BJ10" i="33" s="1"/>
  <c r="BZ16" i="32"/>
  <c r="BG71" i="33"/>
  <c r="BG72" i="33" s="1"/>
  <c r="BA97" i="31"/>
  <c r="BA106" i="31"/>
  <c r="BA104" i="31"/>
  <c r="BA112" i="31"/>
  <c r="BJ68" i="33" l="1"/>
  <c r="BJ69" i="33" s="1"/>
  <c r="BJ16" i="32" s="1"/>
  <c r="BJ71" i="33" s="1"/>
  <c r="BJ72" i="33" s="1"/>
  <c r="BK176" i="31"/>
  <c r="BK177" i="31" s="1"/>
  <c r="BK80" i="33"/>
  <c r="BK81" i="33" s="1"/>
  <c r="BJ80" i="33"/>
  <c r="BJ81" i="33" s="1"/>
  <c r="BJ176" i="31"/>
  <c r="BJ177" i="31" s="1"/>
  <c r="CA10" i="33"/>
  <c r="CA80" i="33" s="1"/>
  <c r="CA78" i="33" s="1"/>
  <c r="CA77" i="33" s="1"/>
  <c r="CA81" i="33" s="1"/>
  <c r="BA113" i="31"/>
  <c r="BA132" i="31"/>
  <c r="BA66" i="32"/>
  <c r="BA8" i="33"/>
  <c r="BA107" i="31"/>
  <c r="BA122" i="31"/>
  <c r="BZ71" i="33"/>
  <c r="BZ72" i="33" s="1"/>
  <c r="BK68" i="33" l="1"/>
  <c r="BK69" i="33" s="1"/>
  <c r="BK16" i="32" s="1"/>
  <c r="BA123" i="31"/>
  <c r="BA125" i="31"/>
  <c r="BA102" i="32" s="1"/>
  <c r="BA27" i="33"/>
  <c r="BA68" i="32"/>
  <c r="BA39" i="32" s="1"/>
  <c r="CA68" i="33" l="1"/>
  <c r="CA69" i="33" s="1"/>
  <c r="BK71" i="33"/>
  <c r="BK72" i="33" s="1"/>
  <c r="CA16" i="32"/>
  <c r="CA71" i="33" s="1"/>
  <c r="BA41" i="32"/>
  <c r="BA77" i="32"/>
  <c r="BA78" i="32" s="1"/>
  <c r="BA76" i="32"/>
  <c r="BA70" i="32"/>
  <c r="BA71" i="32" s="1"/>
  <c r="BA53" i="33"/>
  <c r="BA85" i="33"/>
  <c r="BA86" i="33" s="1"/>
  <c r="BA127" i="31"/>
  <c r="BA129" i="31"/>
  <c r="CA72" i="33" l="1"/>
  <c r="BA54" i="33"/>
  <c r="BB51" i="33" s="1"/>
  <c r="BA8" i="32"/>
  <c r="BA14" i="32" l="1"/>
  <c r="BA79" i="32"/>
  <c r="BA86" i="32"/>
  <c r="BA88" i="32" s="1"/>
  <c r="BA94" i="32" s="1"/>
  <c r="BA97" i="32" s="1"/>
  <c r="BB79" i="31"/>
  <c r="BA56" i="33"/>
  <c r="BA57" i="33" s="1"/>
  <c r="BB78" i="31" l="1"/>
  <c r="BA81" i="32"/>
  <c r="BA95" i="32" s="1"/>
  <c r="BA80" i="32"/>
  <c r="BA82" i="32"/>
  <c r="BA23" i="32"/>
  <c r="BA67" i="33" l="1"/>
  <c r="BA43" i="32"/>
  <c r="BB86" i="31"/>
  <c r="BB93" i="31" s="1"/>
  <c r="BB89" i="31"/>
  <c r="BB84" i="31"/>
  <c r="BB91" i="31" l="1"/>
  <c r="BB87" i="31"/>
  <c r="BB94" i="31"/>
  <c r="BB90" i="31"/>
  <c r="BB101" i="31" l="1"/>
  <c r="BB110" i="31" s="1"/>
  <c r="BB92" i="31"/>
  <c r="BB111" i="31" l="1"/>
  <c r="BB130" i="31"/>
  <c r="BB96" i="31"/>
  <c r="BB103" i="31"/>
  <c r="BB97" i="31" l="1"/>
  <c r="BB106" i="31"/>
  <c r="BB104" i="31"/>
  <c r="BB112" i="31"/>
  <c r="BB132" i="31" l="1"/>
  <c r="BB113" i="31"/>
  <c r="BB8" i="33"/>
  <c r="BB122" i="31"/>
  <c r="BB107" i="31"/>
  <c r="BB66" i="32"/>
  <c r="BB68" i="32" l="1"/>
  <c r="BB39" i="32" s="1"/>
  <c r="BB125" i="31"/>
  <c r="BB102" i="32" s="1"/>
  <c r="BB123" i="31"/>
  <c r="BB27" i="33"/>
  <c r="BB53" i="33" l="1"/>
  <c r="BB85" i="33"/>
  <c r="BB86" i="33" s="1"/>
  <c r="BB129" i="31"/>
  <c r="BB127" i="31"/>
  <c r="BB70" i="32"/>
  <c r="BB71" i="32" s="1"/>
  <c r="BB76" i="32"/>
  <c r="BB41" i="32"/>
  <c r="BB77" i="32"/>
  <c r="BB78" i="32" s="1"/>
  <c r="BB54" i="33" l="1"/>
  <c r="BC51" i="33" s="1"/>
  <c r="BB8" i="32"/>
  <c r="BB79" i="32" l="1"/>
  <c r="BB14" i="32"/>
  <c r="BB86" i="32"/>
  <c r="BB88" i="32" s="1"/>
  <c r="BB94" i="32" s="1"/>
  <c r="BB97" i="32" s="1"/>
  <c r="BB56" i="33"/>
  <c r="BB57" i="33" s="1"/>
  <c r="BC79" i="31"/>
  <c r="BB82" i="32" l="1"/>
  <c r="BB23" i="32"/>
  <c r="BC78" i="31"/>
  <c r="BY79" i="31"/>
  <c r="BB80" i="32"/>
  <c r="BB81" i="32"/>
  <c r="BB95" i="32" s="1"/>
  <c r="BC84" i="31" l="1"/>
  <c r="BC86" i="31"/>
  <c r="BC93" i="31" s="1"/>
  <c r="BC89" i="31"/>
  <c r="BY80" i="31"/>
  <c r="BY78" i="31"/>
  <c r="BB67" i="33"/>
  <c r="BB43" i="32"/>
  <c r="BC90" i="31" l="1"/>
  <c r="BC87" i="31"/>
  <c r="BC91" i="31"/>
  <c r="BC94" i="31"/>
  <c r="BY86" i="31"/>
  <c r="BY89" i="31"/>
  <c r="BY84" i="31"/>
  <c r="BY91" i="31" l="1"/>
  <c r="BY87" i="31"/>
  <c r="BY93" i="31"/>
  <c r="BY90" i="31"/>
  <c r="BC92" i="31"/>
  <c r="BC101" i="31"/>
  <c r="BC103" i="31" l="1"/>
  <c r="BC96" i="31"/>
  <c r="BY94" i="31"/>
  <c r="BC110" i="31"/>
  <c r="BY92" i="31"/>
  <c r="BC111" i="31" l="1"/>
  <c r="BC130" i="31"/>
  <c r="BC97" i="31"/>
  <c r="BY96" i="31"/>
  <c r="BC106" i="31"/>
  <c r="BC104" i="31"/>
  <c r="BC112" i="31"/>
  <c r="BC113" i="31" l="1"/>
  <c r="BC132" i="31"/>
  <c r="BY101" i="31"/>
  <c r="BY97" i="31"/>
  <c r="BY106" i="31"/>
  <c r="BC8" i="33"/>
  <c r="BC107" i="31"/>
  <c r="BC122" i="31"/>
  <c r="BC66" i="32"/>
  <c r="BY66" i="32" l="1"/>
  <c r="BC68" i="32"/>
  <c r="BC39" i="32" s="1"/>
  <c r="BY122" i="31"/>
  <c r="BY107" i="31"/>
  <c r="BY102" i="31"/>
  <c r="BY103" i="31"/>
  <c r="BY110" i="31"/>
  <c r="BC123" i="31"/>
  <c r="BC125" i="31"/>
  <c r="BC27" i="33"/>
  <c r="BY8" i="33"/>
  <c r="BY27" i="33" s="1"/>
  <c r="BC127" i="31" l="1"/>
  <c r="BC129" i="31"/>
  <c r="BY111" i="31"/>
  <c r="BY130" i="31"/>
  <c r="BY125" i="31"/>
  <c r="BY102" i="32" s="1"/>
  <c r="BY123" i="31"/>
  <c r="BC53" i="33"/>
  <c r="BC85" i="33"/>
  <c r="BC86" i="33" s="1"/>
  <c r="BY104" i="31"/>
  <c r="BY112" i="31"/>
  <c r="BC102" i="32"/>
  <c r="BY68" i="32"/>
  <c r="BY53" i="33"/>
  <c r="BY54" i="33" s="1"/>
  <c r="BZ51" i="33" s="1"/>
  <c r="BY85" i="33"/>
  <c r="BY86" i="33" s="1"/>
  <c r="BY39" i="32"/>
  <c r="BC41" i="32"/>
  <c r="BC77" i="32"/>
  <c r="BC78" i="32" s="1"/>
  <c r="BC70" i="32"/>
  <c r="BC76" i="32"/>
  <c r="BY70" i="32" l="1"/>
  <c r="BY71" i="32" s="1"/>
  <c r="BC71" i="32"/>
  <c r="BY76" i="32"/>
  <c r="BY41" i="32"/>
  <c r="BY77" i="32"/>
  <c r="BY78" i="32" s="1"/>
  <c r="BY113" i="31"/>
  <c r="BY132" i="31"/>
  <c r="BC54" i="33"/>
  <c r="BD51" i="33" s="1"/>
  <c r="BC8" i="32"/>
  <c r="BY129" i="31"/>
  <c r="BY127" i="31"/>
  <c r="BC14" i="32" l="1"/>
  <c r="BY8" i="32"/>
  <c r="BC79" i="32"/>
  <c r="BC86" i="32"/>
  <c r="BC88" i="32" s="1"/>
  <c r="BC94" i="32" s="1"/>
  <c r="BC97" i="32" s="1"/>
  <c r="BD79" i="31"/>
  <c r="BC56" i="33"/>
  <c r="BC57" i="33" s="1"/>
  <c r="BD78" i="31" l="1"/>
  <c r="BY79" i="32"/>
  <c r="BY14" i="32"/>
  <c r="BY56" i="33"/>
  <c r="BY57" i="33" s="1"/>
  <c r="BC82" i="32"/>
  <c r="BC23" i="32"/>
  <c r="BC80" i="32"/>
  <c r="BC81" i="32"/>
  <c r="BC95" i="32" s="1"/>
  <c r="BY80" i="32" l="1"/>
  <c r="BY81" i="32"/>
  <c r="BY82" i="32"/>
  <c r="BY23" i="32"/>
  <c r="BC67" i="33"/>
  <c r="BC43" i="32"/>
  <c r="BD86" i="31"/>
  <c r="BD93" i="31" s="1"/>
  <c r="BD89" i="31"/>
  <c r="BD84" i="31"/>
  <c r="BD91" i="31" l="1"/>
  <c r="BD87" i="31"/>
  <c r="BD94" i="31"/>
  <c r="BD90" i="31"/>
  <c r="BY67" i="33"/>
  <c r="BY43" i="32"/>
  <c r="BD101" i="31" l="1"/>
  <c r="BD92" i="31"/>
  <c r="BD96" i="31" l="1"/>
  <c r="BD103" i="31"/>
  <c r="BD110" i="31"/>
  <c r="BD111" i="31" l="1"/>
  <c r="BD130" i="31"/>
  <c r="BD97" i="31"/>
  <c r="BD106" i="31"/>
  <c r="BD104" i="31"/>
  <c r="BD112" i="31"/>
  <c r="BD113" i="31" l="1"/>
  <c r="BD132" i="31"/>
  <c r="BD8" i="33"/>
  <c r="BD122" i="31"/>
  <c r="BD107" i="31"/>
  <c r="BD66" i="32"/>
  <c r="BD68" i="32" l="1"/>
  <c r="BD39" i="32" s="1"/>
  <c r="BD125" i="31"/>
  <c r="BD123" i="31"/>
  <c r="BD27" i="33"/>
  <c r="BD129" i="31" l="1"/>
  <c r="BD127" i="31"/>
  <c r="BD70" i="32"/>
  <c r="BD71" i="32" s="1"/>
  <c r="BD76" i="32"/>
  <c r="BD41" i="32"/>
  <c r="BD77" i="32"/>
  <c r="BD78" i="32" s="1"/>
  <c r="BD53" i="33"/>
  <c r="BD85" i="33"/>
  <c r="BD86" i="33" s="1"/>
  <c r="BD102" i="32"/>
  <c r="BD54" i="33" l="1"/>
  <c r="BE51" i="33" s="1"/>
  <c r="BD8" i="32"/>
  <c r="BD79" i="32" l="1"/>
  <c r="BD86" i="32"/>
  <c r="BD88" i="32" s="1"/>
  <c r="BD94" i="32" s="1"/>
  <c r="BD97" i="32" s="1"/>
  <c r="BD14" i="32"/>
  <c r="BD56" i="33"/>
  <c r="BD57" i="33" s="1"/>
  <c r="BE79" i="31"/>
  <c r="BE78" i="31" l="1"/>
  <c r="BD82" i="32"/>
  <c r="BD23" i="32"/>
  <c r="BD80" i="32"/>
  <c r="BD81" i="32"/>
  <c r="BD95" i="32" s="1"/>
  <c r="BD67" i="33" l="1"/>
  <c r="BD43" i="32"/>
  <c r="BE84" i="31"/>
  <c r="BE89" i="31"/>
  <c r="BE86" i="31"/>
  <c r="BE93" i="31" s="1"/>
  <c r="BE90" i="31" l="1"/>
  <c r="BE94" i="31"/>
  <c r="BE87" i="31"/>
  <c r="BE91" i="31"/>
  <c r="BE92" i="31" l="1"/>
  <c r="BE101" i="31"/>
  <c r="BE110" i="31" s="1"/>
  <c r="BE103" i="31" l="1"/>
  <c r="BE96" i="31"/>
  <c r="BE111" i="31"/>
  <c r="BE130" i="31"/>
  <c r="BE104" i="31" l="1"/>
  <c r="BE112" i="31"/>
  <c r="BE97" i="31"/>
  <c r="BE106" i="31"/>
  <c r="BE8" i="33" l="1"/>
  <c r="BE107" i="31"/>
  <c r="BE122" i="31"/>
  <c r="BE66" i="32"/>
  <c r="BE113" i="31"/>
  <c r="BE132" i="31"/>
  <c r="BE123" i="31" l="1"/>
  <c r="BE125" i="31"/>
  <c r="BE102" i="32" s="1"/>
  <c r="BE68" i="32"/>
  <c r="BE39" i="32" s="1"/>
  <c r="BE27" i="33"/>
  <c r="BE53" i="33" l="1"/>
  <c r="BE85" i="33"/>
  <c r="BE86" i="33" s="1"/>
  <c r="BE41" i="32"/>
  <c r="BE77" i="32"/>
  <c r="BE78" i="32" s="1"/>
  <c r="BE76" i="32"/>
  <c r="BE70" i="32"/>
  <c r="BE71" i="32" s="1"/>
  <c r="BE127" i="31"/>
  <c r="BE129" i="31"/>
  <c r="BE54" i="33" l="1"/>
  <c r="BF51" i="33" s="1"/>
  <c r="BE8" i="32"/>
  <c r="BE14" i="32" l="1"/>
  <c r="BE79" i="32"/>
  <c r="BE86" i="32"/>
  <c r="BE88" i="32" s="1"/>
  <c r="BE94" i="32" s="1"/>
  <c r="BE97" i="32" s="1"/>
  <c r="BF79" i="31"/>
  <c r="BE56" i="33"/>
  <c r="BE57" i="33" s="1"/>
  <c r="BF78" i="31" l="1"/>
  <c r="BE81" i="32"/>
  <c r="BE95" i="32" s="1"/>
  <c r="BE80" i="32"/>
  <c r="BE82" i="32"/>
  <c r="BE23" i="32"/>
  <c r="BF86" i="31" l="1"/>
  <c r="BF93" i="31" s="1"/>
  <c r="BF89" i="31"/>
  <c r="BF84" i="31"/>
  <c r="BE67" i="33"/>
  <c r="BE43" i="32"/>
  <c r="BF91" i="31" l="1"/>
  <c r="BF87" i="31"/>
  <c r="BF94" i="31"/>
  <c r="BF90" i="31"/>
  <c r="BF101" i="31" l="1"/>
  <c r="BF110" i="31" s="1"/>
  <c r="BF92" i="31"/>
  <c r="BF111" i="31" l="1"/>
  <c r="BF130" i="31"/>
  <c r="BF96" i="31"/>
  <c r="BF103" i="31"/>
  <c r="BF97" i="31" l="1"/>
  <c r="BF106" i="31"/>
  <c r="BF104" i="31"/>
  <c r="BF112" i="31"/>
  <c r="BF132" i="31" l="1"/>
  <c r="BF113" i="31"/>
  <c r="BF8" i="33"/>
  <c r="BF122" i="31"/>
  <c r="BF107" i="31"/>
  <c r="BF66" i="32"/>
  <c r="BF68" i="32" l="1"/>
  <c r="BF39" i="32" s="1"/>
  <c r="BF125" i="31"/>
  <c r="BF102" i="32" s="1"/>
  <c r="BF123" i="31"/>
  <c r="BF27" i="33"/>
  <c r="BF53" i="33" l="1"/>
  <c r="BF85" i="33"/>
  <c r="BF86" i="33" s="1"/>
  <c r="BF129" i="31"/>
  <c r="BF127" i="31"/>
  <c r="BF70" i="32"/>
  <c r="BF71" i="32" s="1"/>
  <c r="BF76" i="32"/>
  <c r="BF41" i="32"/>
  <c r="BF77" i="32"/>
  <c r="BF78" i="32" s="1"/>
  <c r="BF54" i="33" l="1"/>
  <c r="BG51" i="33" s="1"/>
  <c r="BF8" i="32"/>
  <c r="BF79" i="32" l="1"/>
  <c r="BF14" i="32"/>
  <c r="BF86" i="32"/>
  <c r="BF88" i="32" s="1"/>
  <c r="BF94" i="32" s="1"/>
  <c r="BF97" i="32" s="1"/>
  <c r="BF56" i="33"/>
  <c r="BF57" i="33" s="1"/>
  <c r="BG79" i="31"/>
  <c r="BF82" i="32" l="1"/>
  <c r="BF23" i="32"/>
  <c r="BG78" i="31"/>
  <c r="BZ79" i="31"/>
  <c r="BF80" i="32"/>
  <c r="BF81" i="32"/>
  <c r="BF95" i="32" s="1"/>
  <c r="BZ78" i="31" l="1"/>
  <c r="BZ80" i="31"/>
  <c r="BF67" i="33"/>
  <c r="BF43" i="32"/>
  <c r="BG84" i="31"/>
  <c r="BG86" i="31"/>
  <c r="BG93" i="31" s="1"/>
  <c r="BG89" i="31"/>
  <c r="BG90" i="31" l="1"/>
  <c r="BG94" i="31"/>
  <c r="BG87" i="31"/>
  <c r="BG91" i="31"/>
  <c r="BZ84" i="31"/>
  <c r="BZ89" i="31"/>
  <c r="BZ86" i="31"/>
  <c r="BZ93" i="31" l="1"/>
  <c r="BZ94" i="31" s="1"/>
  <c r="BZ90" i="31"/>
  <c r="BG92" i="31"/>
  <c r="BG101" i="31"/>
  <c r="BG110" i="31" s="1"/>
  <c r="BZ87" i="31"/>
  <c r="BZ91" i="31"/>
  <c r="BZ92" i="31" l="1"/>
  <c r="BG111" i="31"/>
  <c r="BG130" i="31"/>
  <c r="BG103" i="31"/>
  <c r="BG96" i="31"/>
  <c r="BG104" i="31" l="1"/>
  <c r="BG112" i="31"/>
  <c r="BG97" i="31"/>
  <c r="BZ96" i="31"/>
  <c r="BG106" i="31"/>
  <c r="BG8" i="33" l="1"/>
  <c r="BG107" i="31"/>
  <c r="BG122" i="31"/>
  <c r="BG66" i="32"/>
  <c r="BZ97" i="31"/>
  <c r="BZ101" i="31"/>
  <c r="BZ106" i="31"/>
  <c r="BG113" i="31"/>
  <c r="BG132" i="31"/>
  <c r="BZ107" i="31" l="1"/>
  <c r="BZ122" i="31"/>
  <c r="BG27" i="33"/>
  <c r="BZ8" i="33"/>
  <c r="BZ27" i="33" s="1"/>
  <c r="BZ103" i="31"/>
  <c r="BZ102" i="31"/>
  <c r="BZ110" i="31"/>
  <c r="BG68" i="32"/>
  <c r="BG39" i="32" s="1"/>
  <c r="BZ66" i="32"/>
  <c r="BG123" i="31"/>
  <c r="BG125" i="31"/>
  <c r="BZ68" i="32" l="1"/>
  <c r="BZ104" i="31"/>
  <c r="BZ112" i="31"/>
  <c r="BG127" i="31"/>
  <c r="BG129" i="31"/>
  <c r="BG102" i="32"/>
  <c r="BG41" i="32"/>
  <c r="BG77" i="32"/>
  <c r="BG78" i="32" s="1"/>
  <c r="BZ39" i="32"/>
  <c r="BG70" i="32"/>
  <c r="BG76" i="32"/>
  <c r="BZ53" i="33"/>
  <c r="BZ54" i="33" s="1"/>
  <c r="CA51" i="33" s="1"/>
  <c r="BZ85" i="33"/>
  <c r="BZ86" i="33" s="1"/>
  <c r="BZ123" i="31"/>
  <c r="BZ125" i="31"/>
  <c r="BZ111" i="31"/>
  <c r="BZ130" i="31"/>
  <c r="BG53" i="33"/>
  <c r="BG85" i="33"/>
  <c r="BG86" i="33" s="1"/>
  <c r="BZ127" i="31" l="1"/>
  <c r="BZ129" i="31"/>
  <c r="BZ41" i="32"/>
  <c r="BZ77" i="32"/>
  <c r="BZ78" i="32" s="1"/>
  <c r="BZ76" i="32"/>
  <c r="BZ113" i="31"/>
  <c r="BZ132" i="31"/>
  <c r="BZ102" i="32"/>
  <c r="BG54" i="33"/>
  <c r="BH51" i="33" s="1"/>
  <c r="BG8" i="32"/>
  <c r="BG71" i="32"/>
  <c r="BZ70" i="32"/>
  <c r="BZ71" i="32" s="1"/>
  <c r="BH79" i="31" l="1"/>
  <c r="BH78" i="31" s="1"/>
  <c r="BZ8" i="32"/>
  <c r="BG14" i="32"/>
  <c r="BG79" i="32"/>
  <c r="BG86" i="32"/>
  <c r="BG88" i="32" s="1"/>
  <c r="BG94" i="32" s="1"/>
  <c r="BG97" i="32" s="1"/>
  <c r="BG56" i="33"/>
  <c r="BG57" i="33" s="1"/>
  <c r="BH84" i="31" l="1"/>
  <c r="BH86" i="31"/>
  <c r="BH93" i="31" s="1"/>
  <c r="BH89" i="31"/>
  <c r="BG80" i="32"/>
  <c r="BG81" i="32"/>
  <c r="BG95" i="32" s="1"/>
  <c r="BZ14" i="32"/>
  <c r="BZ79" i="32"/>
  <c r="BZ56" i="33"/>
  <c r="BZ57" i="33" s="1"/>
  <c r="BG82" i="32"/>
  <c r="BG23" i="32"/>
  <c r="BH94" i="31" l="1"/>
  <c r="BH90" i="31"/>
  <c r="BH87" i="31"/>
  <c r="BH91" i="31"/>
  <c r="BG67" i="33"/>
  <c r="BG43" i="32"/>
  <c r="BZ82" i="32"/>
  <c r="BZ23" i="32"/>
  <c r="BZ81" i="32"/>
  <c r="BZ80" i="32"/>
  <c r="BH101" i="31" l="1"/>
  <c r="BH92" i="31"/>
  <c r="BZ67" i="33"/>
  <c r="BZ43" i="32"/>
  <c r="BH110" i="31" l="1"/>
  <c r="BH103" i="31"/>
  <c r="BH96" i="31"/>
  <c r="BH97" i="31" l="1"/>
  <c r="BH106" i="31"/>
  <c r="BH8" i="33" s="1"/>
  <c r="BH130" i="31"/>
  <c r="BH111" i="31"/>
  <c r="BH104" i="31"/>
  <c r="BH112" i="31"/>
  <c r="BH27" i="33" l="1"/>
  <c r="BH113" i="31"/>
  <c r="BH132" i="31"/>
  <c r="BH107" i="31"/>
  <c r="BH122" i="31"/>
  <c r="BH66" i="32"/>
  <c r="BH85" i="33" l="1"/>
  <c r="BH86" i="33" s="1"/>
  <c r="BH53" i="33"/>
  <c r="BH68" i="32"/>
  <c r="BH39" i="32" s="1"/>
  <c r="BH125" i="31"/>
  <c r="BH102" i="32" s="1"/>
  <c r="BH123" i="31"/>
  <c r="BH54" i="33" l="1"/>
  <c r="BI51" i="33" s="1"/>
  <c r="BH8" i="32"/>
  <c r="BH129" i="31"/>
  <c r="BH127" i="31"/>
  <c r="BH76" i="32"/>
  <c r="BH41" i="32"/>
  <c r="BH77" i="32"/>
  <c r="BH78" i="32" s="1"/>
  <c r="BH70" i="32"/>
  <c r="BH56" i="33" l="1"/>
  <c r="BH57" i="33" s="1"/>
  <c r="BH14" i="32"/>
  <c r="BH86" i="32"/>
  <c r="BH88" i="32" s="1"/>
  <c r="BH94" i="32" s="1"/>
  <c r="BH97" i="32" s="1"/>
  <c r="BH79" i="32"/>
  <c r="BI79" i="31"/>
  <c r="BI78" i="31" s="1"/>
  <c r="BH71" i="32"/>
  <c r="BH82" i="32" l="1"/>
  <c r="BH23" i="32"/>
  <c r="BI86" i="31"/>
  <c r="BI93" i="31" s="1"/>
  <c r="BI89" i="31"/>
  <c r="BI84" i="31"/>
  <c r="BH81" i="32"/>
  <c r="BH95" i="32" s="1"/>
  <c r="BH80" i="32"/>
  <c r="BI90" i="31" l="1"/>
  <c r="BI94" i="31"/>
  <c r="BH67" i="33"/>
  <c r="BH43" i="32"/>
  <c r="BI87" i="31"/>
  <c r="BI91" i="31"/>
  <c r="BI101" i="31" l="1"/>
  <c r="BI92" i="31"/>
  <c r="BI96" i="31" l="1"/>
  <c r="BI103" i="31"/>
  <c r="BI110" i="31"/>
  <c r="BI104" i="31" l="1"/>
  <c r="BI112" i="31"/>
  <c r="BI111" i="31"/>
  <c r="BI130" i="31"/>
  <c r="BI97" i="31"/>
  <c r="BI106" i="31"/>
  <c r="BI132" i="31" l="1"/>
  <c r="BI113" i="31"/>
  <c r="BI8" i="33"/>
  <c r="BI66" i="32"/>
  <c r="BI107" i="31"/>
  <c r="BI122" i="31"/>
  <c r="BI68" i="32" l="1"/>
  <c r="BI39" i="32" s="1"/>
  <c r="BI27" i="33"/>
  <c r="BI125" i="31"/>
  <c r="BI102" i="32" s="1"/>
  <c r="BI123" i="31"/>
  <c r="BI85" i="33" l="1"/>
  <c r="BI86" i="33" s="1"/>
  <c r="BI53" i="33"/>
  <c r="BI127" i="31"/>
  <c r="BI129" i="31"/>
  <c r="BI76" i="32"/>
  <c r="BI77" i="32"/>
  <c r="BI78" i="32" s="1"/>
  <c r="BI41" i="32"/>
  <c r="BI70" i="32"/>
  <c r="BI71" i="32" s="1"/>
  <c r="BI54" i="33" l="1"/>
  <c r="BJ51" i="33" s="1"/>
  <c r="BI8" i="32"/>
  <c r="BI56" i="33" l="1"/>
  <c r="BI57" i="33" s="1"/>
  <c r="BI14" i="32"/>
  <c r="BJ79" i="31"/>
  <c r="BJ78" i="31" s="1"/>
  <c r="BI79" i="32"/>
  <c r="BI86" i="32"/>
  <c r="BI88" i="32" s="1"/>
  <c r="BI94" i="32" s="1"/>
  <c r="BI97" i="32" s="1"/>
  <c r="BI80" i="32" l="1"/>
  <c r="BI81" i="32"/>
  <c r="BI95" i="32" s="1"/>
  <c r="BJ89" i="31"/>
  <c r="BJ86" i="31"/>
  <c r="BJ93" i="31" s="1"/>
  <c r="BJ84" i="31"/>
  <c r="BI82" i="32"/>
  <c r="BI23" i="32"/>
  <c r="BJ94" i="31" l="1"/>
  <c r="BJ90" i="31"/>
  <c r="BI67" i="33"/>
  <c r="BI43" i="32"/>
  <c r="BJ87" i="31"/>
  <c r="BJ91" i="31"/>
  <c r="BJ101" i="31" l="1"/>
  <c r="BJ110" i="31" s="1"/>
  <c r="BJ92" i="31"/>
  <c r="BJ111" i="31" l="1"/>
  <c r="BJ130" i="31"/>
  <c r="BJ103" i="31"/>
  <c r="BJ96" i="31"/>
  <c r="BJ97" i="31" l="1"/>
  <c r="BJ106" i="31"/>
  <c r="BJ104" i="31"/>
  <c r="BJ112" i="31"/>
  <c r="BJ132" i="31" l="1"/>
  <c r="BJ113" i="31"/>
  <c r="BJ107" i="31"/>
  <c r="BJ122" i="31"/>
  <c r="BJ8" i="33"/>
  <c r="BJ66" i="32"/>
  <c r="BJ125" i="31" l="1"/>
  <c r="BJ102" i="32" s="1"/>
  <c r="BJ123" i="31"/>
  <c r="BJ68" i="32"/>
  <c r="BJ39" i="32" s="1"/>
  <c r="BJ27" i="33"/>
  <c r="BJ41" i="32" l="1"/>
  <c r="BJ70" i="32"/>
  <c r="BJ71" i="32" s="1"/>
  <c r="BJ77" i="32"/>
  <c r="BJ78" i="32" s="1"/>
  <c r="BJ76" i="32"/>
  <c r="BJ85" i="33"/>
  <c r="BJ86" i="33" s="1"/>
  <c r="BJ53" i="33"/>
  <c r="BJ127" i="31"/>
  <c r="BJ129" i="31"/>
  <c r="BJ54" i="33" l="1"/>
  <c r="BK51" i="33" s="1"/>
  <c r="BJ8" i="32"/>
  <c r="BJ56" i="33" l="1"/>
  <c r="BJ57" i="33" s="1"/>
  <c r="BJ14" i="32"/>
  <c r="BK79" i="31"/>
  <c r="BJ86" i="32"/>
  <c r="BJ88" i="32" s="1"/>
  <c r="BJ94" i="32" s="1"/>
  <c r="BJ97" i="32" s="1"/>
  <c r="BJ79" i="32"/>
  <c r="CA79" i="31" l="1"/>
  <c r="BK78" i="31"/>
  <c r="BJ82" i="32"/>
  <c r="BJ23" i="32"/>
  <c r="BJ80" i="32"/>
  <c r="BJ81" i="32"/>
  <c r="BJ95" i="32" s="1"/>
  <c r="BJ67" i="33" l="1"/>
  <c r="BJ43" i="32"/>
  <c r="BK84" i="31"/>
  <c r="BK89" i="31"/>
  <c r="BK86" i="31"/>
  <c r="BK93" i="31" s="1"/>
  <c r="CA80" i="31"/>
  <c r="CA78" i="31"/>
  <c r="BK90" i="31" l="1"/>
  <c r="CA89" i="31"/>
  <c r="CA84" i="31"/>
  <c r="CA86" i="31"/>
  <c r="CA93" i="31" s="1"/>
  <c r="BK87" i="31"/>
  <c r="BK91" i="31"/>
  <c r="BK94" i="31"/>
  <c r="CA87" i="31" l="1"/>
  <c r="CA91" i="31"/>
  <c r="CA90" i="31"/>
  <c r="BK92" i="31"/>
  <c r="BK101" i="31"/>
  <c r="BK110" i="31" s="1"/>
  <c r="CA94" i="31"/>
  <c r="CA92" i="31" l="1"/>
  <c r="BK130" i="31"/>
  <c r="BK111" i="31"/>
  <c r="BK103" i="31"/>
  <c r="BK96" i="31"/>
  <c r="BK97" i="31" l="1"/>
  <c r="CA96" i="31"/>
  <c r="BK106" i="31"/>
  <c r="BK104" i="31"/>
  <c r="BK112" i="31"/>
  <c r="BK66" i="32" l="1"/>
  <c r="BK8" i="33"/>
  <c r="BK107" i="31"/>
  <c r="BK122" i="31"/>
  <c r="CA101" i="31"/>
  <c r="CA97" i="31"/>
  <c r="CA106" i="31"/>
  <c r="BK113" i="31"/>
  <c r="BK132" i="31"/>
  <c r="BK123" i="31" l="1"/>
  <c r="BK125" i="31"/>
  <c r="BK27" i="33"/>
  <c r="CA8" i="33"/>
  <c r="CA27" i="33" s="1"/>
  <c r="CA122" i="31"/>
  <c r="CA107" i="31"/>
  <c r="CA103" i="31"/>
  <c r="CA102" i="31"/>
  <c r="CA110" i="31"/>
  <c r="BK68" i="32"/>
  <c r="BK39" i="32" s="1"/>
  <c r="CA66" i="32"/>
  <c r="CA85" i="33" l="1"/>
  <c r="CA86" i="33" s="1"/>
  <c r="CA53" i="33"/>
  <c r="CA54" i="33" s="1"/>
  <c r="BK85" i="33"/>
  <c r="BK86" i="33" s="1"/>
  <c r="BK53" i="33"/>
  <c r="CA68" i="32"/>
  <c r="BK77" i="32"/>
  <c r="BK78" i="32" s="1"/>
  <c r="BK41" i="32"/>
  <c r="BK76" i="32"/>
  <c r="BK70" i="32"/>
  <c r="CA39" i="32"/>
  <c r="BK102" i="32"/>
  <c r="BK129" i="31"/>
  <c r="BK127" i="31"/>
  <c r="CA104" i="31"/>
  <c r="CA112" i="31"/>
  <c r="CA113" i="31" s="1"/>
  <c r="CA111" i="31"/>
  <c r="CA130" i="31"/>
  <c r="CA125" i="31"/>
  <c r="CA102" i="32" s="1"/>
  <c r="CA123" i="31"/>
  <c r="BK54" i="33" l="1"/>
  <c r="BK8" i="32"/>
  <c r="CA76" i="32"/>
  <c r="CA77" i="32"/>
  <c r="CA78" i="32" s="1"/>
  <c r="CA41" i="32"/>
  <c r="BK71" i="32"/>
  <c r="CA70" i="32"/>
  <c r="CA71" i="32" s="1"/>
  <c r="CA127" i="31"/>
  <c r="CA129" i="31"/>
  <c r="BK14" i="32" l="1"/>
  <c r="BK56" i="33"/>
  <c r="BK57" i="33" s="1"/>
  <c r="CA8" i="32"/>
  <c r="BK79" i="32"/>
  <c r="BK86" i="32"/>
  <c r="BK88" i="32" s="1"/>
  <c r="BK94" i="32" s="1"/>
  <c r="BK97" i="32" s="1"/>
  <c r="BK80" i="32" l="1"/>
  <c r="BK81" i="32"/>
  <c r="BK95" i="32" s="1"/>
  <c r="CA56" i="33"/>
  <c r="CA57" i="33" s="1"/>
  <c r="CA14" i="32"/>
  <c r="CA79" i="32"/>
  <c r="BK82" i="32"/>
  <c r="BK23" i="32"/>
  <c r="CA23" i="32" l="1"/>
  <c r="CA82" i="32"/>
  <c r="BK67" i="33"/>
  <c r="BK43" i="32"/>
  <c r="CA80" i="32"/>
  <c r="CA81" i="32"/>
  <c r="CA43" i="32" l="1"/>
  <c r="CA67" i="33"/>
</calcChain>
</file>

<file path=xl/comments1.xml><?xml version="1.0" encoding="utf-8"?>
<comments xmlns="http://schemas.openxmlformats.org/spreadsheetml/2006/main">
  <authors>
    <author>malikat</author>
    <author>Chang, Diana (Research)</author>
    <author>Michael Chu</author>
    <author>visv</author>
    <author>josuev</author>
    <author>sergiol</author>
    <author>Atif Malik</author>
  </authors>
  <commentList>
    <comment ref="BS7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semicon west: Financial model and share gains imply peak revs of $4B and EPS of $7.50 at potential $35B WFE run rate sometime in 2011-2012.</t>
        </r>
      </text>
    </comment>
    <comment ref="BX12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guidance: FY17 sales will be 90% higher than FY13</t>
        </r>
      </text>
    </comment>
    <comment ref="T28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guide 38% +/- 2%</t>
        </r>
      </text>
    </comment>
    <comment ref="U28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 44% +/- 1.5%</t>
        </r>
      </text>
    </comment>
    <comment ref="W28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46% +/- 1%</t>
        </r>
      </text>
    </comment>
    <comment ref="X28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46.5% +/- 1%</t>
        </r>
      </text>
    </comment>
    <comment ref="Y28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47% +/- 1%</t>
        </r>
      </text>
    </comment>
    <comment ref="Z28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45.5%</t>
        </r>
      </text>
    </comment>
    <comment ref="AA28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45% +/-1 %</t>
        </r>
      </text>
    </comment>
    <comment ref="AB28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07/27/11 - g 
42%+/-1%</t>
        </r>
      </text>
    </comment>
    <comment ref="AC28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10/19/11 - g - 40%</t>
        </r>
        <r>
          <rPr>
            <u/>
            <sz val="8"/>
            <color indexed="81"/>
            <rFont val="Tahoma"/>
            <family val="2"/>
          </rPr>
          <t>+</t>
        </r>
        <r>
          <rPr>
            <sz val="8"/>
            <color indexed="81"/>
            <rFont val="Tahoma"/>
            <family val="2"/>
          </rPr>
          <t>1%</t>
        </r>
      </text>
    </comment>
    <comment ref="AF28" authorId="4">
      <text>
        <r>
          <rPr>
            <sz val="8"/>
            <color indexed="81"/>
            <rFont val="Tahoma"/>
            <family val="2"/>
          </rPr>
          <t>07/25/12 - g - GM of 42.5% +/- 1%</t>
        </r>
      </text>
    </comment>
    <comment ref="AG28" authorId="5">
      <text>
        <r>
          <rPr>
            <sz val="8"/>
            <color indexed="81"/>
            <rFont val="Tahoma"/>
            <family val="2"/>
          </rPr>
          <t>10/17/12 - g - GM 44% +/- 1%</t>
        </r>
      </text>
    </comment>
    <comment ref="AH28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01/23/13 - g - GM in range of 42.5-44.5%</t>
        </r>
      </text>
    </comment>
    <comment ref="AI28" authorId="5">
      <text>
        <r>
          <rPr>
            <sz val="8"/>
            <color indexed="81"/>
            <rFont val="Tahoma"/>
            <family val="2"/>
          </rPr>
          <t>07/31/13 - g - 44% +/- 1%</t>
        </r>
      </text>
    </comment>
    <comment ref="U72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15% +/- 1.5%</t>
        </r>
      </text>
    </comment>
    <comment ref="W72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guide 23.5% +/- 1%</t>
        </r>
      </text>
    </comment>
    <comment ref="X72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opM 26% +/- 1%</t>
        </r>
      </text>
    </comment>
    <comment ref="Y72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27% +/- 1%</t>
        </r>
      </text>
    </comment>
    <comment ref="Z72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23.5%</t>
        </r>
      </text>
    </comment>
    <comment ref="AA72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20.5% +/- 1%</t>
        </r>
      </text>
    </comment>
    <comment ref="AB72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07/27/11 - g 
14%
</t>
        </r>
      </text>
    </comment>
    <comment ref="AC72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10/19/11 - g - 7.5%</t>
        </r>
        <r>
          <rPr>
            <u/>
            <sz val="8"/>
            <color indexed="81"/>
            <rFont val="Tahoma"/>
            <family val="2"/>
          </rPr>
          <t>+</t>
        </r>
        <r>
          <rPr>
            <sz val="8"/>
            <color indexed="81"/>
            <rFont val="Tahoma"/>
            <family val="2"/>
          </rPr>
          <t>1%</t>
        </r>
      </text>
    </comment>
    <comment ref="AF74" authorId="4">
      <text>
        <r>
          <rPr>
            <sz val="8"/>
            <color indexed="81"/>
            <rFont val="Tahoma"/>
            <family val="2"/>
          </rPr>
          <t>07/25/12 - g - Operating profit at 10%, +/- 1.5%</t>
        </r>
      </text>
    </comment>
    <comment ref="AG74" authorId="5">
      <text>
        <r>
          <rPr>
            <sz val="8"/>
            <color indexed="81"/>
            <rFont val="Tahoma"/>
            <family val="2"/>
          </rPr>
          <t>10/17/12 - g - Operating profit 11% +/- 1.5%</t>
        </r>
      </text>
    </comment>
    <comment ref="AH74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01/23/13 - g - Operating profit of 8% +/- 1.5%</t>
        </r>
      </text>
    </comment>
    <comment ref="AI74" authorId="5">
      <text>
        <r>
          <rPr>
            <sz val="8"/>
            <color indexed="81"/>
            <rFont val="Tahoma"/>
            <family val="2"/>
          </rPr>
          <t>07/31/13 - g - 14% +/- 1.5%</t>
        </r>
      </text>
    </comment>
    <comment ref="T97" authorId="6">
      <text>
        <r>
          <rPr>
            <b/>
            <sz val="8"/>
            <color indexed="81"/>
            <rFont val="Tahoma"/>
            <family val="2"/>
          </rPr>
          <t>Atif Malik:</t>
        </r>
        <r>
          <rPr>
            <sz val="8"/>
            <color indexed="81"/>
            <rFont val="Tahoma"/>
            <family val="2"/>
          </rPr>
          <t xml:space="preserve">
- 100% till u make profit </t>
        </r>
      </text>
    </comment>
    <comment ref="U97" authorId="6">
      <text>
        <r>
          <rPr>
            <b/>
            <sz val="8"/>
            <color indexed="81"/>
            <rFont val="Tahoma"/>
            <family val="2"/>
          </rPr>
          <t>Atif Malik:</t>
        </r>
        <r>
          <rPr>
            <sz val="8"/>
            <color indexed="81"/>
            <rFont val="Tahoma"/>
            <family val="2"/>
          </rPr>
          <t xml:space="preserve">
should model 25% tax rate above 400-450MM revs else higher </t>
        </r>
      </text>
    </comment>
    <comment ref="V97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22%</t>
        </r>
      </text>
    </comment>
    <comment ref="X97" authorId="0">
      <text>
        <r>
          <rPr>
            <b/>
            <sz val="8"/>
            <color indexed="81"/>
            <rFont val="Tahoma"/>
            <family val="2"/>
          </rPr>
          <t>oct on-going tax rate was 12.5% due to favorable goegrahic mix of operating income
malikat:</t>
        </r>
        <r>
          <rPr>
            <sz val="8"/>
            <color indexed="81"/>
            <rFont val="Tahoma"/>
            <family val="2"/>
          </rPr>
          <t xml:space="preserve">
tax rate mid teens for FY 11 too</t>
        </r>
      </text>
    </comment>
    <comment ref="Y97" authorId="0">
      <text>
        <r>
          <rPr>
            <b/>
            <sz val="8"/>
            <color indexed="81"/>
            <rFont val="Tahoma"/>
            <family val="2"/>
          </rPr>
          <t>on-going tax rate 10.3%
malikat:</t>
        </r>
        <r>
          <rPr>
            <sz val="8"/>
            <color indexed="81"/>
            <rFont val="Tahoma"/>
            <family val="2"/>
          </rPr>
          <t xml:space="preserve">
guide low to mid teens</t>
        </r>
      </text>
    </comment>
    <comment ref="Z97" authorId="0">
      <text>
        <r>
          <rPr>
            <b/>
            <sz val="8"/>
            <color indexed="81"/>
            <rFont val="Tahoma"/>
            <family val="2"/>
          </rPr>
          <t>on-going tax rate 10.3%
malikat:</t>
        </r>
        <r>
          <rPr>
            <sz val="8"/>
            <color indexed="81"/>
            <rFont val="Tahoma"/>
            <family val="2"/>
          </rPr>
          <t xml:space="preserve">
guide low to mid teens</t>
        </r>
      </text>
    </comment>
    <comment ref="AC97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10/19/11 - g - higher Teens</t>
        </r>
      </text>
    </comment>
    <comment ref="BQ97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full year low 20's</t>
        </r>
      </text>
    </comment>
    <comment ref="BR97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oct fy tax rate low to mid teens- could be even lower by 1-2% if R&amp;D tax credit passes by year-end</t>
        </r>
      </text>
    </comment>
    <comment ref="AF102" authorId="3">
      <text>
        <r>
          <rPr>
            <sz val="8"/>
            <color indexed="81"/>
            <rFont val="Tahoma"/>
            <family val="2"/>
          </rPr>
          <t>07/25/12 - g - mid teens</t>
        </r>
      </text>
    </comment>
    <comment ref="AG102" authorId="5">
      <text>
        <r>
          <rPr>
            <sz val="8"/>
            <color indexed="81"/>
            <rFont val="Tahoma"/>
            <family val="2"/>
          </rPr>
          <t>10/17/12 - g - mid teens</t>
        </r>
      </text>
    </comment>
    <comment ref="AH102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01/23/13 - g - Flat in C1Q13 and low single digits in C2Q13</t>
        </r>
      </text>
    </comment>
    <comment ref="T130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guide (0.05) - (0.20)</t>
        </r>
      </text>
    </comment>
    <comment ref="U130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38 c +/- 5c</t>
        </r>
      </text>
    </comment>
    <comment ref="W130" authorId="2">
      <text>
        <r>
          <rPr>
            <b/>
            <sz val="8"/>
            <color indexed="81"/>
            <rFont val="Tahoma"/>
            <family val="2"/>
          </rPr>
          <t>Michael Chu:</t>
        </r>
        <r>
          <rPr>
            <sz val="8"/>
            <color indexed="81"/>
            <rFont val="Tahoma"/>
            <family val="2"/>
          </rPr>
          <t xml:space="preserve">
guide 89c - 99c</t>
        </r>
      </text>
    </comment>
    <comment ref="X130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guide 1.35 +/- 7c</t>
        </r>
      </text>
    </comment>
    <comment ref="Y130" authorId="0">
      <text>
        <r>
          <rPr>
            <b/>
            <sz val="8"/>
            <color indexed="81"/>
            <rFont val="Tahoma"/>
            <family val="2"/>
          </rPr>
          <t>0.13 c by strong operating results and remainder taxes
malikat:</t>
        </r>
        <r>
          <rPr>
            <sz val="8"/>
            <color indexed="81"/>
            <rFont val="Tahoma"/>
            <family val="2"/>
          </rPr>
          <t xml:space="preserve">
guide $1.55 +/- 0.07c</t>
        </r>
      </text>
    </comment>
    <comment ref="Z130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u/>
            <sz val="8"/>
            <color indexed="81"/>
            <rFont val="Tahoma"/>
            <family val="2"/>
          </rPr>
          <t>1.30 +/- 0.07</t>
        </r>
      </text>
    </comment>
    <comment ref="AA130" authorId="0">
      <text>
        <r>
          <rPr>
            <b/>
            <sz val="8"/>
            <color indexed="81"/>
            <rFont val="Tahoma"/>
            <family val="2"/>
          </rPr>
          <t>malikat:</t>
        </r>
        <r>
          <rPr>
            <sz val="8"/>
            <color indexed="81"/>
            <rFont val="Tahoma"/>
            <family val="2"/>
          </rPr>
          <t xml:space="preserve">
$1.07 +/- 7c</t>
        </r>
      </text>
    </comment>
    <comment ref="AB130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07/27/11 - g 
EPS of 63c +/-7c</t>
        </r>
      </text>
    </comment>
    <comment ref="AC130" authorId="3">
      <text>
        <r>
          <rPr>
            <b/>
            <sz val="8"/>
            <color indexed="81"/>
            <rFont val="Tahoma"/>
            <family val="2"/>
          </rPr>
          <t>visv:</t>
        </r>
        <r>
          <rPr>
            <sz val="8"/>
            <color indexed="81"/>
            <rFont val="Tahoma"/>
            <family val="2"/>
          </rPr>
          <t xml:space="preserve">
10/19/11 - g - 30c</t>
        </r>
        <r>
          <rPr>
            <u/>
            <sz val="8"/>
            <color indexed="81"/>
            <rFont val="Tahoma"/>
            <family val="2"/>
          </rPr>
          <t>+</t>
        </r>
        <r>
          <rPr>
            <sz val="8"/>
            <color indexed="81"/>
            <rFont val="Tahoma"/>
            <family val="2"/>
          </rPr>
          <t>5c</t>
        </r>
      </text>
    </comment>
    <comment ref="AF130" authorId="4">
      <text>
        <r>
          <rPr>
            <sz val="8"/>
            <color indexed="81"/>
            <rFont val="Tahoma"/>
            <family val="2"/>
          </rPr>
          <t>07/25/12 -g - EPS $0.40, +/- $0.07</t>
        </r>
      </text>
    </comment>
    <comment ref="AG130" authorId="5">
      <text>
        <r>
          <rPr>
            <sz val="8"/>
            <color indexed="81"/>
            <rFont val="Tahoma"/>
            <family val="2"/>
          </rPr>
          <t>10/17/12 - g - EPS $0.45 +/- $0.07</t>
        </r>
      </text>
    </comment>
    <comment ref="AH130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01/23/13 - g - Non-GAAP EPS of $0.35, +/- $0.07</t>
        </r>
      </text>
    </comment>
    <comment ref="AI130" authorId="5">
      <text>
        <r>
          <rPr>
            <sz val="8"/>
            <color indexed="81"/>
            <rFont val="Tahoma"/>
            <family val="2"/>
          </rPr>
          <t>07/31/13 - g - $0.68 +/- $0.07</t>
        </r>
      </text>
    </comment>
    <comment ref="AW145" authorId="1">
      <text>
        <r>
          <rPr>
            <b/>
            <sz val="9"/>
            <color indexed="81"/>
            <rFont val="Tahoma"/>
            <family val="2"/>
          </rPr>
          <t>Chang, Diana (Research):</t>
        </r>
        <r>
          <rPr>
            <sz val="9"/>
            <color indexed="81"/>
            <rFont val="Tahoma"/>
            <family val="2"/>
          </rPr>
          <t xml:space="preserve">
http://investors.appliedmaterials.com/phoenix.zhtml?c=112059&amp;p=irol-newsArticle&amp;ID=2253046 </t>
        </r>
      </text>
    </comment>
  </commentList>
</comments>
</file>

<file path=xl/comments2.xml><?xml version="1.0" encoding="utf-8"?>
<comments xmlns="http://schemas.openxmlformats.org/spreadsheetml/2006/main">
  <authors>
    <author>Linden, Sarah (Research)</author>
    <author>josuev</author>
  </authors>
  <commentList>
    <comment ref="BB44" authorId="0">
      <text>
        <r>
          <rPr>
            <b/>
            <sz val="9"/>
            <color indexed="81"/>
            <rFont val="Tahoma"/>
            <family val="2"/>
          </rPr>
          <t>Linden, Sarah (Research):</t>
        </r>
        <r>
          <rPr>
            <sz val="9"/>
            <color indexed="81"/>
            <rFont val="Tahoma"/>
            <family val="2"/>
          </rPr>
          <t xml:space="preserve">
doubling quarterly dividend to 0.20/share</t>
        </r>
      </text>
    </comment>
    <comment ref="AF45" authorId="1">
      <text>
        <r>
          <rPr>
            <sz val="8"/>
            <color indexed="81"/>
            <rFont val="Tahoma"/>
            <family val="2"/>
          </rPr>
          <t>2-3m shares, call 7/25/2012</t>
        </r>
      </text>
    </comment>
  </commentList>
</comments>
</file>

<file path=xl/sharedStrings.xml><?xml version="1.0" encoding="utf-8"?>
<sst xmlns="http://schemas.openxmlformats.org/spreadsheetml/2006/main" count="1397" uniqueCount="834">
  <si>
    <t>Revenue</t>
  </si>
  <si>
    <t>Interest income</t>
  </si>
  <si>
    <t>Interest expense</t>
  </si>
  <si>
    <t>Other income (expense), net</t>
  </si>
  <si>
    <t>Net income</t>
  </si>
  <si>
    <t>Cash and cash equivalents</t>
  </si>
  <si>
    <t/>
  </si>
  <si>
    <t>Deferred income taxes</t>
  </si>
  <si>
    <t>Property and equipment, net</t>
  </si>
  <si>
    <t>Goodwill</t>
  </si>
  <si>
    <t>Intangible assets, net</t>
  </si>
  <si>
    <t>Accounts payable</t>
  </si>
  <si>
    <t>Long-term debt</t>
  </si>
  <si>
    <t>Additional paid-in capital</t>
  </si>
  <si>
    <t>Assets</t>
  </si>
  <si>
    <t>Accounts receivable</t>
  </si>
  <si>
    <t>Preferred stock</t>
  </si>
  <si>
    <t>Common stock</t>
  </si>
  <si>
    <t>Treasury stock</t>
  </si>
  <si>
    <t>Depreciation and amortization</t>
  </si>
  <si>
    <t>Other</t>
  </si>
  <si>
    <t>Net cash provided by operating activities</t>
  </si>
  <si>
    <t>Cash flows from investing activities:</t>
  </si>
  <si>
    <t>Cash flows from financing activities:</t>
  </si>
  <si>
    <t>Fiscal Year</t>
  </si>
  <si>
    <t>1Q06</t>
  </si>
  <si>
    <t>2Q06</t>
  </si>
  <si>
    <t>3Q06</t>
  </si>
  <si>
    <t>4Q06</t>
  </si>
  <si>
    <t>1Q07</t>
  </si>
  <si>
    <t>2Q07</t>
  </si>
  <si>
    <t>3Q07</t>
  </si>
  <si>
    <t>4Q07</t>
  </si>
  <si>
    <t>1Q08</t>
  </si>
  <si>
    <t>2Q08</t>
  </si>
  <si>
    <t>3Q08</t>
  </si>
  <si>
    <t>4Q08</t>
  </si>
  <si>
    <t>1Q09</t>
  </si>
  <si>
    <t>2Q09</t>
  </si>
  <si>
    <t>3Q09</t>
  </si>
  <si>
    <t>4Q09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</si>
  <si>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</si>
  <si>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</si>
  <si>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</si>
  <si>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</si>
  <si>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</si>
  <si>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</si>
  <si>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</si>
  <si>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</si>
  <si>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</si>
  <si>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</si>
  <si>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</si>
  <si>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</si>
  <si>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</si>
  <si>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</si>
  <si>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</si>
  <si>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</si>
  <si>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</si>
  <si>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</si>
  <si>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</si>
  <si>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</si>
  <si>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</si>
  <si>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</si>
  <si>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</si>
  <si>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</si>
  <si>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Check</t>
  </si>
  <si>
    <t>1FQ2013</t>
  </si>
  <si>
    <t>2FQ2013</t>
  </si>
  <si>
    <t>1FQ2014</t>
  </si>
  <si>
    <t>2FQ2014</t>
  </si>
  <si>
    <t>3FQ2014</t>
  </si>
  <si>
    <t>4FQ2014</t>
  </si>
  <si>
    <t>3FQ2013</t>
  </si>
  <si>
    <t>4FQ2013</t>
  </si>
  <si>
    <t>2FQ2015</t>
  </si>
  <si>
    <t>1FQ2015</t>
  </si>
  <si>
    <t>3FQ2015</t>
  </si>
  <si>
    <t>4FQ2015</t>
  </si>
  <si>
    <t>Operating Income</t>
  </si>
  <si>
    <t>EPS - GAAP</t>
  </si>
  <si>
    <t>Working Capital Metrics</t>
  </si>
  <si>
    <t>China</t>
  </si>
  <si>
    <t>Taiwan</t>
  </si>
  <si>
    <t>Europe</t>
  </si>
  <si>
    <t>Calendar Year</t>
  </si>
  <si>
    <t>FY2016</t>
  </si>
  <si>
    <t>FY2017</t>
  </si>
  <si>
    <t>Inventory</t>
  </si>
  <si>
    <t>COGS - MW</t>
  </si>
  <si>
    <t>Gross Profit - MW</t>
  </si>
  <si>
    <t>Gross Margin - MW</t>
  </si>
  <si>
    <t>Effective tax rate GAAP %</t>
  </si>
  <si>
    <t>R&amp;D - MW</t>
  </si>
  <si>
    <t>Operating Income - MW</t>
  </si>
  <si>
    <t>1FQ2011</t>
  </si>
  <si>
    <t>2FQ2011</t>
  </si>
  <si>
    <t>3FQ2011</t>
  </si>
  <si>
    <t>4FQ2011</t>
  </si>
  <si>
    <t>4FQ2012</t>
  </si>
  <si>
    <t>3FQ2012</t>
  </si>
  <si>
    <t>2FQ2012</t>
  </si>
  <si>
    <t>1FQ2012</t>
  </si>
  <si>
    <t>1FQ2006</t>
  </si>
  <si>
    <t>2FQ2006</t>
  </si>
  <si>
    <t>3FQ2006</t>
  </si>
  <si>
    <t>4FQ2006</t>
  </si>
  <si>
    <t>1FQ2007</t>
  </si>
  <si>
    <t>2FQ2007</t>
  </si>
  <si>
    <t>3FQ2007</t>
  </si>
  <si>
    <t>4FQ2007</t>
  </si>
  <si>
    <t>1FQ2008</t>
  </si>
  <si>
    <t>2FQ2008</t>
  </si>
  <si>
    <t>3FQ2008</t>
  </si>
  <si>
    <t>4FQ2008</t>
  </si>
  <si>
    <t>1FQ2009</t>
  </si>
  <si>
    <t>2FQ2009</t>
  </si>
  <si>
    <t>3FQ2009</t>
  </si>
  <si>
    <t>4FQ2009</t>
  </si>
  <si>
    <t>1FQ2010</t>
  </si>
  <si>
    <t>2FQ2010</t>
  </si>
  <si>
    <t>3FQ2010</t>
  </si>
  <si>
    <t>4FQ2010</t>
  </si>
  <si>
    <t>Total Revenue</t>
  </si>
  <si>
    <t>USD</t>
  </si>
  <si>
    <t>A</t>
  </si>
  <si>
    <t>ND</t>
  </si>
  <si>
    <t>Unrecorded goodwill from poolings, write-offs, and cumulative amortization</t>
  </si>
  <si>
    <t>Gross PP&amp;E</t>
  </si>
  <si>
    <t>Change in Share Capital</t>
  </si>
  <si>
    <t>Currency</t>
  </si>
  <si>
    <t>Current Stock Price</t>
  </si>
  <si>
    <t>Count</t>
  </si>
  <si>
    <t>NVDA.O,mscalc:targetPrice,,,,USD</t>
  </si>
  <si>
    <t>NVDA.O,mscalc:closePriceCurrencyCalc</t>
  </si>
  <si>
    <t>NVDA.O,mscalc:sedolCodeCalc</t>
  </si>
  <si>
    <t>15</t>
  </si>
  <si>
    <t>2379504</t>
  </si>
  <si>
    <t>1FQ2016</t>
  </si>
  <si>
    <t>2FQ2016</t>
  </si>
  <si>
    <t>3FQ2016</t>
  </si>
  <si>
    <t>4FQ2016</t>
  </si>
  <si>
    <t>1Q16</t>
  </si>
  <si>
    <t>2Q16</t>
  </si>
  <si>
    <t>3Q16</t>
  </si>
  <si>
    <t>Company</t>
  </si>
  <si>
    <t>Change in cash flow due to restatement</t>
  </si>
  <si>
    <t>Balance Sheet Metrics</t>
  </si>
  <si>
    <t>Net Debt Summary</t>
  </si>
  <si>
    <t>Cash</t>
  </si>
  <si>
    <t>Cash &amp; Cash Equivalents</t>
  </si>
  <si>
    <t>Short-term Debt</t>
  </si>
  <si>
    <t>Long-term Debt</t>
  </si>
  <si>
    <t>Total Debt</t>
  </si>
  <si>
    <t>Net Debt (Cash)</t>
  </si>
  <si>
    <t>Net Cash per Share (Positive = Net Cash)</t>
  </si>
  <si>
    <t>Book value per share</t>
  </si>
  <si>
    <t>Tangible book value</t>
  </si>
  <si>
    <t>Tangible book value per share</t>
  </si>
  <si>
    <t>Net working capital</t>
  </si>
  <si>
    <t>Marketable Securities</t>
  </si>
  <si>
    <t xml:space="preserve"> </t>
  </si>
  <si>
    <t>Short-term investments</t>
  </si>
  <si>
    <t>Other current assets</t>
  </si>
  <si>
    <t>Other non-current assets</t>
  </si>
  <si>
    <t>Long-term investments</t>
  </si>
  <si>
    <t>Current portion of long-term debt</t>
  </si>
  <si>
    <t>Deferred revenues</t>
  </si>
  <si>
    <t>Income taxes payable</t>
  </si>
  <si>
    <t>Loss (gain) on equity investments, net</t>
  </si>
  <si>
    <t>Restructuring charges and asset impairments</t>
  </si>
  <si>
    <t>Gain/Loss on disposal of property, plant and equipment</t>
  </si>
  <si>
    <t>Income taxes receivable</t>
  </si>
  <si>
    <t>Other changes in assets and liabilities</t>
  </si>
  <si>
    <t>Proceeds from sale of business, net</t>
  </si>
  <si>
    <t>Other investing activities</t>
  </si>
  <si>
    <t>Proceeds from common stock issuances</t>
  </si>
  <si>
    <t>Payment of dividends to stockholders</t>
  </si>
  <si>
    <t>Other financing activities</t>
  </si>
  <si>
    <t>Proceeds from (payments of) short-term debt</t>
  </si>
  <si>
    <t>Proceeds from (payments of) long-term debt</t>
  </si>
  <si>
    <t>Effect of exchange rate changes on cash and cash equivalents</t>
  </si>
  <si>
    <t>Net increase (decrease) in cash and cash equivalents</t>
  </si>
  <si>
    <t>Applied Materials, Inc</t>
  </si>
  <si>
    <t>Applied Materials, Inc Bottoms Up Model</t>
  </si>
  <si>
    <t>($ in millions; fiscal year ends in October)</t>
  </si>
  <si>
    <t>Silicon Systems Group</t>
  </si>
  <si>
    <t>Q-o-Q growth</t>
  </si>
  <si>
    <t>Y-o-Y growth</t>
  </si>
  <si>
    <t>Percentage of Total Revenue</t>
  </si>
  <si>
    <t>Applied Global Services</t>
  </si>
  <si>
    <t>Display</t>
  </si>
  <si>
    <t>Energy and Environment</t>
  </si>
  <si>
    <t>Total Bottoms Up Revenue</t>
  </si>
  <si>
    <t>Actual Revenue from Income Statement</t>
  </si>
  <si>
    <t>BU / Income Statement Check</t>
  </si>
  <si>
    <t>100% Check</t>
  </si>
  <si>
    <t>Gross Margins</t>
  </si>
  <si>
    <t>Gross margin (%)</t>
  </si>
  <si>
    <t>Total Bottoms Up Gross Margin</t>
  </si>
  <si>
    <t>Actual Gross Margin from Income Statement</t>
  </si>
  <si>
    <t>Operating Income by Segment ($)</t>
  </si>
  <si>
    <t>Operating margin (%)</t>
  </si>
  <si>
    <t>Corporate and unallocated costs</t>
  </si>
  <si>
    <t>Total Bottoms Up Operating Income</t>
  </si>
  <si>
    <t>Actual Operating Income from Income Statement</t>
  </si>
  <si>
    <t>Revenues by Geography ($)</t>
  </si>
  <si>
    <t xml:space="preserve">Total </t>
  </si>
  <si>
    <t>Revenues by Geography (%)</t>
  </si>
  <si>
    <t>Japan</t>
  </si>
  <si>
    <t>Korea</t>
  </si>
  <si>
    <t>Southeast Asia</t>
  </si>
  <si>
    <t>North America</t>
  </si>
  <si>
    <t>FY2006A</t>
  </si>
  <si>
    <t>FY2007A</t>
  </si>
  <si>
    <t>FY2008A</t>
  </si>
  <si>
    <t>FY2009A</t>
  </si>
  <si>
    <t>FY2010A</t>
  </si>
  <si>
    <t>FY2011A</t>
  </si>
  <si>
    <t>FY2012A</t>
  </si>
  <si>
    <t>FY2013A</t>
  </si>
  <si>
    <t>FY2014E</t>
  </si>
  <si>
    <t>FY2015E</t>
  </si>
  <si>
    <t>FY2018E</t>
  </si>
  <si>
    <t>FY2019E</t>
  </si>
  <si>
    <t>FY2020E</t>
  </si>
  <si>
    <t>Backlog</t>
  </si>
  <si>
    <t>Silicon Systems Group Orders</t>
  </si>
  <si>
    <t>Foundry</t>
  </si>
  <si>
    <t>DRAM</t>
  </si>
  <si>
    <t>Logic/Other</t>
  </si>
  <si>
    <t>NAND</t>
  </si>
  <si>
    <t>Applied Global Services Orders</t>
  </si>
  <si>
    <t>Display Orders</t>
  </si>
  <si>
    <t>Energy and Environment Orders</t>
  </si>
  <si>
    <t>Cash Flow Statement Metrics</t>
  </si>
  <si>
    <t>Free Cash Flow</t>
  </si>
  <si>
    <t>Adjusted FCF</t>
  </si>
  <si>
    <t>AMAT.O</t>
  </si>
  <si>
    <t>Applied Materials Inc.</t>
  </si>
  <si>
    <t>AMAT.O,mscalc:closePriceCurrencyCalc</t>
  </si>
  <si>
    <t>AMAT.O,mscalc:targetPrice,,,,USD</t>
  </si>
  <si>
    <t>AMAT.O,mscalc:sedolCodeCalc</t>
  </si>
  <si>
    <t>$L$2</t>
  </si>
  <si>
    <t>Orders</t>
  </si>
  <si>
    <t>Rest of World</t>
  </si>
  <si>
    <t>CY2010</t>
  </si>
  <si>
    <t>CY2011</t>
  </si>
  <si>
    <t>CY2012</t>
  </si>
  <si>
    <t>CY2013</t>
  </si>
  <si>
    <t>CY2014</t>
  </si>
  <si>
    <t>CY2015</t>
  </si>
  <si>
    <t>CY2016</t>
  </si>
  <si>
    <t>CY2017</t>
  </si>
  <si>
    <t>CY2018</t>
  </si>
  <si>
    <t>CY2019</t>
  </si>
  <si>
    <t>CY2020</t>
  </si>
  <si>
    <t>1FQ2017</t>
  </si>
  <si>
    <t>2FQ2017</t>
  </si>
  <si>
    <t>3FQ2017</t>
  </si>
  <si>
    <t>4FQ2017</t>
  </si>
  <si>
    <t>Seasonality</t>
  </si>
  <si>
    <t>1Q</t>
  </si>
  <si>
    <t>2Q</t>
  </si>
  <si>
    <t>3Q</t>
  </si>
  <si>
    <t>4Q</t>
  </si>
  <si>
    <t>vs. Balance Sheet</t>
  </si>
  <si>
    <t>Cash and cash equivalents, end of period</t>
  </si>
  <si>
    <t>Cash and cash equivalents, beginning of period</t>
  </si>
  <si>
    <t>Net cash used for financing activities</t>
  </si>
  <si>
    <t>Treasury stock repurchases</t>
  </si>
  <si>
    <t>Net cash used for investing activities</t>
  </si>
  <si>
    <t>Purchase of intangible assets</t>
  </si>
  <si>
    <t>Purchase of long-term investments</t>
  </si>
  <si>
    <t>Sales and maturities of available-for-sale securities</t>
  </si>
  <si>
    <t>Purchase of available-for-sale securities</t>
  </si>
  <si>
    <t>Restricted cash</t>
  </si>
  <si>
    <t>Capital expenditures, net</t>
  </si>
  <si>
    <t>Changes in current assets and liabilities:</t>
  </si>
  <si>
    <t>Other non-cash items</t>
  </si>
  <si>
    <t>Tax effect from stock-based compensation</t>
  </si>
  <si>
    <t>Stock-based compensation</t>
  </si>
  <si>
    <t>Adjustments to reconcile net income to net cash provided by operating activities:</t>
  </si>
  <si>
    <t>Cash flows provided by (used for) operating activities:</t>
  </si>
  <si>
    <t>Minority interest</t>
  </si>
  <si>
    <t>Other long-term liabilities</t>
  </si>
  <si>
    <t>Average Diluted Shares - non-GAAP</t>
  </si>
  <si>
    <t>Non GAAP expenses</t>
  </si>
  <si>
    <t>SBC</t>
  </si>
  <si>
    <t>Goodwill impairment</t>
  </si>
  <si>
    <t>Restructuring charges</t>
  </si>
  <si>
    <t>Amortization</t>
  </si>
  <si>
    <t>EBITDA</t>
  </si>
  <si>
    <t>Depreciation &amp; Amortization</t>
  </si>
  <si>
    <t>Calendar Quarter</t>
  </si>
  <si>
    <t>Fiscal Quarter</t>
  </si>
  <si>
    <t>Actual/Estimate Toggle</t>
  </si>
  <si>
    <t>Sequential change</t>
  </si>
  <si>
    <t>Total Costs</t>
  </si>
  <si>
    <t>Operating Expenses</t>
  </si>
  <si>
    <t>Statutory Tax (%)</t>
  </si>
  <si>
    <t>Cost of equity</t>
  </si>
  <si>
    <t>Average Price Per Share</t>
  </si>
  <si>
    <t>Dividends Declared Per Share</t>
  </si>
  <si>
    <t>Period-end Shares</t>
  </si>
  <si>
    <t>Dilution Ratio</t>
  </si>
  <si>
    <t>Average Diluted Shares - GAAP</t>
  </si>
  <si>
    <t>Average Basic Shares - non-GAAP</t>
  </si>
  <si>
    <t>Average Basic Shares - GAAP</t>
  </si>
  <si>
    <t xml:space="preserve">EPS - MW </t>
  </si>
  <si>
    <t>EPS - non GAAP</t>
  </si>
  <si>
    <t>EPS - GAAP (allocable to common shareholders)</t>
  </si>
  <si>
    <t>Net income attributable to non-controlling interest</t>
  </si>
  <si>
    <t>Net income, allocable to common shareholders - GAAP</t>
  </si>
  <si>
    <t>Net Income Margin GAAP %</t>
  </si>
  <si>
    <t>Net Income - GAAP</t>
  </si>
  <si>
    <t>Income (Loss) from Discontinued Operations - non GAAP</t>
  </si>
  <si>
    <t>Total GAAP to non GAAP adjustments</t>
  </si>
  <si>
    <t>Income (Loss) from Discontinued Operations - GAAP</t>
  </si>
  <si>
    <t>Percentage of Revenues</t>
  </si>
  <si>
    <t>SBC, net of tax</t>
  </si>
  <si>
    <t>Net Income Margin MW%</t>
  </si>
  <si>
    <t>Net Income, Cont. Ops. - MW</t>
  </si>
  <si>
    <t>Net Income Margin non GAAP%</t>
  </si>
  <si>
    <t>Net Income, Cont. Ops. - non GAAP</t>
  </si>
  <si>
    <t>Discontinued Operations - non GAAP</t>
  </si>
  <si>
    <t>Extraordinary, net of tax</t>
  </si>
  <si>
    <t>Net Income Margin GAAP%</t>
  </si>
  <si>
    <t>Net Income, Cont. Ops. - GAAP</t>
  </si>
  <si>
    <t>Effective tax rate MW</t>
  </si>
  <si>
    <t>Income Tax Expense (Benefit) - MW</t>
  </si>
  <si>
    <t>Effective tax rate non GAAP</t>
  </si>
  <si>
    <t>Income Tax Expense (Benefit) - non GAAP</t>
  </si>
  <si>
    <t>Taxes-Disc. operations</t>
  </si>
  <si>
    <t>Taxes-Extraordinary</t>
  </si>
  <si>
    <t>Taxes-SBC</t>
  </si>
  <si>
    <t>Income Tax Expense (Benefit) - GAAP</t>
  </si>
  <si>
    <t>PBT Margin MW%</t>
  </si>
  <si>
    <t>PBT - MW</t>
  </si>
  <si>
    <t>PBT Margin non GAAP%</t>
  </si>
  <si>
    <t>PBT - non GAAP</t>
  </si>
  <si>
    <t>PBT Margin GAAP %</t>
  </si>
  <si>
    <t>PBT - GAAP</t>
  </si>
  <si>
    <t>Percentage of cash equivalents</t>
  </si>
  <si>
    <t>Total Interest Income (net) and Other Income - MW</t>
  </si>
  <si>
    <t>Total Interest Income (net) and Other Income - non GAAP</t>
  </si>
  <si>
    <t>Percentage of total debt</t>
  </si>
  <si>
    <t>Total Interest Income (net) and Other Income - GAAP</t>
  </si>
  <si>
    <t>Operating Margin MW%</t>
  </si>
  <si>
    <t>Operating Margin non GAAP%</t>
  </si>
  <si>
    <t>Operating Income - non GAAP</t>
  </si>
  <si>
    <t>Operating Margin GAAP%</t>
  </si>
  <si>
    <t>Operating Income - GAAP</t>
  </si>
  <si>
    <t>Operating Expenses - MW</t>
  </si>
  <si>
    <t>Operating Expenses - non GAAP</t>
  </si>
  <si>
    <t>Operating Expenses - GAAP</t>
  </si>
  <si>
    <t>Other OpEx - MW</t>
  </si>
  <si>
    <t>Discontinued operations</t>
  </si>
  <si>
    <t>Other OpEx - non GAAP</t>
  </si>
  <si>
    <t>Other OpEx - GAAP</t>
  </si>
  <si>
    <t>Selling, General and Administrative - MW</t>
  </si>
  <si>
    <t>Selling, General and Administrative - non GAAP</t>
  </si>
  <si>
    <t>Other non GAAP expenses</t>
  </si>
  <si>
    <t>Selling, General and Administrative - GAAP</t>
  </si>
  <si>
    <t>R&amp;D - non GAAP</t>
  </si>
  <si>
    <t>R&amp;D - GAAP</t>
  </si>
  <si>
    <t>Incr GM%</t>
  </si>
  <si>
    <t>Gross Margin - non GAAP</t>
  </si>
  <si>
    <t>Gross Profit - non GAAP</t>
  </si>
  <si>
    <t>Gross Margin - GAAP</t>
  </si>
  <si>
    <t>Gross Profit - GAAP</t>
  </si>
  <si>
    <t>COGS - non GAAP</t>
  </si>
  <si>
    <t>COGS - GAAP</t>
  </si>
  <si>
    <t>Y-o-Y change</t>
  </si>
  <si>
    <t>Revenues - MW</t>
  </si>
  <si>
    <t>Extraordinary</t>
  </si>
  <si>
    <t>Cons</t>
  </si>
  <si>
    <t>Revenues - GAAP</t>
  </si>
  <si>
    <t>Net Debt/EBITDA</t>
  </si>
  <si>
    <t xml:space="preserve">Net Cash per share </t>
  </si>
  <si>
    <t>Total cash per share</t>
  </si>
  <si>
    <t>Average diluted shares - non GAAP</t>
  </si>
  <si>
    <t>Shareholders' Equity</t>
  </si>
  <si>
    <t>Accumulated other comprehensive income (loss)</t>
  </si>
  <si>
    <t>Retained earnings (accumulated deficit)</t>
  </si>
  <si>
    <t>Dividends</t>
  </si>
  <si>
    <t>Total share capital</t>
  </si>
  <si>
    <t>Temporary BS plug for earnings (all quarters going forward)</t>
  </si>
  <si>
    <t>Stockholders Equity</t>
  </si>
  <si>
    <t>Cost of Goods Sold</t>
  </si>
  <si>
    <t>Revenues</t>
  </si>
  <si>
    <t>Prepaid expenses and other current assets % of Revenues</t>
  </si>
  <si>
    <t>Accounts Payable DSO</t>
  </si>
  <si>
    <t>Days of Inventory</t>
  </si>
  <si>
    <t>Inventory Turns</t>
  </si>
  <si>
    <t>A/R Days Sales Out</t>
  </si>
  <si>
    <t>Total Liabilities &amp; Equity</t>
  </si>
  <si>
    <t>.</t>
  </si>
  <si>
    <t>Deferred profit, non-current</t>
  </si>
  <si>
    <t>Total Current Liabilities</t>
  </si>
  <si>
    <t>Other liabilities</t>
  </si>
  <si>
    <t>Deferred profit</t>
  </si>
  <si>
    <t>Liabilities &amp; Shareholders' Equity</t>
  </si>
  <si>
    <t>Total Assets</t>
  </si>
  <si>
    <t>Total Current Assets</t>
  </si>
  <si>
    <t>Accounts receivables, net</t>
  </si>
  <si>
    <t>vs. Cash Flow Statement</t>
  </si>
  <si>
    <t>Percentage of Gross PP&amp;E</t>
  </si>
  <si>
    <t>Total Depreciation and Amortization</t>
  </si>
  <si>
    <t>Depreciation Schedule</t>
  </si>
  <si>
    <t>Net PP&amp;E</t>
  </si>
  <si>
    <t>Less Accumulated Depreciation and Amortization</t>
  </si>
  <si>
    <t>Percentage of Total Assets</t>
  </si>
  <si>
    <t>Gain on sale of assets</t>
  </si>
  <si>
    <t>Percentage of Total Revenues</t>
  </si>
  <si>
    <t>One time PPE Plug</t>
  </si>
  <si>
    <t>Capital Expenditures</t>
  </si>
  <si>
    <t>PP&amp;E Schedule</t>
  </si>
  <si>
    <t>AMAT Inc. Statement of Cash Flows (Non Cumulative)</t>
  </si>
  <si>
    <t>AMAT Inc. Balance Sheet</t>
  </si>
  <si>
    <t>AMAT Inc. Income Statement</t>
  </si>
  <si>
    <t>Total Orders</t>
  </si>
  <si>
    <t>Total cash+equivs</t>
  </si>
  <si>
    <t>Accounts payable, Notes Payable and Accrued Expenses</t>
  </si>
  <si>
    <t>2046552</t>
  </si>
  <si>
    <t>Book to bill</t>
  </si>
  <si>
    <t>FY2014A</t>
  </si>
  <si>
    <t>FY2015A</t>
  </si>
  <si>
    <t xml:space="preserve">Other interest income </t>
  </si>
  <si>
    <t>Old Report Segments till 2Q16</t>
  </si>
  <si>
    <t>Semiconductor Systems</t>
  </si>
  <si>
    <t>Display and Adjacent Market</t>
  </si>
  <si>
    <t>Corporate and Other</t>
  </si>
  <si>
    <t>Non GAAP Operating Income</t>
  </si>
  <si>
    <t>2Q18e</t>
  </si>
  <si>
    <t>3Q18e</t>
  </si>
  <si>
    <t>4Q18e</t>
  </si>
  <si>
    <t>1FQ2018</t>
  </si>
  <si>
    <t>2FQ2018</t>
  </si>
  <si>
    <t>3FQ2018</t>
  </si>
  <si>
    <t>4FQ2018</t>
  </si>
  <si>
    <t>FY2015</t>
  </si>
  <si>
    <t>EPS - Consensus</t>
  </si>
  <si>
    <t>1Q17</t>
  </si>
  <si>
    <t>4Q16</t>
  </si>
  <si>
    <t>% of semi systems sales</t>
  </si>
  <si>
    <t>2Q17</t>
  </si>
  <si>
    <t>3Q17</t>
  </si>
  <si>
    <t>1FQ2019</t>
  </si>
  <si>
    <t>2FQ2019</t>
  </si>
  <si>
    <t>3FQ2019</t>
  </si>
  <si>
    <t>4FQ2019</t>
  </si>
  <si>
    <t>1Q19e</t>
  </si>
  <si>
    <t>2Q19e</t>
  </si>
  <si>
    <t>3Q19e</t>
  </si>
  <si>
    <t>4Q19e</t>
  </si>
  <si>
    <t>FY2017A</t>
  </si>
  <si>
    <t>4Q17</t>
  </si>
  <si>
    <t>FY2016A</t>
  </si>
  <si>
    <t>1FQ2020</t>
  </si>
  <si>
    <t>2FQ2020</t>
  </si>
  <si>
    <t>3FQ2020</t>
  </si>
  <si>
    <t>4FQ2020</t>
  </si>
  <si>
    <t>1Q20e</t>
  </si>
  <si>
    <t>2Q20e</t>
  </si>
  <si>
    <t>3Q20e</t>
  </si>
  <si>
    <t>4Q20e</t>
  </si>
  <si>
    <t>61</t>
  </si>
  <si>
    <t>1Q18</t>
  </si>
  <si>
    <t>MSA32FNJ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</si>
  <si>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</si>
  <si>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</si>
  <si>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</si>
  <si>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</si>
  <si>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</si>
  <si>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</si>
  <si>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</si>
  <si>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</si>
  <si>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Joseph Moore</t>
  </si>
  <si>
    <t>Date: 14 Feb 2018</t>
  </si>
  <si>
    <t>Ticker: AMAT.O</t>
  </si>
  <si>
    <t>Stock Rating: Overweight</t>
  </si>
  <si>
    <t>Industry: Semiconductor Capital Equipment</t>
  </si>
  <si>
    <t>Industry View: Attractive</t>
  </si>
  <si>
    <t>Price as of 14 Feb 2018: 43.45</t>
  </si>
  <si>
    <t>Target Price: 61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</si>
  <si>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</si>
  <si>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</si>
  <si>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</si>
  <si>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</si>
  <si>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Applied Materials Inc..</t>
  </si>
  <si>
    <t>STOCK RATINGS</t>
  </si>
  <si>
    <t>Global Stock Ratings Distribution</t>
  </si>
  <si>
    <t>(as of January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</si>
  <si>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</si>
  <si>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</si>
  <si>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</si>
  <si>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</si>
  <si>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</si>
  <si>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</si>
  <si>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</si>
  <si>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</si>
  <si>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</si>
  <si>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</si>
  <si>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</si>
  <si>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</si>
  <si>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</si>
  <si>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</si>
  <si>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</si>
  <si>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</si>
  <si>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</si>
  <si>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</si>
  <si>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</si>
  <si>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</si>
  <si>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</si>
  <si>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</si>
  <si>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</si>
  <si>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</si>
  <si>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</si>
  <si>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</si>
  <si>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</si>
  <si>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</si>
  <si>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</si>
  <si>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</si>
  <si>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</si>
  <si>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</si>
  <si>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</si>
  <si>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</si>
  <si>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</si>
  <si>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</si>
  <si>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</si>
  <si>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</si>
  <si>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</si>
  <si>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</si>
  <si>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</si>
  <si>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</si>
  <si>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</si>
  <si>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</si>
  <si>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</si>
  <si>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</si>
  <si>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</si>
  <si>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</si>
  <si>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</si>
  <si>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</si>
  <si>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</si>
  <si>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</si>
  <si>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</si>
  <si>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</si>
  <si>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</si>
  <si>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</si>
  <si>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</si>
  <si>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</si>
  <si>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</si>
  <si>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</si>
  <si>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</si>
  <si>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</si>
  <si>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</si>
  <si>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</si>
  <si>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</si>
  <si>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</si>
  <si>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</si>
  <si>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</si>
  <si>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</si>
  <si>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</si>
  <si>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</si>
  <si>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</si>
  <si>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</si>
  <si>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</si>
  <si>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</si>
  <si>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</si>
  <si>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</si>
  <si>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</si>
  <si>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</si>
  <si>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</si>
  <si>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</si>
  <si>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</si>
  <si>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</si>
  <si>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</si>
  <si>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</si>
  <si>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</si>
  <si>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</si>
  <si>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</si>
  <si>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</si>
  <si>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</si>
  <si>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</si>
  <si>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</si>
  <si>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</si>
  <si>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</si>
  <si>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</si>
  <si>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</si>
  <si>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</si>
  <si>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</si>
  <si>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</si>
  <si>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</si>
  <si>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</si>
  <si>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</si>
  <si>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</si>
  <si>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</si>
  <si>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</si>
  <si>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</si>
  <si>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</si>
  <si>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</si>
  <si>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</si>
  <si>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</si>
  <si>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</si>
  <si>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</si>
  <si>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</si>
  <si>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</si>
  <si>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</si>
  <si>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</si>
  <si>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</si>
  <si>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</si>
  <si>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</si>
  <si>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</si>
  <si>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</si>
  <si>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</si>
  <si>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</si>
  <si>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</si>
  <si>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</si>
  <si>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</si>
  <si>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</si>
  <si>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</si>
  <si>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</si>
  <si>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</si>
  <si>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</si>
  <si>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</si>
  <si>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</si>
  <si>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</si>
  <si>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</si>
  <si>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</si>
  <si>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</si>
  <si>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</si>
  <si>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</si>
  <si>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</si>
  <si>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</si>
  <si>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</si>
  <si>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</si>
  <si>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</si>
  <si>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</si>
  <si>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</si>
  <si>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</si>
  <si>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</si>
  <si>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</si>
  <si>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</si>
  <si>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</si>
  <si>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</si>
  <si>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</si>
  <si>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</si>
  <si>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</si>
  <si>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</si>
  <si>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</si>
  <si>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</si>
  <si>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</si>
  <si>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</si>
  <si>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</si>
  <si>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</si>
  <si>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</si>
  <si>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</si>
  <si>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</si>
  <si>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</si>
  <si>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</si>
  <si>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</si>
  <si>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</si>
  <si>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</si>
  <si>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</si>
  <si>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</si>
  <si>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</si>
  <si>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Applied Materials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</si>
  <si>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</si>
  <si>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</si>
  <si>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</si>
  <si>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</si>
  <si>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</si>
  <si>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</si>
  <si>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</si>
  <si>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</si>
  <si>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</si>
  <si>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</si>
  <si>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</si>
  <si>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</si>
  <si>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</si>
  <si>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</si>
  <si>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</si>
  <si>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</si>
  <si>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</si>
  <si>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</si>
  <si>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</si>
  <si>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</si>
  <si>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</si>
  <si>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</si>
  <si>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</si>
  <si>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</si>
  <si>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</si>
  <si>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</si>
  <si>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</si>
  <si>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</si>
  <si>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</si>
  <si>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</si>
  <si>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</si>
  <si>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</si>
  <si>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</si>
  <si>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</si>
  <si>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</si>
  <si>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</si>
  <si>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</si>
  <si>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</si>
  <si>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</si>
  <si>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</si>
  <si>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</si>
  <si>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</si>
  <si>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</si>
  <si>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</si>
  <si>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</si>
  <si>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</si>
  <si>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</si>
  <si>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</si>
  <si>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</si>
  <si>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</si>
  <si>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</si>
  <si>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</si>
  <si>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</si>
  <si>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</si>
  <si>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</si>
  <si>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</si>
  <si>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</si>
  <si>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</si>
  <si>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</si>
  <si>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</si>
  <si>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</si>
  <si>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</si>
  <si>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</si>
  <si>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</si>
  <si>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</si>
  <si>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</si>
  <si>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</si>
  <si>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</si>
  <si>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Applied Materials Inc..</t>
  </si>
  <si>
    <t>Within the last 12 months, Morgan Stanley has provided or is providing investment banking services to,</t>
  </si>
  <si>
    <t>or has an investment banking client relationship with, the following company: Applied Materials Inc..</t>
  </si>
  <si>
    <t>Within the last 12 months, Morgan Stanley has received compensation for products and services other than</t>
  </si>
  <si>
    <t>investment banking services from Applied Materials Inc..</t>
  </si>
  <si>
    <t>In the next 3 months, Morgan Stanley expects to receive or intends to seek compensation for investment</t>
  </si>
  <si>
    <t>banking services from Applied Materials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</si>
  <si>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</si>
  <si>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</si>
  <si>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</si>
  <si>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</si>
  <si>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</si>
  <si>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</si>
  <si>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</si>
  <si>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</si>
  <si>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</si>
  <si>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</si>
  <si>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</si>
  <si>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</si>
  <si>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</si>
  <si>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</si>
  <si>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</si>
  <si>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</si>
  <si>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</si>
  <si>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</si>
  <si>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</si>
  <si>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</si>
  <si>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</si>
  <si>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</si>
  <si>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</si>
  <si>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</si>
  <si>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</si>
  <si>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</si>
  <si>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</si>
  <si>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</si>
  <si>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</si>
  <si>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</si>
  <si>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</si>
  <si>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</si>
  <si>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</si>
  <si>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</si>
  <si>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</si>
  <si>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</si>
  <si>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</si>
  <si>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</si>
  <si>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</si>
  <si>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</si>
  <si>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</si>
  <si>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</si>
  <si>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</si>
  <si>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</si>
  <si>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</si>
  <si>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</si>
  <si>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</si>
  <si>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</si>
  <si>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</si>
  <si>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</si>
  <si>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</si>
  <si>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</si>
  <si>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</si>
  <si>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</si>
  <si>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</si>
  <si>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</si>
  <si>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</si>
  <si>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</si>
  <si>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</si>
  <si>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</si>
  <si>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</si>
  <si>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</si>
  <si>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</si>
  <si>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</si>
  <si>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</si>
  <si>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</si>
  <si>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</si>
  <si>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</si>
  <si>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</si>
  <si>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</si>
  <si>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</si>
  <si>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</si>
  <si>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</si>
  <si>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</si>
  <si>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Quarterly Update</t>
  </si>
  <si>
    <t>NorthAmerica</t>
  </si>
  <si>
    <t>sarlinde</t>
  </si>
  <si>
    <t>L:\SEMI CAP\Joe Files\Companies\AMAT\Model\AMAT_WIP.xlsm</t>
  </si>
  <si>
    <t>please publish after mu note at midnight</t>
  </si>
  <si>
    <t>[BRO MSA]</t>
  </si>
  <si>
    <t>[PRODUCT MODEL]</t>
  </si>
  <si>
    <t>[EMAIL_ALERT YES]</t>
  </si>
  <si>
    <t>[DISCIPLINE Company]</t>
  </si>
  <si>
    <t>[SUPPRESSED NO]</t>
  </si>
  <si>
    <t>[DOCDAT 2018-02-14]</t>
  </si>
  <si>
    <t>[DOCTIME 19:15]</t>
  </si>
  <si>
    <t>[PSYM AMAT.O(S&amp;P) (None)]</t>
  </si>
  <si>
    <t>[COU 1]</t>
  </si>
  <si>
    <t>[ANA ]</t>
  </si>
  <si>
    <t>[HL AMAT.O Model]</t>
  </si>
  <si>
    <t>[IND SEMICO]</t>
  </si>
  <si>
    <t>[PANA MSA32FNJ]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</si>
</sst>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/yy;@"/>
    <numFmt numFmtId="166" formatCode="[$-409]mmm\-yy;@"/>
    <numFmt numFmtId="167" formatCode="0.0%"/>
    <numFmt numFmtId="169" formatCode="0.0"/>
    <numFmt numFmtId="170" formatCode="#,##0.0"/>
    <numFmt numFmtId="171" formatCode="#,##0.0_);\(#,##0.0\)"/>
    <numFmt numFmtId="175" formatCode="_(* #,##0.000_);_(* \(#,##0.000\);_(* &quot;-&quot;??_);_(@_)"/>
    <numFmt numFmtId="176" formatCode="0_)"/>
    <numFmt numFmtId="177" formatCode="_(* #,##0.0_);_(* \(#,##0.0\);_(* &quot;-&quot;??_);_(@_)"/>
    <numFmt numFmtId="178" formatCode="_(* #,##0.0000_);_(* \(#,##0.0000\);_(* &quot;-&quot;??_);_(@_)"/>
    <numFmt numFmtId="185" formatCode="0.0%_);\(0.0%\);&quot;–&quot;_)"/>
    <numFmt numFmtId="186" formatCode="_(* #,##0.0_);_(* \(#,##0.0\);_(* &quot;-&quot;?_);_(@_)"/>
    <numFmt numFmtId="187" formatCode="#,##0.0_);\(#,##0.0\);#,##0.0_);@_)"/>
    <numFmt numFmtId="189" formatCode="&quot;$&quot;#,##0.0_);\(&quot;$&quot;#,##0.0\)"/>
    <numFmt numFmtId="191" formatCode="&quot;$&quot;#,##0.0_);[Red]\(&quot;$&quot;#,##0.0\)"/>
    <numFmt numFmtId="192" formatCode="0.0_);\(0.0\)"/>
    <numFmt numFmtId="193" formatCode="&quot;$&quot;#,##0.0;\(&quot;$&quot;#,##0.0\)"/>
    <numFmt numFmtId="194" formatCode="\£\ #,##0_);[Red]\(\£\ #,##0\)"/>
    <numFmt numFmtId="195" formatCode="\¥\ #,##0_);[Red]\(\¥\ #,##0\)"/>
    <numFmt numFmtId="196" formatCode="_(* #,##0.0_);_(* \(#,##0.0\);_(* &quot;--- &quot;_)"/>
    <numFmt numFmtId="197" formatCode="General_)"/>
    <numFmt numFmtId="198" formatCode="\•\ \ @"/>
    <numFmt numFmtId="199" formatCode="0.000_)"/>
    <numFmt numFmtId="200" formatCode="\ \ _•\–\ \ \ \ @"/>
    <numFmt numFmtId="201" formatCode="#,##0.0;\(###0.0\)"/>
    <numFmt numFmtId="202" formatCode="mmm\-yyyy"/>
    <numFmt numFmtId="203" formatCode="0.00_)"/>
    <numFmt numFmtId="204" formatCode="0.00000000000000000%"/>
    <numFmt numFmtId="205" formatCode="_(&quot;$&quot;* #,##0_);_(&quot;$&quot;* \(#,##0\);_(&quot;$&quot;* &quot;-&quot;??_);_(@_)"/>
    <numFmt numFmtId="206" formatCode="#,##0.0;\(#,##0.0\)"/>
    <numFmt numFmtId="207" formatCode="0.00\ "/>
    <numFmt numFmtId="208" formatCode="_(* #,##0.0_);_(* \(#,##0.0\);_(* &quot;-&quot;_);_(@_)"/>
    <numFmt numFmtId="209" formatCode="_(&quot;$&quot;* #,##0.0_);_(&quot;$&quot;* \(#,##0.0\);_(&quot;$&quot;* &quot;-&quot;?_);_(@_)"/>
    <numFmt numFmtId="210" formatCode="_(* #,##0.000_);_(* \(#,##0.000\);_(* &quot;-&quot;?_);_(@_)"/>
    <numFmt numFmtId="211" formatCode="_(&quot;$&quot;* #,##0.0_);_(&quot;$&quot;* \(#,##0.0\);_(&quot;$&quot;* &quot;-&quot;_);_(@_)"/>
    <numFmt numFmtId="212" formatCode="_(&quot;$&quot;* #,##0.000_);_(&quot;$&quot;* \(#,##0.000\);_(&quot;$&quot;* &quot;-&quot;_);_(@_)"/>
    <numFmt numFmtId="213" formatCode="_(* #,##0.0000_);_(* \(#,##0.0000\);_(* &quot;-&quot;?_);_(@_)"/>
    <numFmt numFmtId="214" formatCode="_(&quot;$&quot;* #,##0.0000_);_(&quot;$&quot;* \(#,##0.0000\);_(&quot;$&quot;* &quot;-&quot;_);_(@_)"/>
    <numFmt numFmtId="215" formatCode="_(&quot;$&quot;* #,##0.00_);_(&quot;$&quot;* \(#,##0.00\);_(&quot;$&quot;* &quot;-&quot;_);_(@_)"/>
    <numFmt numFmtId="216" formatCode="_(* #,##0.00_);_(* \(#,##0.00\);_(* &quot;-&quot;?_);_(@_)"/>
    <numFmt numFmtId="217" formatCode="#,##0.0000_);\(#,##0.0000\)"/>
    <numFmt numFmtId="218" formatCode="#,##0.000_);\(#,##0.000\)"/>
    <numFmt numFmtId="219" formatCode="_(&quot;$&quot;* #,##0.0_);_(&quot;$&quot;* \(#,##0.0\);_(&quot;$&quot;* &quot;-&quot;??_);_(@_)"/>
    <numFmt numFmtId="220" formatCode="#,##0.0\x_);\(#,##0.0\)"/>
    <numFmt numFmtId="221" formatCode="_(* #,##0.00_);_(* \(#,##0.00\);_(* &quot;-&quot;_);_(@_)"/>
    <numFmt numFmtId="224" formatCode="&quot;$&quot;#,##0.000_);[Red]\(&quot;$&quot;#,##0.000\)"/>
    <numFmt numFmtId="227" formatCode="#,##0.000_);[Red]\(#,##0.000\)"/>
    <numFmt numFmtId="228" formatCode="#,##0.0_);[Red]\(#,##0.0\)"/>
    <numFmt numFmtId="229" formatCode="0.00%_);[Red]\(0.00%\)"/>
    <numFmt numFmtId="230" formatCode="0.00%;[Red]\(0.00%\)"/>
    <numFmt numFmtId="231" formatCode="&quot;Ç&quot;\ &quot;´&quot;&quot;´&quot;&quot;´&quot;&quot;´&quot;\ &quot;»&quot;&quot;»&quot;&quot;»&quot;&quot;»&quot;"/>
    <numFmt numFmtId="232" formatCode="#,##0.00000;[Red]\(#,##0.00000\)"/>
    <numFmt numFmtId="233" formatCode="&quot;$&quot;#,##0.00;\(&quot;$&quot;#,##0.00\)"/>
    <numFmt numFmtId="234" formatCode="_ * #,##0_)_£_ ;_ * \(#,##0\)_£_ ;_ * &quot;-&quot;_)_£_ ;_ @_ "/>
    <numFmt numFmtId="235" formatCode="&quot;$&quot;#,##0.0;[Red]\(&quot;$&quot;#,##0.0\)"/>
    <numFmt numFmtId="236" formatCode="yyyy"/>
    <numFmt numFmtId="237" formatCode="_([$€-2]* #,##0.00_);_([$€-2]* \(#,##0.00\);_([$€-2]* &quot;-&quot;??_)"/>
    <numFmt numFmtId="238" formatCode="#,##0.00\x_);[Red]\(#,##0.00\x\)"/>
    <numFmt numFmtId="239" formatCode="_(#,##0_)\ &quot;e&quot;;\(#,##0\)\ &quot;e&quot;"/>
    <numFmt numFmtId="240" formatCode="0%;[Red]\(0%\)"/>
    <numFmt numFmtId="241" formatCode="0.0%_);[Red]\(0.0%\)"/>
    <numFmt numFmtId="247" formatCode="mm/dd/yy\ hh:mm"/>
  </numFmts>
  <fonts count="19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7"/>
      <name val="Arial"/>
      <family val="2"/>
    </font>
    <font>
      <i/>
      <sz val="8"/>
      <color indexed="12"/>
      <name val="Arial"/>
      <family val="2"/>
    </font>
    <font>
      <b/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81"/>
      <name val="Tahoma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8"/>
      <name val="Arial MT"/>
    </font>
    <font>
      <sz val="9"/>
      <color indexed="8"/>
      <name val="Arial MT"/>
    </font>
    <font>
      <sz val="8"/>
      <name val="Tms Rmn"/>
    </font>
    <font>
      <sz val="10"/>
      <color indexed="8"/>
      <name val="MS Sans Serif"/>
      <family val="2"/>
    </font>
    <font>
      <sz val="12"/>
      <name val="바탕체"/>
      <family val="3"/>
    </font>
    <font>
      <sz val="9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12"/>
      <name val="新細明體"/>
      <family val="1"/>
      <charset val="136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name val="Tahoma"/>
      <family val="2"/>
    </font>
    <font>
      <sz val="10"/>
      <color indexed="12"/>
      <name val="Times New Roman"/>
      <family val="1"/>
    </font>
    <font>
      <sz val="10"/>
      <name val="GillSans Light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8"/>
      <color indexed="53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name val="Segoe UI"/>
      <family val="2"/>
    </font>
    <font>
      <b/>
      <sz val="18"/>
      <color indexed="62"/>
      <name val="Cambria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u/>
      <sz val="8"/>
      <color indexed="81"/>
      <name val="Tahoma"/>
      <family val="2"/>
    </font>
    <font>
      <sz val="11"/>
      <name val="Arial"/>
      <family val="2"/>
    </font>
    <font>
      <u/>
      <sz val="11"/>
      <name val="Arial"/>
      <family val="2"/>
    </font>
    <font>
      <i/>
      <sz val="11"/>
      <name val="Arial"/>
      <family val="2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19"/>
      <name val="Arial"/>
      <family val="2"/>
    </font>
    <font>
      <sz val="11"/>
      <color indexed="17"/>
      <name val="Arial"/>
      <family val="2"/>
    </font>
    <font>
      <sz val="11"/>
      <color indexed="10"/>
      <name val="Arial"/>
      <family val="2"/>
    </font>
    <font>
      <b/>
      <sz val="11"/>
      <color indexed="12"/>
      <name val="Arial"/>
      <family val="2"/>
    </font>
    <font>
      <sz val="11"/>
      <color indexed="53"/>
      <name val="Arial"/>
      <family val="2"/>
    </font>
    <font>
      <b/>
      <sz val="11"/>
      <color indexed="8"/>
      <name val="Arial"/>
      <family val="2"/>
    </font>
    <font>
      <b/>
      <sz val="14"/>
      <name val="Arial"/>
      <family val="2"/>
    </font>
    <font>
      <b/>
      <sz val="16"/>
      <color indexed="53"/>
      <name val="Arial"/>
      <family val="2"/>
    </font>
    <font>
      <b/>
      <sz val="10"/>
      <color indexed="53"/>
      <name val="Arial"/>
      <family val="2"/>
    </font>
    <font>
      <b/>
      <u/>
      <sz val="11"/>
      <color indexed="8"/>
      <name val="Arial"/>
      <family val="2"/>
    </font>
    <font>
      <b/>
      <i/>
      <sz val="11"/>
      <color indexed="10"/>
      <name val="Arial"/>
      <family val="2"/>
    </font>
    <font>
      <i/>
      <sz val="10"/>
      <name val="Arial"/>
      <family val="2"/>
    </font>
    <font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2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indexed="12"/>
      <name val="Calibri"/>
      <family val="2"/>
    </font>
    <font>
      <b/>
      <sz val="18"/>
      <color indexed="56"/>
      <name val="Cambria"/>
      <family val="2"/>
    </font>
    <font>
      <sz val="7"/>
      <name val="Arial"/>
      <family val="2"/>
    </font>
    <font>
      <sz val="10"/>
      <name val="Geneva"/>
    </font>
    <font>
      <sz val="8"/>
      <color indexed="17"/>
      <name val="Times New Roman"/>
      <family val="1"/>
    </font>
    <font>
      <sz val="8"/>
      <color indexed="18"/>
      <name val="Times New Roman"/>
      <family val="1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10"/>
      <name val="Helvetica"/>
      <family val="2"/>
    </font>
    <font>
      <sz val="9"/>
      <name val="‚l‚r –¾’©"/>
      <family val="1"/>
      <charset val="128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1"/>
      <color indexed="16"/>
      <name val="Calibri"/>
      <family val="2"/>
    </font>
    <font>
      <sz val="12"/>
      <name val="Tms Rmn"/>
      <family val="1"/>
    </font>
    <font>
      <i/>
      <sz val="10"/>
      <name val="Tms Rmn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1"/>
      <name val="明朝"/>
      <family val="1"/>
      <charset val="128"/>
    </font>
    <font>
      <b/>
      <sz val="11"/>
      <color indexed="53"/>
      <name val="Calibri"/>
      <family val="2"/>
    </font>
    <font>
      <b/>
      <sz val="8"/>
      <name val="Times New Roman"/>
      <family val="1"/>
    </font>
    <font>
      <sz val="8"/>
      <name val="Tms Rmn"/>
      <family val="1"/>
    </font>
    <font>
      <sz val="8"/>
      <color indexed="8"/>
      <name val="Times New Roma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1"/>
      <color indexed="58"/>
      <name val="Calibri"/>
      <family val="2"/>
    </font>
    <font>
      <b/>
      <sz val="10"/>
      <color indexed="17"/>
      <name val="Helvetica"/>
      <family val="2"/>
    </font>
    <font>
      <b/>
      <u/>
      <sz val="11"/>
      <color indexed="37"/>
      <name val="Arial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name val="??"/>
      <family val="3"/>
      <charset val="129"/>
    </font>
    <font>
      <sz val="11"/>
      <color indexed="23"/>
      <name val="Calibri"/>
      <family val="2"/>
    </font>
    <font>
      <sz val="11"/>
      <color indexed="53"/>
      <name val="Calibri"/>
      <family val="2"/>
    </font>
    <font>
      <sz val="11"/>
      <color indexed="13"/>
      <name val="Calibri"/>
      <family val="2"/>
    </font>
    <font>
      <sz val="6"/>
      <color indexed="12"/>
      <name val="Tms Rmn"/>
    </font>
    <font>
      <sz val="8"/>
      <color indexed="12"/>
      <name val="Helvetica"/>
      <family val="2"/>
    </font>
    <font>
      <sz val="14"/>
      <name val="Terminal"/>
      <family val="3"/>
      <charset val="255"/>
    </font>
    <font>
      <sz val="6"/>
      <name val="Tms Rmn"/>
    </font>
    <font>
      <sz val="12"/>
      <name val="palatino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18"/>
      <color indexed="18"/>
      <name val="Cambria"/>
      <family val="2"/>
    </font>
    <font>
      <b/>
      <sz val="16"/>
      <color indexed="62"/>
      <name val="Arial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12"/>
      <name val="Osaka"/>
      <family val="3"/>
      <charset val="128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12"/>
      <name val="바탕체"/>
      <family val="1"/>
    </font>
    <font>
      <sz val="12"/>
      <name val="宋体"/>
      <charset val="134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0000FF"/>
      <name val="Arial"/>
      <family val="2"/>
    </font>
    <font>
      <sz val="8"/>
      <color theme="3"/>
      <name val="Arial"/>
      <family val="2"/>
    </font>
    <font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8"/>
      <color rgb="FF339966"/>
      <name val="Arial"/>
      <family val="2"/>
    </font>
    <font>
      <i/>
      <sz val="11"/>
      <color rgb="FF2270AB"/>
      <name val="Arial"/>
      <family val="2"/>
    </font>
    <font>
      <sz val="11"/>
      <color theme="4"/>
      <name val="Arial"/>
      <family val="2"/>
    </font>
    <font>
      <i/>
      <sz val="11"/>
      <color theme="3"/>
      <name val="Arial"/>
      <family val="2"/>
    </font>
    <font>
      <sz val="11"/>
      <color theme="3"/>
      <name val="Arial"/>
      <family val="2"/>
    </font>
    <font>
      <b/>
      <sz val="8"/>
      <color theme="0"/>
      <name val="Arial"/>
      <family val="2"/>
    </font>
    <font>
      <sz val="11"/>
      <color rgb="FF0000FF"/>
      <name val="Arial"/>
      <family val="2"/>
    </font>
    <font>
      <i/>
      <sz val="11"/>
      <color rgb="FF0000FF"/>
      <name val="Arial"/>
      <family val="2"/>
    </font>
    <font>
      <sz val="11"/>
      <color theme="9" tint="-0.249977111117893"/>
      <name val="Arial"/>
      <family val="2"/>
    </font>
    <font>
      <sz val="10"/>
      <name val="Courier"/>
      <family val="3"/>
    </font>
    <font>
      <sz val="10"/>
      <name val="Arial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1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6"/>
      </patternFill>
    </fill>
    <fill>
      <patternFill patternType="solid">
        <fgColor indexed="60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6"/>
      </patternFill>
    </fill>
    <fill>
      <patternFill patternType="solid">
        <fgColor indexed="35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48"/>
      </patternFill>
    </fill>
    <fill>
      <patternFill patternType="solid">
        <fgColor indexed="10"/>
      </patternFill>
    </fill>
    <fill>
      <patternFill patternType="solid">
        <fgColor indexed="38"/>
      </patternFill>
    </fill>
    <fill>
      <patternFill patternType="solid">
        <fgColor indexed="57"/>
      </patternFill>
    </fill>
    <fill>
      <patternFill patternType="solid">
        <fgColor indexed="39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53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gray0625"/>
    </fill>
    <fill>
      <patternFill patternType="solid">
        <fgColor indexed="44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5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dashed">
        <color indexed="64"/>
      </left>
      <right/>
      <top style="dotted">
        <color indexed="64"/>
      </top>
      <bottom style="dotted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/>
      <bottom style="dotted">
        <color indexed="64"/>
      </bottom>
      <diagonal/>
    </border>
    <border>
      <left/>
      <right style="dashed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434">
    <xf numFmtId="0" fontId="0" fillId="0" borderId="0"/>
    <xf numFmtId="0" fontId="2" fillId="0" borderId="0"/>
    <xf numFmtId="9" fontId="5" fillId="0" borderId="0">
      <alignment horizontal="right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28" fillId="0" borderId="0"/>
    <xf numFmtId="5" fontId="120" fillId="0" borderId="0" applyFont="0" applyFill="0" applyBorder="0" applyAlignment="0" applyProtection="0"/>
    <xf numFmtId="8" fontId="120" fillId="0" borderId="0" applyFont="0" applyFill="0" applyBorder="0" applyAlignment="0" applyProtection="0"/>
    <xf numFmtId="193" fontId="27" fillId="0" borderId="0">
      <alignment horizontal="right"/>
    </xf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9" fontId="121" fillId="0" borderId="0"/>
    <xf numFmtId="230" fontId="122" fillId="0" borderId="0"/>
    <xf numFmtId="10" fontId="120" fillId="0" borderId="0" applyFont="0" applyFill="0" applyBorder="0" applyAlignment="0" applyProtection="0"/>
    <xf numFmtId="0" fontId="28" fillId="0" borderId="0" applyNumberFormat="0" applyFont="0" applyFill="0" applyBorder="0" applyAlignment="0" applyProtection="0"/>
    <xf numFmtId="0" fontId="28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42" fontId="2" fillId="0" borderId="0" applyFont="0" applyFill="0" applyBorder="0" applyAlignment="0" applyProtection="0"/>
    <xf numFmtId="0" fontId="123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29" fillId="0" borderId="0"/>
    <xf numFmtId="40" fontId="124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top"/>
      <protection locked="0"/>
    </xf>
    <xf numFmtId="38" fontId="124" fillId="0" borderId="0" applyFont="0" applyFill="0" applyBorder="0" applyAlignment="0" applyProtection="0"/>
    <xf numFmtId="0" fontId="123" fillId="0" borderId="0"/>
    <xf numFmtId="0" fontId="2" fillId="0" borderId="0"/>
    <xf numFmtId="0" fontId="13" fillId="0" borderId="1" applyNumberFormat="0" applyBorder="0" applyAlignment="0">
      <alignment horizontal="left"/>
    </xf>
    <xf numFmtId="0" fontId="2" fillId="0" borderId="0"/>
    <xf numFmtId="0" fontId="2" fillId="0" borderId="0"/>
    <xf numFmtId="3" fontId="3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3" fontId="30" fillId="0" borderId="0"/>
    <xf numFmtId="3" fontId="3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231" fontId="126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3" fontId="30" fillId="0" borderId="0"/>
    <xf numFmtId="3" fontId="30" fillId="0" borderId="0"/>
    <xf numFmtId="3" fontId="30" fillId="0" borderId="0"/>
    <xf numFmtId="3" fontId="30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3" fontId="3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4" fillId="0" borderId="0"/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3" fontId="30" fillId="0" borderId="0"/>
    <xf numFmtId="3" fontId="3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Fill="0" applyAlignment="0">
      <protection locked="0"/>
    </xf>
    <xf numFmtId="3" fontId="30" fillId="0" borderId="0"/>
    <xf numFmtId="0" fontId="2" fillId="0" borderId="0"/>
    <xf numFmtId="44" fontId="31" fillId="0" borderId="0" applyFont="0" applyFill="0" applyBorder="0" applyAlignment="0" applyProtection="0"/>
    <xf numFmtId="42" fontId="31" fillId="0" borderId="0" applyFont="0" applyFill="0" applyBorder="0" applyAlignment="0" applyProtection="0"/>
    <xf numFmtId="0" fontId="127" fillId="0" borderId="2" applyBorder="0"/>
    <xf numFmtId="194" fontId="32" fillId="0" borderId="0" applyFont="0" applyFill="0" applyBorder="0" applyAlignment="0" applyProtection="0"/>
    <xf numFmtId="194" fontId="32" fillId="0" borderId="0" applyFont="0" applyFill="0" applyBorder="0" applyAlignment="0" applyProtection="0"/>
    <xf numFmtId="195" fontId="32" fillId="0" borderId="0" applyFont="0" applyFill="0" applyBorder="0" applyAlignment="0" applyProtection="0"/>
    <xf numFmtId="195" fontId="32" fillId="0" borderId="0" applyFont="0" applyFill="0" applyBorder="0" applyAlignment="0" applyProtection="0"/>
    <xf numFmtId="0" fontId="2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3" fillId="0" borderId="0"/>
    <xf numFmtId="0" fontId="2" fillId="0" borderId="0"/>
    <xf numFmtId="0" fontId="14" fillId="0" borderId="0"/>
    <xf numFmtId="9" fontId="24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0" fontId="14" fillId="0" borderId="0"/>
    <xf numFmtId="0" fontId="14" fillId="0" borderId="0"/>
    <xf numFmtId="0" fontId="14" fillId="0" borderId="0"/>
    <xf numFmtId="2" fontId="14" fillId="0" borderId="0"/>
    <xf numFmtId="10" fontId="14" fillId="0" borderId="0"/>
    <xf numFmtId="2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76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76" fontId="14" fillId="0" borderId="0"/>
    <xf numFmtId="171" fontId="24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0" fontId="128" fillId="0" borderId="0" applyFont="0" applyFill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0" fontId="2" fillId="0" borderId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0" fontId="1" fillId="15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3" fillId="17" borderId="0" applyNumberFormat="0" applyBorder="0" applyAlignment="0" applyProtection="0"/>
    <xf numFmtId="0" fontId="73" fillId="16" borderId="0" applyNumberFormat="0" applyBorder="0" applyAlignment="0" applyProtection="0"/>
    <xf numFmtId="0" fontId="73" fillId="12" borderId="0" applyNumberFormat="0" applyBorder="0" applyAlignment="0" applyProtection="0"/>
    <xf numFmtId="0" fontId="73" fillId="12" borderId="0" applyNumberFormat="0" applyBorder="0" applyAlignment="0" applyProtection="0"/>
    <xf numFmtId="0" fontId="73" fillId="6" borderId="0" applyNumberFormat="0" applyBorder="0" applyAlignment="0" applyProtection="0"/>
    <xf numFmtId="0" fontId="73" fillId="6" borderId="0" applyNumberFormat="0" applyBorder="0" applyAlignment="0" applyProtection="0"/>
    <xf numFmtId="0" fontId="73" fillId="18" borderId="0" applyNumberFormat="0" applyBorder="0" applyAlignment="0" applyProtection="0"/>
    <xf numFmtId="0" fontId="73" fillId="18" borderId="0" applyNumberFormat="0" applyBorder="0" applyAlignment="0" applyProtection="0"/>
    <xf numFmtId="0" fontId="73" fillId="19" borderId="0" applyNumberFormat="0" applyBorder="0" applyAlignment="0" applyProtection="0"/>
    <xf numFmtId="0" fontId="73" fillId="14" borderId="0" applyNumberFormat="0" applyBorder="0" applyAlignment="0" applyProtection="0"/>
    <xf numFmtId="0" fontId="73" fillId="6" borderId="0" applyNumberFormat="0" applyBorder="0" applyAlignment="0" applyProtection="0"/>
    <xf numFmtId="0" fontId="73" fillId="6" borderId="0" applyNumberFormat="0" applyBorder="0" applyAlignment="0" applyProtection="0"/>
    <xf numFmtId="0" fontId="73" fillId="13" borderId="0" applyNumberFormat="0" applyBorder="0" applyAlignment="0" applyProtection="0"/>
    <xf numFmtId="0" fontId="73" fillId="20" borderId="0" applyNumberFormat="0" applyBorder="0" applyAlignment="0" applyProtection="0"/>
    <xf numFmtId="0" fontId="73" fillId="13" borderId="0" applyNumberFormat="0" applyBorder="0" applyAlignment="0" applyProtection="0"/>
    <xf numFmtId="0" fontId="73" fillId="13" borderId="0" applyNumberFormat="0" applyBorder="0" applyAlignment="0" applyProtection="0"/>
    <xf numFmtId="0" fontId="73" fillId="17" borderId="0" applyNumberFormat="0" applyBorder="0" applyAlignment="0" applyProtection="0"/>
    <xf numFmtId="0" fontId="73" fillId="17" borderId="0" applyNumberFormat="0" applyBorder="0" applyAlignment="0" applyProtection="0"/>
    <xf numFmtId="0" fontId="73" fillId="21" borderId="0" applyNumberFormat="0" applyBorder="0" applyAlignment="0" applyProtection="0"/>
    <xf numFmtId="0" fontId="73" fillId="21" borderId="0" applyNumberFormat="0" applyBorder="0" applyAlignment="0" applyProtection="0"/>
    <xf numFmtId="0" fontId="73" fillId="8" borderId="0" applyNumberFormat="0" applyBorder="0" applyAlignment="0" applyProtection="0"/>
    <xf numFmtId="0" fontId="73" fillId="22" borderId="0" applyNumberFormat="0" applyBorder="0" applyAlignment="0" applyProtection="0"/>
    <xf numFmtId="0" fontId="73" fillId="3" borderId="0" applyNumberFormat="0" applyBorder="0" applyAlignment="0" applyProtection="0"/>
    <xf numFmtId="0" fontId="73" fillId="3" borderId="0" applyNumberFormat="0" applyBorder="0" applyAlignment="0" applyProtection="0"/>
    <xf numFmtId="37" fontId="34" fillId="0" borderId="0">
      <alignment horizontal="center"/>
    </xf>
    <xf numFmtId="37" fontId="34" fillId="0" borderId="0">
      <alignment horizontal="center"/>
    </xf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73" fillId="17" borderId="0" applyNumberFormat="0" applyBorder="0" applyAlignment="0" applyProtection="0"/>
    <xf numFmtId="0" fontId="73" fillId="23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6" borderId="0" applyNumberFormat="0" applyBorder="0" applyAlignment="0" applyProtection="0"/>
    <xf numFmtId="0" fontId="73" fillId="25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19" borderId="0" applyNumberFormat="0" applyBorder="0" applyAlignment="0" applyProtection="0"/>
    <xf numFmtId="0" fontId="73" fillId="27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9" borderId="0" applyNumberFormat="0" applyBorder="0" applyAlignment="0" applyProtection="0"/>
    <xf numFmtId="0" fontId="73" fillId="2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17" borderId="0" applyNumberFormat="0" applyBorder="0" applyAlignment="0" applyProtection="0"/>
    <xf numFmtId="0" fontId="73" fillId="17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6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196" fontId="35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97" fontId="36" fillId="0" borderId="0">
      <alignment horizontal="left"/>
    </xf>
    <xf numFmtId="0" fontId="130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30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7" fontId="37" fillId="0" borderId="0" applyFont="0" applyFill="0" applyBorder="0" applyAlignment="0" applyProtection="0"/>
    <xf numFmtId="0" fontId="74" fillId="5" borderId="0" applyNumberFormat="0" applyBorder="0" applyAlignment="0" applyProtection="0"/>
    <xf numFmtId="0" fontId="74" fillId="5" borderId="0" applyNumberFormat="0" applyBorder="0" applyAlignment="0" applyProtection="0"/>
    <xf numFmtId="0" fontId="131" fillId="2" borderId="0" applyNumberFormat="0" applyBorder="0" applyAlignment="0" applyProtection="0"/>
    <xf numFmtId="0" fontId="131" fillId="2" borderId="0" applyNumberFormat="0" applyBorder="0" applyAlignment="0" applyProtection="0"/>
    <xf numFmtId="229" fontId="122" fillId="0" borderId="0"/>
    <xf numFmtId="228" fontId="46" fillId="0" borderId="0" applyFont="0" applyFill="0" applyBorder="0" applyAlignment="0" applyProtection="0"/>
    <xf numFmtId="228" fontId="46" fillId="0" borderId="0" applyFont="0" applyFill="0" applyBorder="0" applyAlignment="0" applyProtection="0"/>
    <xf numFmtId="1" fontId="38" fillId="32" borderId="3" applyNumberFormat="0" applyBorder="0" applyAlignment="0">
      <alignment horizontal="center" vertical="top" wrapText="1"/>
      <protection hidden="1"/>
    </xf>
    <xf numFmtId="37" fontId="27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40" fillId="0" borderId="4" applyNumberFormat="0" applyFill="0" applyAlignment="0" applyProtection="0"/>
    <xf numFmtId="0" fontId="120" fillId="0" borderId="4" applyNumberFormat="0" applyFont="0" applyFill="0" applyAlignment="0" applyProtection="0"/>
    <xf numFmtId="0" fontId="120" fillId="0" borderId="3" applyNumberFormat="0" applyFont="0" applyFill="0" applyAlignment="0" applyProtection="0"/>
    <xf numFmtId="0" fontId="120" fillId="0" borderId="5" applyNumberFormat="0" applyFont="0" applyFill="0" applyAlignment="0" applyProtection="0"/>
    <xf numFmtId="0" fontId="120" fillId="0" borderId="6" applyNumberFormat="0" applyFont="0" applyFill="0" applyAlignment="0" applyProtection="0"/>
    <xf numFmtId="37" fontId="133" fillId="0" borderId="0" applyNumberFormat="0" applyFill="0" applyBorder="0" applyAlignment="0" applyProtection="0">
      <alignment horizontal="center"/>
    </xf>
    <xf numFmtId="198" fontId="32" fillId="0" borderId="0" applyFont="0" applyFill="0" applyBorder="0" applyAlignment="0" applyProtection="0"/>
    <xf numFmtId="198" fontId="3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34" fillId="0" borderId="0"/>
    <xf numFmtId="0" fontId="135" fillId="0" borderId="0"/>
    <xf numFmtId="0" fontId="134" fillId="0" borderId="0"/>
    <xf numFmtId="0" fontId="134" fillId="0" borderId="0"/>
    <xf numFmtId="0" fontId="136" fillId="0" borderId="0"/>
    <xf numFmtId="0" fontId="130" fillId="0" borderId="0"/>
    <xf numFmtId="0" fontId="136" fillId="0" borderId="0"/>
    <xf numFmtId="0" fontId="130" fillId="0" borderId="0"/>
    <xf numFmtId="0" fontId="136" fillId="0" borderId="0"/>
    <xf numFmtId="0" fontId="130" fillId="0" borderId="0"/>
    <xf numFmtId="0" fontId="2" fillId="0" borderId="0"/>
    <xf numFmtId="0" fontId="3" fillId="0" borderId="0"/>
    <xf numFmtId="232" fontId="137" fillId="0" borderId="0" applyFill="0" applyBorder="0" applyAlignment="0"/>
    <xf numFmtId="0" fontId="75" fillId="33" borderId="7" applyNumberFormat="0" applyAlignment="0" applyProtection="0"/>
    <xf numFmtId="0" fontId="75" fillId="13" borderId="7" applyNumberFormat="0" applyAlignment="0" applyProtection="0"/>
    <xf numFmtId="0" fontId="138" fillId="33" borderId="7" applyNumberFormat="0" applyAlignment="0" applyProtection="0"/>
    <xf numFmtId="0" fontId="138" fillId="33" borderId="7" applyNumberFormat="0" applyAlignment="0" applyProtection="0"/>
    <xf numFmtId="228" fontId="139" fillId="0" borderId="0" applyFont="0" applyFill="0" applyBorder="0" applyAlignment="0" applyProtection="0"/>
    <xf numFmtId="0" fontId="27" fillId="0" borderId="0">
      <alignment horizontal="right"/>
    </xf>
    <xf numFmtId="0" fontId="27" fillId="0" borderId="0">
      <alignment horizontal="right"/>
    </xf>
    <xf numFmtId="233" fontId="140" fillId="0" borderId="0"/>
    <xf numFmtId="1" fontId="41" fillId="0" borderId="0"/>
    <xf numFmtId="0" fontId="76" fillId="34" borderId="8" applyNumberFormat="0" applyAlignment="0" applyProtection="0"/>
    <xf numFmtId="0" fontId="76" fillId="34" borderId="8" applyNumberFormat="0" applyAlignment="0" applyProtection="0"/>
    <xf numFmtId="0" fontId="76" fillId="34" borderId="8" applyNumberFormat="0" applyAlignment="0" applyProtection="0"/>
    <xf numFmtId="0" fontId="42" fillId="0" borderId="4" applyNumberFormat="0" applyFill="0" applyProtection="0">
      <alignment horizontal="left" vertical="center"/>
    </xf>
    <xf numFmtId="169" fontId="4" fillId="0" borderId="0" applyBorder="0">
      <alignment horizontal="right"/>
    </xf>
    <xf numFmtId="169" fontId="4" fillId="0" borderId="9" applyAlignment="0">
      <alignment horizontal="right"/>
    </xf>
    <xf numFmtId="43" fontId="7" fillId="0" borderId="0" applyFont="0" applyFill="0" applyBorder="0" applyAlignment="0" applyProtection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199" fontId="43" fillId="0" borderId="0"/>
    <xf numFmtId="234" fontId="2" fillId="0" borderId="0"/>
    <xf numFmtId="199" fontId="43" fillId="0" borderId="0"/>
    <xf numFmtId="206" fontId="141" fillId="0" borderId="0" applyFont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71" fontId="40" fillId="0" borderId="0" applyFont="0" applyFill="0" applyBorder="0" applyAlignment="0">
      <alignment horizontal="center" wrapText="1"/>
    </xf>
    <xf numFmtId="38" fontId="16" fillId="0" borderId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0" fontId="1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43" fontId="17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142" fillId="0" borderId="0"/>
    <xf numFmtId="170" fontId="142" fillId="0" borderId="0"/>
    <xf numFmtId="2" fontId="142" fillId="0" borderId="0"/>
    <xf numFmtId="0" fontId="44" fillId="0" borderId="0"/>
    <xf numFmtId="0" fontId="45" fillId="0" borderId="0" applyFill="0" applyBorder="0">
      <alignment horizontal="left"/>
    </xf>
    <xf numFmtId="0" fontId="45" fillId="0" borderId="0" applyFill="0" applyBorder="0">
      <alignment horizontal="left"/>
    </xf>
    <xf numFmtId="0" fontId="143" fillId="0" borderId="0" applyNumberFormat="0" applyAlignment="0">
      <alignment horizontal="left"/>
    </xf>
    <xf numFmtId="235" fontId="46" fillId="0" borderId="0"/>
    <xf numFmtId="235" fontId="46" fillId="0" borderId="0"/>
    <xf numFmtId="189" fontId="40" fillId="0" borderId="0" applyFont="0" applyFill="0" applyBorder="0" applyAlignment="0">
      <alignment horizontal="center" wrapText="1"/>
    </xf>
    <xf numFmtId="8" fontId="46" fillId="0" borderId="0" applyFont="0" applyFill="0" applyBorder="0" applyAlignment="0" applyProtection="0">
      <alignment horizontal="left"/>
    </xf>
    <xf numFmtId="8" fontId="46" fillId="0" borderId="0" applyFont="0" applyFill="0" applyBorder="0" applyAlignment="0" applyProtection="0">
      <alignment horizontal="left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1" fontId="144" fillId="0" borderId="0" applyFont="0" applyFill="0" applyBorder="0" applyAlignment="0" applyProtection="0"/>
    <xf numFmtId="200" fontId="32" fillId="0" borderId="0" applyFont="0" applyFill="0" applyBorder="0" applyAlignment="0" applyProtection="0"/>
    <xf numFmtId="200" fontId="32" fillId="0" borderId="0" applyFont="0" applyFill="0" applyBorder="0" applyAlignment="0" applyProtection="0"/>
    <xf numFmtId="14" fontId="13" fillId="0" borderId="1" applyFont="0">
      <alignment horizontal="right"/>
    </xf>
    <xf numFmtId="0" fontId="31" fillId="0" borderId="0"/>
    <xf numFmtId="14" fontId="139" fillId="0" borderId="0" applyFont="0" applyFill="0" applyBorder="0" applyAlignment="0" applyProtection="0">
      <alignment horizontal="center"/>
    </xf>
    <xf numFmtId="236" fontId="139" fillId="0" borderId="0" applyFont="0" applyFill="0" applyBorder="0" applyAlignment="0" applyProtection="0">
      <alignment horizontal="center"/>
    </xf>
    <xf numFmtId="0" fontId="46" fillId="0" borderId="0"/>
    <xf numFmtId="201" fontId="27" fillId="0" borderId="0">
      <alignment horizontal="right"/>
    </xf>
    <xf numFmtId="0" fontId="46" fillId="0" borderId="0"/>
    <xf numFmtId="0" fontId="27" fillId="0" borderId="0"/>
    <xf numFmtId="0" fontId="27" fillId="0" borderId="0"/>
    <xf numFmtId="5" fontId="6" fillId="0" borderId="0" applyFont="0" applyFill="0" applyBorder="0" applyAlignment="0" applyProtection="0">
      <protection locked="0"/>
    </xf>
    <xf numFmtId="5" fontId="6" fillId="0" borderId="0" applyFont="0" applyFill="0" applyBorder="0" applyAlignment="0" applyProtection="0">
      <protection locked="0"/>
    </xf>
    <xf numFmtId="6" fontId="46" fillId="0" borderId="0" applyFont="0" applyFill="0" applyBorder="0" applyAlignment="0" applyProtection="0"/>
    <xf numFmtId="6" fontId="46" fillId="0" borderId="0" applyFont="0" applyFill="0" applyBorder="0" applyAlignment="0" applyProtection="0"/>
    <xf numFmtId="0" fontId="145" fillId="0" borderId="0" applyNumberFormat="0" applyAlignment="0">
      <alignment horizontal="left"/>
    </xf>
    <xf numFmtId="237" fontId="1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47" fillId="0" borderId="0"/>
    <xf numFmtId="1" fontId="48" fillId="35" borderId="10" applyNumberFormat="0" applyBorder="0" applyAlignment="0">
      <alignment horizontal="centerContinuous" vertical="center"/>
      <protection locked="0"/>
    </xf>
    <xf numFmtId="0" fontId="49" fillId="24" borderId="0"/>
    <xf numFmtId="0" fontId="27" fillId="0" borderId="0"/>
    <xf numFmtId="0" fontId="27" fillId="0" borderId="0"/>
    <xf numFmtId="0" fontId="50" fillId="0" borderId="0" applyNumberFormat="0" applyFill="0" applyBorder="0" applyProtection="0">
      <alignment horizontal="left" vertical="center"/>
    </xf>
    <xf numFmtId="49" fontId="3" fillId="0" borderId="0" applyFill="0" applyBorder="0"/>
    <xf numFmtId="49" fontId="24" fillId="0" borderId="0"/>
    <xf numFmtId="49" fontId="24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4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0" fontId="78" fillId="7" borderId="0" applyNumberFormat="0" applyBorder="0" applyAlignment="0" applyProtection="0"/>
    <xf numFmtId="0" fontId="78" fillId="7" borderId="0" applyNumberFormat="0" applyBorder="0" applyAlignment="0" applyProtection="0"/>
    <xf numFmtId="0" fontId="146" fillId="7" borderId="0" applyNumberFormat="0" applyBorder="0" applyAlignment="0" applyProtection="0"/>
    <xf numFmtId="0" fontId="146" fillId="7" borderId="0" applyNumberFormat="0" applyBorder="0" applyAlignment="0" applyProtection="0"/>
    <xf numFmtId="0" fontId="51" fillId="0" borderId="0"/>
    <xf numFmtId="0" fontId="147" fillId="0" borderId="0"/>
    <xf numFmtId="38" fontId="3" fillId="36" borderId="0" applyNumberFormat="0" applyBorder="0" applyAlignment="0" applyProtection="0"/>
    <xf numFmtId="38" fontId="3" fillId="36" borderId="0" applyNumberFormat="0" applyBorder="0" applyAlignment="0" applyProtection="0"/>
    <xf numFmtId="230" fontId="121" fillId="0" borderId="0"/>
    <xf numFmtId="229" fontId="121" fillId="0" borderId="0" applyFill="0" applyBorder="0" applyAlignment="0" applyProtection="0"/>
    <xf numFmtId="167" fontId="2" fillId="37" borderId="11" applyNumberFormat="0" applyFont="0" applyBorder="0" applyAlignment="0" applyProtection="0"/>
    <xf numFmtId="167" fontId="2" fillId="37" borderId="11" applyNumberFormat="0" applyFont="0" applyBorder="0" applyAlignment="0" applyProtection="0"/>
    <xf numFmtId="171" fontId="52" fillId="37" borderId="0" applyNumberFormat="0" applyFont="0" applyAlignment="0"/>
    <xf numFmtId="0" fontId="148" fillId="0" borderId="0" applyNumberFormat="0" applyFill="0" applyBorder="0" applyAlignment="0" applyProtection="0"/>
    <xf numFmtId="0" fontId="22" fillId="0" borderId="12" applyNumberFormat="0" applyAlignment="0" applyProtection="0">
      <alignment horizontal="left" vertical="center"/>
    </xf>
    <xf numFmtId="0" fontId="22" fillId="0" borderId="12" applyNumberFormat="0" applyAlignment="0" applyProtection="0">
      <alignment horizontal="left" vertical="center"/>
    </xf>
    <xf numFmtId="0" fontId="22" fillId="0" borderId="1">
      <alignment horizontal="left" vertical="center"/>
    </xf>
    <xf numFmtId="0" fontId="22" fillId="0" borderId="1">
      <alignment horizontal="left" vertical="center"/>
    </xf>
    <xf numFmtId="0" fontId="86" fillId="0" borderId="14" applyNumberFormat="0" applyFill="0" applyAlignment="0" applyProtection="0"/>
    <xf numFmtId="0" fontId="114" fillId="0" borderId="13" applyNumberFormat="0" applyFill="0" applyAlignment="0" applyProtection="0"/>
    <xf numFmtId="0" fontId="149" fillId="0" borderId="15" applyNumberFormat="0" applyFill="0" applyAlignment="0" applyProtection="0"/>
    <xf numFmtId="0" fontId="149" fillId="0" borderId="15" applyNumberFormat="0" applyFill="0" applyAlignment="0" applyProtection="0"/>
    <xf numFmtId="0" fontId="87" fillId="0" borderId="16" applyNumberFormat="0" applyFill="0" applyAlignment="0" applyProtection="0"/>
    <xf numFmtId="0" fontId="115" fillId="0" borderId="16" applyNumberFormat="0" applyFill="0" applyAlignment="0" applyProtection="0"/>
    <xf numFmtId="0" fontId="150" fillId="0" borderId="17" applyNumberFormat="0" applyFill="0" applyAlignment="0" applyProtection="0"/>
    <xf numFmtId="0" fontId="150" fillId="0" borderId="17" applyNumberFormat="0" applyFill="0" applyAlignment="0" applyProtection="0"/>
    <xf numFmtId="0" fontId="88" fillId="0" borderId="19" applyNumberFormat="0" applyFill="0" applyAlignment="0" applyProtection="0"/>
    <xf numFmtId="0" fontId="116" fillId="0" borderId="18" applyNumberFormat="0" applyFill="0" applyAlignment="0" applyProtection="0"/>
    <xf numFmtId="0" fontId="151" fillId="0" borderId="20" applyNumberFormat="0" applyFill="0" applyAlignment="0" applyProtection="0"/>
    <xf numFmtId="0" fontId="151" fillId="0" borderId="20" applyNumberFormat="0" applyFill="0" applyAlignment="0" applyProtection="0"/>
    <xf numFmtId="0" fontId="88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2" fillId="0" borderId="0">
      <protection locked="0"/>
    </xf>
    <xf numFmtId="0" fontId="152" fillId="0" borderId="0">
      <protection locked="0"/>
    </xf>
    <xf numFmtId="0" fontId="53" fillId="0" borderId="0">
      <alignment wrapText="1"/>
    </xf>
    <xf numFmtId="0" fontId="10" fillId="0" borderId="21" applyNumberFormat="0" applyFill="0" applyAlignment="0" applyProtection="0"/>
    <xf numFmtId="0" fontId="117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38" fontId="46" fillId="0" borderId="0"/>
    <xf numFmtId="38" fontId="46" fillId="0" borderId="0"/>
    <xf numFmtId="228" fontId="46" fillId="0" borderId="0" applyFont="0" applyFill="0" applyBorder="0" applyAlignment="0" applyProtection="0"/>
    <xf numFmtId="228" fontId="46" fillId="0" borderId="0" applyFont="0" applyFill="0" applyBorder="0" applyAlignment="0" applyProtection="0"/>
    <xf numFmtId="10" fontId="3" fillId="38" borderId="11" applyNumberFormat="0" applyBorder="0" applyAlignment="0" applyProtection="0"/>
    <xf numFmtId="10" fontId="3" fillId="38" borderId="11" applyNumberFormat="0" applyBorder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153" fillId="8" borderId="7" applyNumberFormat="0" applyAlignment="0" applyProtection="0"/>
    <xf numFmtId="0" fontId="153" fillId="8" borderId="7" applyNumberFormat="0" applyAlignment="0" applyProtection="0"/>
    <xf numFmtId="0" fontId="79" fillId="8" borderId="7" applyNumberFormat="0" applyAlignment="0" applyProtection="0"/>
    <xf numFmtId="0" fontId="79" fillId="3" borderId="7" applyNumberFormat="0" applyAlignment="0" applyProtection="0"/>
    <xf numFmtId="0" fontId="79" fillId="8" borderId="7" applyNumberFormat="0" applyAlignment="0" applyProtection="0"/>
    <xf numFmtId="0" fontId="79" fillId="3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79" fillId="8" borderId="7" applyNumberFormat="0" applyAlignment="0" applyProtection="0"/>
    <xf numFmtId="0" fontId="54" fillId="0" borderId="0" applyNumberFormat="0" applyFill="0" applyBorder="0" applyAlignment="0">
      <protection locked="0"/>
    </xf>
    <xf numFmtId="0" fontId="27" fillId="0" borderId="0"/>
    <xf numFmtId="0" fontId="27" fillId="0" borderId="0"/>
    <xf numFmtId="38" fontId="18" fillId="0" borderId="0" applyNumberFormat="0" applyBorder="0" applyProtection="0">
      <alignment horizontal="left"/>
    </xf>
    <xf numFmtId="38" fontId="18" fillId="0" borderId="0" applyNumberFormat="0" applyBorder="0" applyProtection="0">
      <alignment horizontal="left"/>
    </xf>
    <xf numFmtId="0" fontId="55" fillId="0" borderId="0" applyNumberFormat="0" applyFill="0" applyBorder="0" applyProtection="0">
      <alignment horizontal="left" vertical="center"/>
    </xf>
    <xf numFmtId="0" fontId="80" fillId="0" borderId="22" applyNumberFormat="0" applyFill="0" applyAlignment="0" applyProtection="0"/>
    <xf numFmtId="0" fontId="80" fillId="0" borderId="22" applyNumberFormat="0" applyFill="0" applyAlignment="0" applyProtection="0"/>
    <xf numFmtId="0" fontId="154" fillId="0" borderId="23" applyNumberFormat="0" applyFill="0" applyAlignment="0" applyProtection="0"/>
    <xf numFmtId="0" fontId="154" fillId="0" borderId="23" applyNumberFormat="0" applyFill="0" applyAlignment="0" applyProtection="0"/>
    <xf numFmtId="229" fontId="122" fillId="0" borderId="0" applyFill="0" applyBorder="0" applyAlignment="0" applyProtection="0"/>
    <xf numFmtId="0" fontId="49" fillId="0" borderId="0"/>
    <xf numFmtId="0" fontId="56" fillId="0" borderId="0"/>
    <xf numFmtId="0" fontId="57" fillId="0" borderId="0"/>
    <xf numFmtId="37" fontId="60" fillId="0" borderId="0" applyNumberFormat="0" applyFill="0" applyBorder="0" applyAlignment="0" applyProtection="0">
      <alignment horizontal="center"/>
    </xf>
    <xf numFmtId="14" fontId="120" fillId="0" borderId="0" applyFont="0" applyFill="0" applyBorder="0" applyAlignment="0" applyProtection="0"/>
    <xf numFmtId="202" fontId="3" fillId="38" borderId="0">
      <alignment horizontal="center"/>
    </xf>
    <xf numFmtId="202" fontId="3" fillId="38" borderId="0">
      <alignment horizontal="center"/>
    </xf>
    <xf numFmtId="238" fontId="46" fillId="0" borderId="0" applyFont="0" applyFill="0" applyBorder="0" applyAlignment="0" applyProtection="0"/>
    <xf numFmtId="238" fontId="46" fillId="0" borderId="0" applyFont="0" applyFill="0" applyBorder="0" applyAlignment="0" applyProtection="0"/>
    <xf numFmtId="239" fontId="3" fillId="0" borderId="0"/>
    <xf numFmtId="0" fontId="81" fillId="8" borderId="0" applyNumberFormat="0" applyBorder="0" applyAlignment="0" applyProtection="0"/>
    <xf numFmtId="0" fontId="81" fillId="8" borderId="0" applyNumberFormat="0" applyBorder="0" applyAlignment="0" applyProtection="0"/>
    <xf numFmtId="0" fontId="155" fillId="8" borderId="0" applyNumberFormat="0" applyBorder="0" applyAlignment="0" applyProtection="0"/>
    <xf numFmtId="0" fontId="155" fillId="8" borderId="0" applyNumberFormat="0" applyBorder="0" applyAlignment="0" applyProtection="0"/>
    <xf numFmtId="0" fontId="16" fillId="0" borderId="0"/>
    <xf numFmtId="37" fontId="58" fillId="0" borderId="0"/>
    <xf numFmtId="37" fontId="58" fillId="0" borderId="0"/>
    <xf numFmtId="203" fontId="59" fillId="0" borderId="0"/>
    <xf numFmtId="203" fontId="59" fillId="0" borderId="0"/>
    <xf numFmtId="0" fontId="174" fillId="0" borderId="0"/>
    <xf numFmtId="0" fontId="2" fillId="0" borderId="0" applyNumberFormat="0" applyFont="0" applyFill="0" applyBorder="0" applyAlignment="0" applyProtection="0"/>
    <xf numFmtId="0" fontId="174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89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1" fillId="0" borderId="0"/>
    <xf numFmtId="0" fontId="174" fillId="0" borderId="0"/>
    <xf numFmtId="0" fontId="2" fillId="0" borderId="0"/>
    <xf numFmtId="0" fontId="1" fillId="0" borderId="0"/>
    <xf numFmtId="0" fontId="1" fillId="0" borderId="0"/>
    <xf numFmtId="0" fontId="2" fillId="0" borderId="0" applyNumberFormat="0" applyFont="0" applyFill="0" applyBorder="0" applyAlignment="0" applyProtection="0"/>
    <xf numFmtId="0" fontId="2" fillId="0" borderId="0"/>
    <xf numFmtId="0" fontId="174" fillId="0" borderId="0"/>
    <xf numFmtId="0" fontId="119" fillId="0" borderId="0" applyNumberForma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3" fillId="0" borderId="0"/>
    <xf numFmtId="0" fontId="174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74" fillId="0" borderId="0"/>
    <xf numFmtId="0" fontId="174" fillId="0" borderId="0"/>
    <xf numFmtId="0" fontId="2" fillId="0" borderId="0"/>
    <xf numFmtId="0" fontId="2" fillId="0" borderId="0"/>
    <xf numFmtId="0" fontId="2" fillId="0" borderId="0"/>
    <xf numFmtId="0" fontId="24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60" fillId="0" borderId="0"/>
    <xf numFmtId="0" fontId="60" fillId="0" borderId="0"/>
    <xf numFmtId="0" fontId="25" fillId="0" borderId="0"/>
    <xf numFmtId="189" fontId="26" fillId="0" borderId="0"/>
    <xf numFmtId="0" fontId="25" fillId="0" borderId="0"/>
    <xf numFmtId="197" fontId="18" fillId="0" borderId="0" applyBorder="0">
      <alignment horizontal="left"/>
    </xf>
    <xf numFmtId="197" fontId="18" fillId="0" borderId="0" applyBorder="0">
      <alignment horizontal="left"/>
    </xf>
    <xf numFmtId="0" fontId="2" fillId="8" borderId="24" applyNumberFormat="0" applyFont="0" applyAlignment="0" applyProtection="0"/>
    <xf numFmtId="0" fontId="113" fillId="19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0" fontId="2" fillId="8" borderId="24" applyNumberFormat="0" applyFont="0" applyAlignment="0" applyProtection="0"/>
    <xf numFmtId="186" fontId="5" fillId="0" borderId="0" applyFont="0" applyFill="0" applyBorder="0" applyProtection="0">
      <alignment horizontal="right"/>
    </xf>
    <xf numFmtId="3" fontId="30" fillId="0" borderId="6" applyBorder="0"/>
    <xf numFmtId="43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169" fontId="2" fillId="0" borderId="0"/>
    <xf numFmtId="228" fontId="46" fillId="0" borderId="0" applyFont="0" applyFill="0" applyBorder="0" applyAlignment="0" applyProtection="0"/>
    <xf numFmtId="228" fontId="46" fillId="0" borderId="0" applyFont="0" applyFill="0" applyBorder="0" applyAlignment="0" applyProtection="0"/>
    <xf numFmtId="230" fontId="122" fillId="0" borderId="0"/>
    <xf numFmtId="0" fontId="61" fillId="0" borderId="0">
      <alignment horizontal="left"/>
    </xf>
    <xf numFmtId="0" fontId="82" fillId="33" borderId="25" applyNumberFormat="0" applyAlignment="0" applyProtection="0"/>
    <xf numFmtId="0" fontId="82" fillId="13" borderId="25" applyNumberFormat="0" applyAlignment="0" applyProtection="0"/>
    <xf numFmtId="0" fontId="82" fillId="33" borderId="25" applyNumberFormat="0" applyAlignment="0" applyProtection="0"/>
    <xf numFmtId="0" fontId="82" fillId="33" borderId="25" applyNumberFormat="0" applyAlignment="0" applyProtection="0"/>
    <xf numFmtId="0" fontId="16" fillId="0" borderId="0">
      <alignment vertical="center"/>
    </xf>
    <xf numFmtId="0" fontId="57" fillId="0" borderId="0"/>
    <xf numFmtId="9" fontId="7" fillId="0" borderId="0" applyFont="0" applyFill="0" applyBorder="0" applyAlignment="0" applyProtection="0"/>
    <xf numFmtId="167" fontId="46" fillId="0" borderId="0"/>
    <xf numFmtId="167" fontId="46" fillId="0" borderId="0"/>
    <xf numFmtId="10" fontId="24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7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141" fillId="0" borderId="0"/>
    <xf numFmtId="240" fontId="46" fillId="0" borderId="0" applyFont="0" applyBorder="0"/>
    <xf numFmtId="240" fontId="46" fillId="0" borderId="0" applyFont="0" applyBorder="0"/>
    <xf numFmtId="167" fontId="144" fillId="0" borderId="0" applyFont="0" applyFill="0" applyBorder="0" applyAlignment="0" applyProtection="0"/>
    <xf numFmtId="10" fontId="144" fillId="0" borderId="0" applyFont="0" applyFill="0" applyBorder="0" applyAlignment="0" applyProtection="0"/>
    <xf numFmtId="9" fontId="2" fillId="0" borderId="0"/>
    <xf numFmtId="9" fontId="2" fillId="0" borderId="0"/>
    <xf numFmtId="167" fontId="156" fillId="0" borderId="0" applyFill="0" applyBorder="0" applyAlignment="0" applyProtection="0"/>
    <xf numFmtId="241" fontId="46" fillId="0" borderId="0" applyFont="0" applyFill="0" applyBorder="0" applyAlignment="0" applyProtection="0"/>
    <xf numFmtId="241" fontId="46" fillId="0" borderId="0" applyFont="0" applyFill="0" applyBorder="0" applyAlignment="0" applyProtection="0"/>
    <xf numFmtId="227" fontId="46" fillId="0" borderId="0" applyFont="0" applyFill="0" applyBorder="0" applyAlignment="0" applyProtection="0"/>
    <xf numFmtId="227" fontId="46" fillId="0" borderId="0" applyFont="0" applyFill="0" applyBorder="0" applyAlignment="0" applyProtection="0"/>
    <xf numFmtId="38" fontId="46" fillId="0" borderId="0" applyFont="0" applyFill="0" applyBorder="0" applyAlignment="0" applyProtection="0"/>
    <xf numFmtId="38" fontId="46" fillId="0" borderId="0" applyFont="0" applyFill="0" applyBorder="0" applyAlignment="0" applyProtection="0"/>
    <xf numFmtId="3" fontId="46" fillId="0" borderId="0"/>
    <xf numFmtId="1" fontId="62" fillId="36" borderId="0">
      <alignment horizontal="center"/>
    </xf>
    <xf numFmtId="204" fontId="3" fillId="0" borderId="0"/>
    <xf numFmtId="49" fontId="30" fillId="0" borderId="0">
      <alignment horizontal="right"/>
    </xf>
    <xf numFmtId="0" fontId="63" fillId="0" borderId="0"/>
    <xf numFmtId="0" fontId="157" fillId="0" borderId="0"/>
    <xf numFmtId="205" fontId="158" fillId="0" borderId="0" applyNumberFormat="0" applyFill="0" applyBorder="0" applyAlignment="0" applyProtection="0">
      <alignment horizontal="left"/>
    </xf>
    <xf numFmtId="0" fontId="55" fillId="0" borderId="0" applyNumberFormat="0" applyFill="0" applyBorder="0" applyProtection="0">
      <alignment horizontal="right" vertical="center"/>
    </xf>
    <xf numFmtId="0" fontId="2" fillId="39" borderId="0" applyNumberFormat="0" applyFont="0" applyBorder="0" applyAlignment="0" applyProtection="0"/>
    <xf numFmtId="0" fontId="2" fillId="39" borderId="0" applyNumberFormat="0" applyFont="0" applyBorder="0" applyAlignment="0" applyProtection="0"/>
    <xf numFmtId="171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7" fillId="0" borderId="26">
      <alignment horizontal="centerContinuous"/>
    </xf>
    <xf numFmtId="0" fontId="159" fillId="40" borderId="0" applyNumberFormat="0" applyFont="0" applyBorder="0" applyAlignment="0" applyProtection="0"/>
    <xf numFmtId="228" fontId="46" fillId="0" borderId="0" applyFont="0" applyFill="0" applyBorder="0" applyAlignment="0" applyProtection="0"/>
    <xf numFmtId="228" fontId="46" fillId="0" borderId="0" applyFont="0" applyFill="0" applyBorder="0" applyAlignment="0" applyProtection="0"/>
    <xf numFmtId="3" fontId="3" fillId="0" borderId="0"/>
    <xf numFmtId="3" fontId="3" fillId="0" borderId="0"/>
    <xf numFmtId="0" fontId="18" fillId="0" borderId="26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30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160" fillId="0" borderId="0" applyNumberFormat="0" applyAlignment="0" applyProtection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4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3" fillId="41" borderId="11" applyNumberFormat="0" applyProtection="0">
      <alignment horizontal="center" wrapText="1"/>
    </xf>
    <xf numFmtId="0" fontId="3" fillId="41" borderId="11" applyNumberFormat="0" applyProtection="0">
      <alignment horizontal="center" wrapText="1"/>
    </xf>
    <xf numFmtId="0" fontId="2" fillId="0" borderId="0">
      <alignment vertical="top"/>
    </xf>
    <xf numFmtId="0" fontId="2" fillId="0" borderId="0">
      <alignment vertical="top"/>
    </xf>
    <xf numFmtId="0" fontId="3" fillId="0" borderId="0" applyNumberFormat="0" applyFill="0" applyBorder="0" applyProtection="0">
      <alignment vertical="center"/>
    </xf>
    <xf numFmtId="0" fontId="3" fillId="0" borderId="0" applyNumberFormat="0" applyFill="0" applyBorder="0" applyProtection="0">
      <alignment vertical="center"/>
    </xf>
    <xf numFmtId="0" fontId="4" fillId="0" borderId="0" applyNumberFormat="0" applyFill="0" applyBorder="0" applyProtection="0">
      <alignment vertical="center"/>
    </xf>
    <xf numFmtId="0" fontId="4" fillId="0" borderId="0" applyNumberFormat="0" applyFill="0" applyBorder="0" applyProtection="0">
      <alignment vertical="center"/>
    </xf>
    <xf numFmtId="0" fontId="2" fillId="0" borderId="0">
      <alignment vertical="top"/>
    </xf>
    <xf numFmtId="0" fontId="2" fillId="0" borderId="0">
      <alignment vertical="top"/>
    </xf>
    <xf numFmtId="0" fontId="21" fillId="0" borderId="0"/>
    <xf numFmtId="0" fontId="21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41" fontId="2" fillId="0" borderId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41" fontId="2" fillId="0" borderId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21" fillId="0" borderId="0"/>
    <xf numFmtId="0" fontId="21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41" fontId="2" fillId="0" borderId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30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6" fillId="0" borderId="0" applyNumberFormat="0" applyBorder="0" applyAlignment="0"/>
    <xf numFmtId="0" fontId="112" fillId="0" borderId="0" applyNumberFormat="0" applyBorder="0" applyAlignment="0"/>
    <xf numFmtId="224" fontId="161" fillId="0" borderId="0" applyFill="0" applyBorder="0" applyAlignment="0" applyProtection="0"/>
    <xf numFmtId="229" fontId="162" fillId="0" borderId="0" applyFill="0" applyBorder="0" applyAlignment="0" applyProtection="0"/>
    <xf numFmtId="0" fontId="64" fillId="0" borderId="0" applyNumberFormat="0" applyFill="0" applyBorder="0" applyProtection="0">
      <alignment horizontal="left" vertical="center"/>
    </xf>
    <xf numFmtId="228" fontId="46" fillId="0" borderId="0" applyFill="0" applyBorder="0" applyAlignment="0" applyProtection="0">
      <protection locked="0"/>
    </xf>
    <xf numFmtId="228" fontId="46" fillId="0" borderId="0" applyFill="0" applyBorder="0" applyAlignment="0" applyProtection="0">
      <protection locked="0"/>
    </xf>
    <xf numFmtId="40" fontId="163" fillId="0" borderId="0" applyBorder="0">
      <alignment horizontal="right"/>
    </xf>
    <xf numFmtId="228" fontId="161" fillId="0" borderId="0" applyFill="0" applyBorder="0" applyAlignment="0" applyProtection="0"/>
    <xf numFmtId="3" fontId="20" fillId="0" borderId="0" applyNumberFormat="0"/>
    <xf numFmtId="0" fontId="20" fillId="0" borderId="0" applyFill="0" applyBorder="0" applyProtection="0">
      <alignment horizontal="left"/>
    </xf>
    <xf numFmtId="0" fontId="3" fillId="0" borderId="3" applyFill="0" applyBorder="0" applyProtection="0">
      <alignment horizontal="left" vertical="top"/>
    </xf>
    <xf numFmtId="38" fontId="142" fillId="0" borderId="0" applyNumberFormat="0" applyBorder="0">
      <alignment horizontal="left"/>
    </xf>
    <xf numFmtId="38" fontId="142" fillId="0" borderId="0" applyNumberFormat="0" applyBorder="0">
      <alignment horizontal="left"/>
    </xf>
    <xf numFmtId="0" fontId="120" fillId="0" borderId="0" applyNumberFormat="0" applyFont="0" applyFill="0" applyBorder="0" applyProtection="0">
      <alignment horizontal="left"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72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3" fontId="165" fillId="0" borderId="0"/>
    <xf numFmtId="0" fontId="65" fillId="42" borderId="0" applyNumberFormat="0" applyBorder="0" applyProtection="0">
      <alignment horizontal="left" vertical="center"/>
    </xf>
    <xf numFmtId="0" fontId="66" fillId="1" borderId="0" applyNumberFormat="0" applyBorder="0" applyProtection="0">
      <alignment horizontal="left" vertical="center"/>
    </xf>
    <xf numFmtId="228" fontId="166" fillId="0" borderId="0" applyNumberFormat="0" applyFill="0" applyBorder="0" applyAlignment="0" applyProtection="0"/>
    <xf numFmtId="169" fontId="20" fillId="0" borderId="0"/>
    <xf numFmtId="37" fontId="144" fillId="0" borderId="0" applyNumberFormat="0" applyFill="0" applyBorder="0" applyAlignment="0" applyProtection="0">
      <alignment horizontal="center"/>
    </xf>
    <xf numFmtId="205" fontId="67" fillId="0" borderId="6" applyNumberFormat="0" applyFont="0" applyFill="0" applyAlignment="0" applyProtection="0"/>
    <xf numFmtId="205" fontId="67" fillId="0" borderId="6" applyNumberFormat="0" applyFont="0" applyFill="0" applyAlignment="0" applyProtection="0"/>
    <xf numFmtId="0" fontId="20" fillId="0" borderId="1">
      <alignment horizontal="center" wrapText="1"/>
    </xf>
    <xf numFmtId="37" fontId="144" fillId="0" borderId="0" applyNumberFormat="0" applyFill="0" applyBorder="0" applyAlignment="0" applyProtection="0">
      <alignment horizontal="center"/>
    </xf>
    <xf numFmtId="0" fontId="83" fillId="0" borderId="28" applyNumberFormat="0" applyFill="0" applyAlignment="0" applyProtection="0"/>
    <xf numFmtId="0" fontId="83" fillId="0" borderId="27" applyNumberFormat="0" applyFill="0" applyAlignment="0" applyProtection="0"/>
    <xf numFmtId="0" fontId="83" fillId="0" borderId="29" applyNumberFormat="0" applyFill="0" applyAlignment="0" applyProtection="0"/>
    <xf numFmtId="0" fontId="83" fillId="0" borderId="29" applyNumberFormat="0" applyFill="0" applyAlignment="0" applyProtection="0"/>
    <xf numFmtId="3" fontId="20" fillId="0" borderId="4" applyNumberFormat="0"/>
    <xf numFmtId="169" fontId="4" fillId="0" borderId="30"/>
    <xf numFmtId="206" fontId="68" fillId="0" borderId="0">
      <alignment horizontal="right"/>
    </xf>
    <xf numFmtId="1" fontId="46" fillId="0" borderId="4" applyNumberFormat="0">
      <alignment horizontal="right"/>
    </xf>
    <xf numFmtId="1" fontId="46" fillId="0" borderId="4" applyNumberFormat="0">
      <alignment horizontal="right"/>
    </xf>
    <xf numFmtId="37" fontId="3" fillId="39" borderId="0" applyNumberFormat="0" applyBorder="0" applyAlignment="0" applyProtection="0"/>
    <xf numFmtId="3" fontId="5" fillId="0" borderId="21" applyProtection="0"/>
    <xf numFmtId="6" fontId="167" fillId="0" borderId="31" applyNumberFormat="0" applyFill="0" applyBorder="0" applyAlignment="0" applyProtection="0">
      <alignment horizontal="right"/>
    </xf>
    <xf numFmtId="207" fontId="62" fillId="36" borderId="3" applyBorder="0">
      <alignment horizontal="right" vertical="center"/>
      <protection locked="0"/>
    </xf>
    <xf numFmtId="0" fontId="69" fillId="0" borderId="0" applyNumberFormat="0"/>
    <xf numFmtId="0" fontId="69" fillId="0" borderId="0" applyNumberFormat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" fontId="24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159" fillId="0" borderId="4">
      <alignment horizontal="center"/>
    </xf>
    <xf numFmtId="167" fontId="168" fillId="0" borderId="0" applyFont="0" applyFill="0" applyBorder="0" applyAlignment="0" applyProtection="0"/>
    <xf numFmtId="0" fontId="169" fillId="0" borderId="0"/>
    <xf numFmtId="0" fontId="2" fillId="0" borderId="0"/>
    <xf numFmtId="0" fontId="2" fillId="0" borderId="0"/>
    <xf numFmtId="0" fontId="170" fillId="0" borderId="0" applyFont="0" applyFill="0" applyBorder="0" applyAlignment="0" applyProtection="0"/>
    <xf numFmtId="0" fontId="170" fillId="0" borderId="0" applyFont="0" applyFill="0" applyBorder="0" applyAlignment="0" applyProtection="0"/>
    <xf numFmtId="0" fontId="171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/>
    <xf numFmtId="43" fontId="2" fillId="0" borderId="0" applyFont="0" applyFill="0" applyBorder="0" applyAlignment="0" applyProtection="0"/>
    <xf numFmtId="0" fontId="172" fillId="0" borderId="0"/>
    <xf numFmtId="0" fontId="16" fillId="0" borderId="0"/>
    <xf numFmtId="0" fontId="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8" fillId="0" borderId="0"/>
    <xf numFmtId="0" fontId="189" fillId="0" borderId="0"/>
  </cellStyleXfs>
  <cellXfs count="863">
    <xf numFmtId="0" fontId="0" fillId="0" borderId="0" xfId="0"/>
    <xf numFmtId="0" fontId="9" fillId="43" borderId="0" xfId="0" applyFont="1" applyFill="1" applyBorder="1" applyAlignment="1">
      <alignment horizontal="center"/>
    </xf>
    <xf numFmtId="165" fontId="9" fillId="43" borderId="0" xfId="0" applyNumberFormat="1" applyFont="1" applyFill="1" applyBorder="1" applyAlignment="1">
      <alignment horizontal="center"/>
    </xf>
    <xf numFmtId="165" fontId="9" fillId="43" borderId="32" xfId="0" applyNumberFormat="1" applyFont="1" applyFill="1" applyBorder="1" applyAlignment="1">
      <alignment horizontal="center"/>
    </xf>
    <xf numFmtId="164" fontId="11" fillId="43" borderId="0" xfId="527" applyNumberFormat="1" applyFont="1" applyFill="1" applyBorder="1"/>
    <xf numFmtId="164" fontId="11" fillId="43" borderId="32" xfId="527" applyNumberFormat="1" applyFont="1" applyFill="1" applyBorder="1"/>
    <xf numFmtId="0" fontId="9" fillId="43" borderId="0" xfId="0" applyNumberFormat="1" applyFont="1" applyFill="1" applyBorder="1" applyAlignment="1">
      <alignment horizontal="center"/>
    </xf>
    <xf numFmtId="0" fontId="9" fillId="44" borderId="0" xfId="0" applyNumberFormat="1" applyFont="1" applyFill="1" applyBorder="1" applyAlignment="1">
      <alignment horizontal="center"/>
    </xf>
    <xf numFmtId="165" fontId="9" fillId="44" borderId="0" xfId="0" applyNumberFormat="1" applyFont="1" applyFill="1" applyBorder="1" applyAlignment="1">
      <alignment horizontal="center"/>
    </xf>
    <xf numFmtId="0" fontId="3" fillId="43" borderId="0" xfId="5" applyFont="1" applyFill="1" applyBorder="1" applyAlignment="1">
      <alignment wrapText="1"/>
    </xf>
    <xf numFmtId="0" fontId="9" fillId="44" borderId="32" xfId="0" applyNumberFormat="1" applyFont="1" applyFill="1" applyBorder="1" applyAlignment="1">
      <alignment horizontal="center"/>
    </xf>
    <xf numFmtId="0" fontId="9" fillId="43" borderId="38" xfId="0" applyNumberFormat="1" applyFont="1" applyFill="1" applyBorder="1" applyAlignment="1">
      <alignment horizontal="center"/>
    </xf>
    <xf numFmtId="0" fontId="9" fillId="43" borderId="32" xfId="0" applyNumberFormat="1" applyFont="1" applyFill="1" applyBorder="1" applyAlignment="1">
      <alignment horizontal="center"/>
    </xf>
    <xf numFmtId="165" fontId="9" fillId="44" borderId="32" xfId="0" applyNumberFormat="1" applyFont="1" applyFill="1" applyBorder="1" applyAlignment="1">
      <alignment horizontal="center"/>
    </xf>
    <xf numFmtId="0" fontId="8" fillId="45" borderId="0" xfId="0" applyFont="1" applyFill="1" applyBorder="1"/>
    <xf numFmtId="0" fontId="8" fillId="45" borderId="32" xfId="0" applyFont="1" applyFill="1" applyBorder="1"/>
    <xf numFmtId="0" fontId="9" fillId="45" borderId="0" xfId="0" applyFont="1" applyFill="1" applyBorder="1"/>
    <xf numFmtId="0" fontId="9" fillId="43" borderId="41" xfId="0" applyNumberFormat="1" applyFont="1" applyFill="1" applyBorder="1" applyAlignment="1">
      <alignment horizontal="center"/>
    </xf>
    <xf numFmtId="0" fontId="3" fillId="0" borderId="0" xfId="5" applyFont="1" applyBorder="1"/>
    <xf numFmtId="0" fontId="3" fillId="0" borderId="0" xfId="5" applyFont="1" applyFill="1" applyBorder="1"/>
    <xf numFmtId="0" fontId="3" fillId="0" borderId="0" xfId="895" applyFont="1" applyBorder="1"/>
    <xf numFmtId="0" fontId="4" fillId="0" borderId="0" xfId="907" applyNumberFormat="1" applyFont="1" applyFill="1" applyBorder="1" applyAlignment="1">
      <alignment horizontal="left"/>
    </xf>
    <xf numFmtId="0" fontId="3" fillId="0" borderId="32" xfId="895" applyFont="1" applyBorder="1"/>
    <xf numFmtId="0" fontId="3" fillId="0" borderId="32" xfId="5" applyFont="1" applyBorder="1"/>
    <xf numFmtId="186" fontId="3" fillId="0" borderId="0" xfId="5" applyNumberFormat="1" applyFont="1" applyBorder="1"/>
    <xf numFmtId="9" fontId="3" fillId="0" borderId="0" xfId="5" applyNumberFormat="1" applyFont="1" applyBorder="1"/>
    <xf numFmtId="0" fontId="4" fillId="0" borderId="0" xfId="5" applyFont="1" applyBorder="1"/>
    <xf numFmtId="2" fontId="3" fillId="0" borderId="0" xfId="5" applyNumberFormat="1" applyFont="1" applyBorder="1"/>
    <xf numFmtId="169" fontId="5" fillId="0" borderId="0" xfId="5" applyNumberFormat="1" applyFont="1" applyFill="1" applyBorder="1" applyAlignment="1">
      <alignment horizontal="right"/>
    </xf>
    <xf numFmtId="1" fontId="9" fillId="0" borderId="0" xfId="907" applyNumberFormat="1" applyFont="1" applyFill="1" applyBorder="1" applyAlignment="1">
      <alignment horizontal="right"/>
    </xf>
    <xf numFmtId="1" fontId="9" fillId="0" borderId="32" xfId="907" applyNumberFormat="1" applyFont="1" applyFill="1" applyBorder="1" applyAlignment="1">
      <alignment horizontal="right"/>
    </xf>
    <xf numFmtId="169" fontId="3" fillId="0" borderId="32" xfId="5" applyNumberFormat="1" applyFont="1" applyFill="1" applyBorder="1" applyAlignment="1">
      <alignment horizontal="right"/>
    </xf>
    <xf numFmtId="169" fontId="3" fillId="0" borderId="0" xfId="5" applyNumberFormat="1" applyFont="1" applyFill="1" applyBorder="1" applyAlignment="1">
      <alignment horizontal="right"/>
    </xf>
    <xf numFmtId="0" fontId="3" fillId="0" borderId="0" xfId="5" applyFont="1" applyBorder="1" applyAlignment="1">
      <alignment horizontal="right"/>
    </xf>
    <xf numFmtId="171" fontId="3" fillId="0" borderId="0" xfId="5" applyNumberFormat="1" applyFont="1" applyBorder="1" applyAlignment="1">
      <alignment horizontal="right" vertical="center"/>
    </xf>
    <xf numFmtId="169" fontId="70" fillId="0" borderId="32" xfId="5" applyNumberFormat="1" applyFont="1" applyFill="1" applyBorder="1" applyAlignment="1">
      <alignment horizontal="right"/>
    </xf>
    <xf numFmtId="0" fontId="3" fillId="0" borderId="32" xfId="5" applyFont="1" applyBorder="1" applyAlignment="1">
      <alignment horizontal="right"/>
    </xf>
    <xf numFmtId="191" fontId="3" fillId="0" borderId="0" xfId="5" applyNumberFormat="1" applyFont="1" applyBorder="1" applyAlignment="1">
      <alignment horizontal="right" vertical="center"/>
    </xf>
    <xf numFmtId="186" fontId="4" fillId="0" borderId="0" xfId="5" applyNumberFormat="1" applyFont="1" applyBorder="1" applyAlignment="1">
      <alignment horizontal="right"/>
    </xf>
    <xf numFmtId="186" fontId="4" fillId="0" borderId="32" xfId="5" applyNumberFormat="1" applyFont="1" applyBorder="1" applyAlignment="1">
      <alignment horizontal="right"/>
    </xf>
    <xf numFmtId="171" fontId="4" fillId="0" borderId="0" xfId="5" applyNumberFormat="1" applyFont="1" applyBorder="1" applyAlignment="1">
      <alignment horizontal="right" vertical="center"/>
    </xf>
    <xf numFmtId="167" fontId="3" fillId="0" borderId="32" xfId="970" applyNumberFormat="1" applyFont="1" applyBorder="1" applyAlignment="1">
      <alignment horizontal="right"/>
    </xf>
    <xf numFmtId="187" fontId="4" fillId="0" borderId="0" xfId="5" applyNumberFormat="1" applyFont="1" applyBorder="1" applyAlignment="1">
      <alignment horizontal="centerContinuous"/>
    </xf>
    <xf numFmtId="187" fontId="4" fillId="0" borderId="32" xfId="5" applyNumberFormat="1" applyFont="1" applyBorder="1" applyAlignment="1">
      <alignment horizontal="centerContinuous"/>
    </xf>
    <xf numFmtId="187" fontId="4" fillId="0" borderId="0" xfId="5" applyNumberFormat="1" applyFont="1" applyBorder="1" applyAlignment="1">
      <alignment horizontal="center"/>
    </xf>
    <xf numFmtId="187" fontId="4" fillId="0" borderId="32" xfId="5" applyNumberFormat="1" applyFont="1" applyBorder="1" applyAlignment="1">
      <alignment horizontal="center"/>
    </xf>
    <xf numFmtId="0" fontId="4" fillId="0" borderId="0" xfId="5" applyFont="1" applyFill="1" applyBorder="1" applyAlignment="1">
      <alignment horizontal="left"/>
    </xf>
    <xf numFmtId="169" fontId="3" fillId="0" borderId="0" xfId="5" applyNumberFormat="1" applyFont="1" applyBorder="1" applyAlignment="1">
      <alignment horizontal="right"/>
    </xf>
    <xf numFmtId="169" fontId="3" fillId="0" borderId="32" xfId="5" applyNumberFormat="1" applyFont="1" applyBorder="1" applyAlignment="1">
      <alignment horizontal="right"/>
    </xf>
    <xf numFmtId="192" fontId="5" fillId="0" borderId="0" xfId="5" applyNumberFormat="1" applyFont="1" applyFill="1" applyBorder="1" applyAlignment="1">
      <alignment horizontal="right"/>
    </xf>
    <xf numFmtId="192" fontId="70" fillId="0" borderId="32" xfId="5" applyNumberFormat="1" applyFont="1" applyFill="1" applyBorder="1" applyAlignment="1">
      <alignment horizontal="right"/>
    </xf>
    <xf numFmtId="0" fontId="3" fillId="0" borderId="0" xfId="5" applyFont="1" applyFill="1" applyBorder="1" applyAlignment="1">
      <alignment horizontal="right"/>
    </xf>
    <xf numFmtId="0" fontId="3" fillId="0" borderId="32" xfId="5" applyFont="1" applyFill="1" applyBorder="1" applyAlignment="1">
      <alignment horizontal="right"/>
    </xf>
    <xf numFmtId="186" fontId="4" fillId="0" borderId="32" xfId="5" applyNumberFormat="1" applyFont="1" applyFill="1" applyBorder="1" applyAlignment="1">
      <alignment horizontal="right"/>
    </xf>
    <xf numFmtId="186" fontId="4" fillId="0" borderId="0" xfId="5" applyNumberFormat="1" applyFont="1" applyFill="1" applyBorder="1" applyAlignment="1">
      <alignment horizontal="right"/>
    </xf>
    <xf numFmtId="187" fontId="4" fillId="0" borderId="32" xfId="5" applyNumberFormat="1" applyFont="1" applyFill="1" applyBorder="1" applyAlignment="1">
      <alignment horizontal="centerContinuous"/>
    </xf>
    <xf numFmtId="187" fontId="4" fillId="0" borderId="0" xfId="5" applyNumberFormat="1" applyFont="1" applyFill="1" applyBorder="1" applyAlignment="1">
      <alignment horizontal="centerContinuous"/>
    </xf>
    <xf numFmtId="0" fontId="3" fillId="0" borderId="0" xfId="895" applyFont="1" applyFill="1" applyBorder="1"/>
    <xf numFmtId="171" fontId="5" fillId="0" borderId="0" xfId="895" applyNumberFormat="1" applyFont="1" applyBorder="1" applyAlignment="1">
      <alignment horizontal="right"/>
    </xf>
    <xf numFmtId="171" fontId="70" fillId="0" borderId="32" xfId="895" applyNumberFormat="1" applyFont="1" applyBorder="1" applyAlignment="1">
      <alignment horizontal="right"/>
    </xf>
    <xf numFmtId="6" fontId="3" fillId="0" borderId="32" xfId="895" applyNumberFormat="1" applyFont="1" applyBorder="1" applyAlignment="1">
      <alignment horizontal="center"/>
    </xf>
    <xf numFmtId="6" fontId="3" fillId="0" borderId="0" xfId="895" applyNumberFormat="1" applyFont="1" applyBorder="1" applyAlignment="1">
      <alignment horizontal="center"/>
    </xf>
    <xf numFmtId="171" fontId="3" fillId="0" borderId="0" xfId="895" applyNumberFormat="1" applyFont="1" applyBorder="1"/>
    <xf numFmtId="171" fontId="3" fillId="0" borderId="0" xfId="5" applyNumberFormat="1" applyFont="1" applyBorder="1"/>
    <xf numFmtId="0" fontId="4" fillId="0" borderId="0" xfId="895" applyFont="1" applyBorder="1"/>
    <xf numFmtId="0" fontId="4" fillId="0" borderId="0" xfId="895" applyFont="1" applyFill="1" applyBorder="1" applyAlignment="1"/>
    <xf numFmtId="171" fontId="4" fillId="0" borderId="0" xfId="895" applyNumberFormat="1" applyFont="1" applyBorder="1" applyAlignment="1">
      <alignment horizontal="right"/>
    </xf>
    <xf numFmtId="171" fontId="4" fillId="0" borderId="32" xfId="895" applyNumberFormat="1" applyFont="1" applyBorder="1" applyAlignment="1">
      <alignment horizontal="right"/>
    </xf>
    <xf numFmtId="6" fontId="4" fillId="0" borderId="32" xfId="895" applyNumberFormat="1" applyFont="1" applyBorder="1" applyAlignment="1">
      <alignment horizontal="center"/>
    </xf>
    <xf numFmtId="6" fontId="4" fillId="0" borderId="0" xfId="895" applyNumberFormat="1" applyFont="1" applyBorder="1" applyAlignment="1">
      <alignment horizontal="center"/>
    </xf>
    <xf numFmtId="186" fontId="4" fillId="0" borderId="0" xfId="5" applyNumberFormat="1" applyFont="1" applyBorder="1"/>
    <xf numFmtId="171" fontId="4" fillId="0" borderId="0" xfId="5" applyNumberFormat="1" applyFont="1" applyBorder="1"/>
    <xf numFmtId="9" fontId="3" fillId="0" borderId="32" xfId="895" applyNumberFormat="1" applyFont="1" applyBorder="1" applyAlignment="1">
      <alignment horizontal="center"/>
    </xf>
    <xf numFmtId="9" fontId="3" fillId="0" borderId="0" xfId="895" applyNumberFormat="1" applyFont="1" applyBorder="1" applyAlignment="1">
      <alignment horizontal="center"/>
    </xf>
    <xf numFmtId="9" fontId="3" fillId="0" borderId="0" xfId="5" applyNumberFormat="1" applyFont="1" applyBorder="1" applyAlignment="1">
      <alignment horizontal="right" vertical="center"/>
    </xf>
    <xf numFmtId="9" fontId="4" fillId="0" borderId="32" xfId="895" applyNumberFormat="1" applyFont="1" applyBorder="1" applyAlignment="1">
      <alignment horizontal="center"/>
    </xf>
    <xf numFmtId="9" fontId="4" fillId="0" borderId="0" xfId="895" applyNumberFormat="1" applyFont="1" applyBorder="1" applyAlignment="1">
      <alignment horizontal="center"/>
    </xf>
    <xf numFmtId="0" fontId="4" fillId="0" borderId="0" xfId="5" applyFont="1" applyFill="1" applyBorder="1"/>
    <xf numFmtId="189" fontId="3" fillId="0" borderId="0" xfId="906" applyNumberFormat="1" applyFont="1" applyFill="1" applyBorder="1" applyAlignment="1"/>
    <xf numFmtId="0" fontId="3" fillId="0" borderId="0" xfId="5" applyFont="1" applyBorder="1" applyAlignment="1">
      <alignment horizontal="left" indent="1"/>
    </xf>
    <xf numFmtId="167" fontId="3" fillId="0" borderId="0" xfId="970" applyNumberFormat="1" applyFont="1" applyBorder="1" applyAlignment="1">
      <alignment horizontal="right"/>
    </xf>
    <xf numFmtId="9" fontId="3" fillId="0" borderId="0" xfId="970" applyNumberFormat="1" applyFont="1" applyBorder="1" applyAlignment="1">
      <alignment horizontal="right" vertical="center"/>
    </xf>
    <xf numFmtId="0" fontId="3" fillId="0" borderId="0" xfId="5" applyFont="1" applyFill="1" applyBorder="1" applyAlignment="1">
      <alignment horizontal="left" indent="1"/>
    </xf>
    <xf numFmtId="167" fontId="3" fillId="0" borderId="0" xfId="970" applyNumberFormat="1" applyFont="1" applyBorder="1" applyAlignment="1">
      <alignment horizontal="right" vertical="center"/>
    </xf>
    <xf numFmtId="167" fontId="176" fillId="0" borderId="0" xfId="970" applyNumberFormat="1" applyFont="1" applyBorder="1" applyAlignment="1">
      <alignment horizontal="right" vertical="center"/>
    </xf>
    <xf numFmtId="167" fontId="3" fillId="0" borderId="32" xfId="970" applyNumberFormat="1" applyFont="1" applyFill="1" applyBorder="1" applyAlignment="1">
      <alignment horizontal="right"/>
    </xf>
    <xf numFmtId="167" fontId="3" fillId="0" borderId="0" xfId="970" applyNumberFormat="1" applyFont="1" applyFill="1" applyBorder="1" applyAlignment="1">
      <alignment horizontal="right"/>
    </xf>
    <xf numFmtId="167" fontId="5" fillId="0" borderId="32" xfId="970" applyNumberFormat="1" applyFont="1" applyFill="1" applyBorder="1" applyAlignment="1">
      <alignment horizontal="right"/>
    </xf>
    <xf numFmtId="167" fontId="5" fillId="0" borderId="0" xfId="970" applyNumberFormat="1" applyFont="1" applyFill="1" applyBorder="1" applyAlignment="1">
      <alignment horizontal="right"/>
    </xf>
    <xf numFmtId="167" fontId="3" fillId="0" borderId="0" xfId="970" applyNumberFormat="1" applyFont="1" applyBorder="1"/>
    <xf numFmtId="0" fontId="4" fillId="0" borderId="0" xfId="895" applyFont="1" applyBorder="1" applyAlignment="1"/>
    <xf numFmtId="167" fontId="4" fillId="0" borderId="0" xfId="970" applyNumberFormat="1" applyFont="1" applyBorder="1" applyAlignment="1">
      <alignment horizontal="right"/>
    </xf>
    <xf numFmtId="167" fontId="4" fillId="0" borderId="32" xfId="970" applyNumberFormat="1" applyFont="1" applyBorder="1" applyAlignment="1">
      <alignment horizontal="right"/>
    </xf>
    <xf numFmtId="167" fontId="4" fillId="0" borderId="0" xfId="970" applyNumberFormat="1" applyFont="1" applyBorder="1"/>
    <xf numFmtId="0" fontId="9" fillId="43" borderId="42" xfId="0" applyFont="1" applyFill="1" applyBorder="1" applyAlignment="1">
      <alignment horizontal="center"/>
    </xf>
    <xf numFmtId="0" fontId="9" fillId="43" borderId="43" xfId="0" applyFont="1" applyFill="1" applyBorder="1" applyAlignment="1">
      <alignment horizontal="center"/>
    </xf>
    <xf numFmtId="0" fontId="9" fillId="43" borderId="44" xfId="0" applyFont="1" applyFill="1" applyBorder="1" applyAlignment="1">
      <alignment horizontal="center"/>
    </xf>
    <xf numFmtId="0" fontId="9" fillId="44" borderId="43" xfId="0" applyFont="1" applyFill="1" applyBorder="1" applyAlignment="1">
      <alignment horizontal="center"/>
    </xf>
    <xf numFmtId="0" fontId="9" fillId="44" borderId="44" xfId="0" applyFont="1" applyFill="1" applyBorder="1" applyAlignment="1">
      <alignment horizontal="center"/>
    </xf>
    <xf numFmtId="0" fontId="4" fillId="48" borderId="42" xfId="5" applyFont="1" applyFill="1" applyBorder="1" applyAlignment="1">
      <alignment horizontal="left"/>
    </xf>
    <xf numFmtId="0" fontId="4" fillId="48" borderId="44" xfId="5" applyFont="1" applyFill="1" applyBorder="1" applyAlignment="1">
      <alignment horizontal="left"/>
    </xf>
    <xf numFmtId="0" fontId="8" fillId="44" borderId="43" xfId="0" applyFont="1" applyFill="1" applyBorder="1" applyAlignment="1">
      <alignment horizontal="center"/>
    </xf>
    <xf numFmtId="0" fontId="8" fillId="44" borderId="44" xfId="0" applyFont="1" applyFill="1" applyBorder="1" applyAlignment="1">
      <alignment horizontal="center"/>
    </xf>
    <xf numFmtId="0" fontId="3" fillId="0" borderId="43" xfId="5" applyFont="1" applyFill="1" applyBorder="1"/>
    <xf numFmtId="0" fontId="3" fillId="0" borderId="43" xfId="5" applyFont="1" applyBorder="1"/>
    <xf numFmtId="0" fontId="3" fillId="0" borderId="44" xfId="5" applyFont="1" applyBorder="1"/>
    <xf numFmtId="0" fontId="3" fillId="0" borderId="45" xfId="5" applyFont="1" applyBorder="1" applyAlignment="1">
      <alignment horizontal="right"/>
    </xf>
    <xf numFmtId="0" fontId="4" fillId="0" borderId="45" xfId="5" applyFont="1" applyBorder="1" applyAlignment="1">
      <alignment horizontal="right"/>
    </xf>
    <xf numFmtId="186" fontId="4" fillId="0" borderId="45" xfId="5" applyNumberFormat="1" applyFont="1" applyBorder="1" applyAlignment="1">
      <alignment horizontal="right"/>
    </xf>
    <xf numFmtId="0" fontId="3" fillId="0" borderId="45" xfId="5" applyFont="1" applyBorder="1"/>
    <xf numFmtId="0" fontId="3" fillId="0" borderId="45" xfId="895" applyFont="1" applyBorder="1"/>
    <xf numFmtId="0" fontId="4" fillId="0" borderId="45" xfId="895" applyFont="1" applyBorder="1"/>
    <xf numFmtId="187" fontId="4" fillId="0" borderId="46" xfId="5" applyNumberFormat="1" applyFont="1" applyBorder="1" applyAlignment="1">
      <alignment horizontal="centerContinuous"/>
    </xf>
    <xf numFmtId="187" fontId="4" fillId="0" borderId="47" xfId="5" applyNumberFormat="1" applyFont="1" applyBorder="1" applyAlignment="1">
      <alignment horizontal="centerContinuous"/>
    </xf>
    <xf numFmtId="171" fontId="3" fillId="0" borderId="32" xfId="5" applyNumberFormat="1" applyFont="1" applyBorder="1" applyAlignment="1">
      <alignment horizontal="right" vertical="center"/>
    </xf>
    <xf numFmtId="9" fontId="3" fillId="0" borderId="32" xfId="970" applyNumberFormat="1" applyFont="1" applyBorder="1" applyAlignment="1">
      <alignment horizontal="right" vertical="center"/>
    </xf>
    <xf numFmtId="167" fontId="176" fillId="0" borderId="32" xfId="970" applyNumberFormat="1" applyFont="1" applyBorder="1" applyAlignment="1">
      <alignment horizontal="right" vertical="center"/>
    </xf>
    <xf numFmtId="167" fontId="3" fillId="0" borderId="32" xfId="970" applyNumberFormat="1" applyFont="1" applyBorder="1" applyAlignment="1">
      <alignment horizontal="right" vertical="center"/>
    </xf>
    <xf numFmtId="191" fontId="3" fillId="0" borderId="32" xfId="5" applyNumberFormat="1" applyFont="1" applyBorder="1" applyAlignment="1">
      <alignment horizontal="right" vertical="center"/>
    </xf>
    <xf numFmtId="171" fontId="4" fillId="0" borderId="32" xfId="5" applyNumberFormat="1" applyFont="1" applyBorder="1" applyAlignment="1">
      <alignment horizontal="right" vertical="center"/>
    </xf>
    <xf numFmtId="171" fontId="3" fillId="0" borderId="32" xfId="5" applyNumberFormat="1" applyFont="1" applyBorder="1"/>
    <xf numFmtId="171" fontId="4" fillId="0" borderId="32" xfId="5" applyNumberFormat="1" applyFont="1" applyBorder="1"/>
    <xf numFmtId="167" fontId="3" fillId="0" borderId="32" xfId="970" applyNumberFormat="1" applyFont="1" applyBorder="1"/>
    <xf numFmtId="167" fontId="4" fillId="0" borderId="32" xfId="970" applyNumberFormat="1" applyFont="1" applyBorder="1"/>
    <xf numFmtId="187" fontId="4" fillId="0" borderId="48" xfId="5" applyNumberFormat="1" applyFont="1" applyBorder="1" applyAlignment="1">
      <alignment horizontal="centerContinuous"/>
    </xf>
    <xf numFmtId="171" fontId="3" fillId="0" borderId="49" xfId="5" applyNumberFormat="1" applyFont="1" applyBorder="1"/>
    <xf numFmtId="1" fontId="9" fillId="0" borderId="50" xfId="907" applyNumberFormat="1" applyFont="1" applyFill="1" applyBorder="1" applyAlignment="1">
      <alignment horizontal="right"/>
    </xf>
    <xf numFmtId="0" fontId="8" fillId="45" borderId="50" xfId="0" applyFont="1" applyFill="1" applyBorder="1"/>
    <xf numFmtId="192" fontId="5" fillId="0" borderId="32" xfId="5" applyNumberFormat="1" applyFont="1" applyFill="1" applyBorder="1" applyAlignment="1">
      <alignment horizontal="right"/>
    </xf>
    <xf numFmtId="171" fontId="177" fillId="0" borderId="50" xfId="895" applyNumberFormat="1" applyFont="1" applyBorder="1" applyAlignment="1">
      <alignment horizontal="right"/>
    </xf>
    <xf numFmtId="171" fontId="177" fillId="0" borderId="32" xfId="895" applyNumberFormat="1" applyFont="1" applyBorder="1" applyAlignment="1">
      <alignment horizontal="right"/>
    </xf>
    <xf numFmtId="9" fontId="3" fillId="0" borderId="32" xfId="970" applyNumberFormat="1" applyFont="1" applyBorder="1"/>
    <xf numFmtId="9" fontId="4" fillId="0" borderId="32" xfId="970" applyNumberFormat="1" applyFont="1" applyBorder="1"/>
    <xf numFmtId="9" fontId="3" fillId="0" borderId="32" xfId="895" applyNumberFormat="1" applyFont="1" applyBorder="1"/>
    <xf numFmtId="9" fontId="4" fillId="0" borderId="32" xfId="5" applyNumberFormat="1" applyFont="1" applyBorder="1" applyAlignment="1">
      <alignment horizontal="center"/>
    </xf>
    <xf numFmtId="0" fontId="4" fillId="0" borderId="32" xfId="5" applyFont="1" applyBorder="1"/>
    <xf numFmtId="0" fontId="4" fillId="0" borderId="43" xfId="5" applyFont="1" applyBorder="1"/>
    <xf numFmtId="0" fontId="4" fillId="0" borderId="43" xfId="5" applyFont="1" applyFill="1" applyBorder="1"/>
    <xf numFmtId="2" fontId="4" fillId="0" borderId="43" xfId="5" applyNumberFormat="1" applyFont="1" applyBorder="1"/>
    <xf numFmtId="0" fontId="4" fillId="0" borderId="44" xfId="5" applyFont="1" applyBorder="1"/>
    <xf numFmtId="0" fontId="178" fillId="0" borderId="0" xfId="5" applyFont="1" applyBorder="1"/>
    <xf numFmtId="1" fontId="4" fillId="0" borderId="45" xfId="5" applyNumberFormat="1" applyFont="1" applyBorder="1"/>
    <xf numFmtId="0" fontId="4" fillId="0" borderId="45" xfId="5" applyFont="1" applyBorder="1"/>
    <xf numFmtId="0" fontId="3" fillId="43" borderId="0" xfId="5" applyFont="1" applyFill="1" applyBorder="1" applyAlignment="1">
      <alignment horizontal="left" wrapText="1" indent="2"/>
    </xf>
    <xf numFmtId="0" fontId="3" fillId="43" borderId="0" xfId="5" applyFont="1" applyFill="1" applyBorder="1" applyAlignment="1">
      <alignment horizontal="left" wrapText="1" indent="4"/>
    </xf>
    <xf numFmtId="185" fontId="12" fillId="0" borderId="32" xfId="5" applyNumberFormat="1" applyFont="1" applyFill="1" applyBorder="1" applyAlignment="1">
      <alignment horizontal="right"/>
    </xf>
    <xf numFmtId="185" fontId="12" fillId="0" borderId="0" xfId="5" applyNumberFormat="1" applyFont="1" applyFill="1" applyBorder="1" applyAlignment="1">
      <alignment horizontal="right"/>
    </xf>
    <xf numFmtId="9" fontId="175" fillId="0" borderId="0" xfId="970" applyNumberFormat="1" applyFont="1" applyBorder="1" applyAlignment="1">
      <alignment horizontal="right"/>
    </xf>
    <xf numFmtId="9" fontId="175" fillId="0" borderId="32" xfId="970" applyNumberFormat="1" applyFont="1" applyBorder="1" applyAlignment="1">
      <alignment horizontal="right"/>
    </xf>
    <xf numFmtId="169" fontId="175" fillId="0" borderId="0" xfId="5" applyNumberFormat="1" applyFont="1" applyFill="1" applyBorder="1" applyAlignment="1">
      <alignment horizontal="right"/>
    </xf>
    <xf numFmtId="169" fontId="175" fillId="0" borderId="32" xfId="5" applyNumberFormat="1" applyFont="1" applyFill="1" applyBorder="1" applyAlignment="1">
      <alignment horizontal="right"/>
    </xf>
    <xf numFmtId="0" fontId="4" fillId="0" borderId="32" xfId="895" applyFont="1" applyBorder="1"/>
    <xf numFmtId="0" fontId="3" fillId="0" borderId="38" xfId="895" applyFont="1" applyBorder="1"/>
    <xf numFmtId="43" fontId="3" fillId="0" borderId="0" xfId="527" applyFont="1" applyBorder="1" applyAlignment="1">
      <alignment horizontal="right"/>
    </xf>
    <xf numFmtId="43" fontId="3" fillId="0" borderId="32" xfId="527" applyFont="1" applyBorder="1" applyAlignment="1">
      <alignment horizontal="right"/>
    </xf>
    <xf numFmtId="167" fontId="3" fillId="0" borderId="0" xfId="938" applyNumberFormat="1" applyFont="1" applyBorder="1"/>
    <xf numFmtId="43" fontId="3" fillId="0" borderId="0" xfId="527" applyFont="1" applyBorder="1" applyAlignment="1">
      <alignment horizontal="right" vertical="center"/>
    </xf>
    <xf numFmtId="167" fontId="3" fillId="0" borderId="0" xfId="895" applyNumberFormat="1" applyFont="1" applyBorder="1"/>
    <xf numFmtId="192" fontId="175" fillId="0" borderId="0" xfId="5" applyNumberFormat="1" applyFont="1" applyFill="1" applyBorder="1" applyAlignment="1">
      <alignment horizontal="right"/>
    </xf>
    <xf numFmtId="192" fontId="175" fillId="0" borderId="32" xfId="5" applyNumberFormat="1" applyFont="1" applyFill="1" applyBorder="1" applyAlignment="1">
      <alignment horizontal="right"/>
    </xf>
    <xf numFmtId="167" fontId="3" fillId="46" borderId="0" xfId="970" applyNumberFormat="1" applyFont="1" applyFill="1" applyBorder="1" applyAlignment="1">
      <alignment horizontal="right"/>
    </xf>
    <xf numFmtId="169" fontId="179" fillId="0" borderId="0" xfId="5" applyNumberFormat="1" applyFont="1" applyFill="1" applyBorder="1" applyAlignment="1">
      <alignment horizontal="right"/>
    </xf>
    <xf numFmtId="169" fontId="179" fillId="0" borderId="32" xfId="5" applyNumberFormat="1" applyFont="1" applyFill="1" applyBorder="1" applyAlignment="1">
      <alignment horizontal="right"/>
    </xf>
    <xf numFmtId="0" fontId="4" fillId="0" borderId="42" xfId="5" applyFont="1" applyFill="1" applyBorder="1" applyAlignment="1">
      <alignment horizontal="left"/>
    </xf>
    <xf numFmtId="0" fontId="4" fillId="0" borderId="44" xfId="5" applyFont="1" applyFill="1" applyBorder="1" applyAlignment="1">
      <alignment horizontal="left"/>
    </xf>
    <xf numFmtId="0" fontId="9" fillId="0" borderId="42" xfId="0" applyFont="1" applyFill="1" applyBorder="1" applyAlignment="1">
      <alignment horizontal="center"/>
    </xf>
    <xf numFmtId="0" fontId="9" fillId="0" borderId="43" xfId="0" applyFont="1" applyFill="1" applyBorder="1" applyAlignment="1">
      <alignment horizontal="center"/>
    </xf>
    <xf numFmtId="0" fontId="9" fillId="0" borderId="44" xfId="0" applyFont="1" applyFill="1" applyBorder="1" applyAlignment="1">
      <alignment horizontal="center"/>
    </xf>
    <xf numFmtId="1" fontId="4" fillId="0" borderId="45" xfId="5" applyNumberFormat="1" applyFont="1" applyFill="1" applyBorder="1"/>
    <xf numFmtId="2" fontId="4" fillId="0" borderId="43" xfId="5" applyNumberFormat="1" applyFont="1" applyFill="1" applyBorder="1"/>
    <xf numFmtId="0" fontId="4" fillId="0" borderId="44" xfId="5" applyFont="1" applyFill="1" applyBorder="1"/>
    <xf numFmtId="0" fontId="4" fillId="0" borderId="0" xfId="895" applyFont="1" applyFill="1" applyBorder="1"/>
    <xf numFmtId="0" fontId="4" fillId="0" borderId="32" xfId="895" applyFont="1" applyFill="1" applyBorder="1"/>
    <xf numFmtId="167" fontId="175" fillId="49" borderId="0" xfId="527" applyNumberFormat="1" applyFont="1" applyFill="1" applyBorder="1"/>
    <xf numFmtId="167" fontId="175" fillId="49" borderId="32" xfId="527" applyNumberFormat="1" applyFont="1" applyFill="1" applyBorder="1"/>
    <xf numFmtId="167" fontId="175" fillId="49" borderId="0" xfId="938" applyNumberFormat="1" applyFont="1" applyFill="1" applyBorder="1" applyAlignment="1">
      <alignment horizontal="right"/>
    </xf>
    <xf numFmtId="167" fontId="175" fillId="49" borderId="32" xfId="938" applyNumberFormat="1" applyFont="1" applyFill="1" applyBorder="1" applyAlignment="1">
      <alignment horizontal="right"/>
    </xf>
    <xf numFmtId="9" fontId="179" fillId="0" borderId="32" xfId="970" applyNumberFormat="1" applyFont="1" applyBorder="1" applyAlignment="1">
      <alignment horizontal="right"/>
    </xf>
    <xf numFmtId="9" fontId="179" fillId="0" borderId="0" xfId="970" applyNumberFormat="1" applyFont="1" applyBorder="1" applyAlignment="1">
      <alignment horizontal="right"/>
    </xf>
    <xf numFmtId="0" fontId="3" fillId="43" borderId="0" xfId="5" applyFont="1" applyFill="1" applyBorder="1" applyAlignment="1">
      <alignment horizontal="left" wrapText="1" indent="3"/>
    </xf>
    <xf numFmtId="167" fontId="175" fillId="0" borderId="0" xfId="527" applyNumberFormat="1" applyFont="1" applyFill="1" applyBorder="1"/>
    <xf numFmtId="167" fontId="175" fillId="0" borderId="32" xfId="527" applyNumberFormat="1" applyFont="1" applyFill="1" applyBorder="1"/>
    <xf numFmtId="0" fontId="2" fillId="0" borderId="0" xfId="843"/>
    <xf numFmtId="0" fontId="174" fillId="0" borderId="0" xfId="5" applyFont="1" applyBorder="1"/>
    <xf numFmtId="0" fontId="2" fillId="0" borderId="0" xfId="843" applyBorder="1"/>
    <xf numFmtId="186" fontId="94" fillId="0" borderId="4" xfId="6" applyNumberFormat="1" applyFont="1" applyFill="1" applyBorder="1" applyAlignment="1"/>
    <xf numFmtId="186" fontId="94" fillId="0" borderId="40" xfId="6" applyNumberFormat="1" applyFont="1" applyFill="1" applyBorder="1" applyAlignment="1"/>
    <xf numFmtId="0" fontId="2" fillId="0" borderId="4" xfId="896" applyBorder="1"/>
    <xf numFmtId="0" fontId="72" fillId="0" borderId="35" xfId="560" applyNumberFormat="1" applyFont="1" applyFill="1" applyBorder="1" applyAlignment="1">
      <alignment horizontal="left" indent="1"/>
    </xf>
    <xf numFmtId="186" fontId="94" fillId="0" borderId="0" xfId="6" applyNumberFormat="1" applyFont="1" applyFill="1" applyBorder="1" applyAlignment="1"/>
    <xf numFmtId="186" fontId="94" fillId="0" borderId="5" xfId="6" applyNumberFormat="1" applyFont="1" applyFill="1" applyBorder="1" applyAlignment="1"/>
    <xf numFmtId="0" fontId="2" fillId="0" borderId="0" xfId="896" applyBorder="1"/>
    <xf numFmtId="0" fontId="95" fillId="0" borderId="3" xfId="560" applyNumberFormat="1" applyFont="1" applyFill="1" applyBorder="1"/>
    <xf numFmtId="186" fontId="94" fillId="0" borderId="6" xfId="6" applyNumberFormat="1" applyFont="1" applyFill="1" applyBorder="1" applyAlignment="1"/>
    <xf numFmtId="186" fontId="94" fillId="0" borderId="39" xfId="6" applyNumberFormat="1" applyFont="1" applyFill="1" applyBorder="1" applyAlignment="1"/>
    <xf numFmtId="0" fontId="2" fillId="0" borderId="6" xfId="896" applyBorder="1"/>
    <xf numFmtId="0" fontId="94" fillId="0" borderId="10" xfId="560" applyNumberFormat="1" applyFont="1" applyFill="1" applyBorder="1"/>
    <xf numFmtId="0" fontId="2" fillId="0" borderId="1" xfId="896" applyBorder="1"/>
    <xf numFmtId="0" fontId="2" fillId="0" borderId="36" xfId="896" applyBorder="1"/>
    <xf numFmtId="0" fontId="72" fillId="0" borderId="37" xfId="6" applyNumberFormat="1" applyFont="1" applyFill="1" applyBorder="1"/>
    <xf numFmtId="0" fontId="2" fillId="0" borderId="0" xfId="5" applyFont="1"/>
    <xf numFmtId="0" fontId="2" fillId="0" borderId="0" xfId="5" applyFont="1" applyBorder="1"/>
    <xf numFmtId="0" fontId="2" fillId="0" borderId="0" xfId="5" applyFont="1" applyFill="1"/>
    <xf numFmtId="0" fontId="94" fillId="0" borderId="0" xfId="5" applyFont="1"/>
    <xf numFmtId="0" fontId="94" fillId="0" borderId="0" xfId="5" applyFont="1" applyBorder="1"/>
    <xf numFmtId="0" fontId="94" fillId="0" borderId="0" xfId="5" applyFont="1" applyFill="1" applyBorder="1" applyAlignment="1">
      <alignment horizontal="left" wrapText="1" indent="2"/>
    </xf>
    <xf numFmtId="0" fontId="94" fillId="0" borderId="0" xfId="5" applyFont="1" applyFill="1"/>
    <xf numFmtId="37" fontId="94" fillId="0" borderId="0" xfId="5" applyNumberFormat="1" applyFont="1" applyFill="1" applyAlignment="1">
      <alignment horizontal="center"/>
    </xf>
    <xf numFmtId="0" fontId="94" fillId="0" borderId="0" xfId="5" applyFont="1" applyAlignment="1">
      <alignment horizontal="right"/>
    </xf>
    <xf numFmtId="0" fontId="94" fillId="0" borderId="0" xfId="5" applyFont="1" applyFill="1" applyBorder="1"/>
    <xf numFmtId="0" fontId="94" fillId="0" borderId="0" xfId="5" applyFont="1" applyFill="1" applyBorder="1" applyAlignment="1">
      <alignment horizontal="center"/>
    </xf>
    <xf numFmtId="0" fontId="2" fillId="0" borderId="0" xfId="843" applyFont="1"/>
    <xf numFmtId="167" fontId="96" fillId="0" borderId="40" xfId="952" applyNumberFormat="1" applyFont="1" applyFill="1" applyBorder="1" applyAlignment="1"/>
    <xf numFmtId="167" fontId="96" fillId="0" borderId="35" xfId="952" applyNumberFormat="1" applyFont="1" applyFill="1" applyBorder="1" applyAlignment="1"/>
    <xf numFmtId="167" fontId="96" fillId="0" borderId="4" xfId="952" applyNumberFormat="1" applyFont="1" applyFill="1" applyBorder="1" applyAlignment="1"/>
    <xf numFmtId="0" fontId="94" fillId="0" borderId="33" xfId="5" applyFont="1" applyBorder="1"/>
    <xf numFmtId="0" fontId="94" fillId="0" borderId="5" xfId="5" applyFont="1" applyFill="1" applyBorder="1"/>
    <xf numFmtId="0" fontId="94" fillId="0" borderId="3" xfId="5" applyFont="1" applyFill="1" applyBorder="1"/>
    <xf numFmtId="0" fontId="96" fillId="0" borderId="40" xfId="5" applyFont="1" applyFill="1" applyBorder="1" applyAlignment="1">
      <alignment horizontal="left" indent="1"/>
    </xf>
    <xf numFmtId="0" fontId="96" fillId="0" borderId="35" xfId="5" applyFont="1" applyFill="1" applyBorder="1" applyAlignment="1">
      <alignment horizontal="left" indent="2"/>
    </xf>
    <xf numFmtId="186" fontId="94" fillId="0" borderId="0" xfId="5" applyNumberFormat="1" applyFont="1" applyFill="1" applyBorder="1" applyAlignment="1"/>
    <xf numFmtId="187" fontId="94" fillId="0" borderId="5" xfId="5" applyNumberFormat="1" applyFont="1" applyFill="1" applyBorder="1"/>
    <xf numFmtId="187" fontId="94" fillId="0" borderId="3" xfId="5" applyNumberFormat="1" applyFont="1" applyFill="1" applyBorder="1"/>
    <xf numFmtId="187" fontId="94" fillId="0" borderId="0" xfId="5" applyNumberFormat="1" applyFont="1" applyFill="1" applyBorder="1"/>
    <xf numFmtId="186" fontId="94" fillId="0" borderId="3" xfId="5" applyNumberFormat="1" applyFont="1" applyFill="1" applyBorder="1"/>
    <xf numFmtId="186" fontId="94" fillId="0" borderId="0" xfId="5" applyNumberFormat="1" applyFont="1" applyFill="1" applyBorder="1"/>
    <xf numFmtId="186" fontId="94" fillId="0" borderId="5" xfId="5" applyNumberFormat="1" applyFont="1" applyFill="1" applyBorder="1" applyAlignment="1"/>
    <xf numFmtId="0" fontId="94" fillId="0" borderId="3" xfId="5" applyFont="1" applyFill="1" applyBorder="1" applyAlignment="1">
      <alignment horizontal="left" indent="1"/>
    </xf>
    <xf numFmtId="0" fontId="94" fillId="0" borderId="39" xfId="5" applyFont="1" applyBorder="1"/>
    <xf numFmtId="0" fontId="94" fillId="0" borderId="6" xfId="5" applyFont="1" applyBorder="1"/>
    <xf numFmtId="0" fontId="94" fillId="0" borderId="6" xfId="5" applyFont="1" applyFill="1" applyBorder="1"/>
    <xf numFmtId="0" fontId="94" fillId="0" borderId="5" xfId="5" applyFont="1" applyBorder="1"/>
    <xf numFmtId="0" fontId="94" fillId="0" borderId="3" xfId="5" applyFont="1" applyBorder="1"/>
    <xf numFmtId="0" fontId="94" fillId="0" borderId="39" xfId="5" applyFont="1" applyFill="1" applyBorder="1" applyAlignment="1">
      <alignment horizontal="center"/>
    </xf>
    <xf numFmtId="0" fontId="94" fillId="0" borderId="6" xfId="5" applyFont="1" applyFill="1" applyBorder="1" applyAlignment="1">
      <alignment horizontal="center"/>
    </xf>
    <xf numFmtId="0" fontId="94" fillId="0" borderId="10" xfId="5" applyFont="1" applyFill="1" applyBorder="1" applyAlignment="1">
      <alignment horizontal="center"/>
    </xf>
    <xf numFmtId="0" fontId="94" fillId="0" borderId="39" xfId="5" applyFont="1" applyFill="1" applyBorder="1"/>
    <xf numFmtId="0" fontId="94" fillId="0" borderId="10" xfId="5" applyFont="1" applyFill="1" applyBorder="1"/>
    <xf numFmtId="0" fontId="72" fillId="0" borderId="10" xfId="5" applyFont="1" applyBorder="1"/>
    <xf numFmtId="211" fontId="94" fillId="0" borderId="4" xfId="5" applyNumberFormat="1" applyFont="1" applyFill="1" applyBorder="1"/>
    <xf numFmtId="211" fontId="94" fillId="0" borderId="40" xfId="5" applyNumberFormat="1" applyFont="1" applyFill="1" applyBorder="1"/>
    <xf numFmtId="211" fontId="94" fillId="0" borderId="35" xfId="5" applyNumberFormat="1" applyFont="1" applyFill="1" applyBorder="1"/>
    <xf numFmtId="211" fontId="94" fillId="0" borderId="35" xfId="5" applyNumberFormat="1" applyFont="1" applyFill="1" applyBorder="1" applyAlignment="1">
      <alignment horizontal="center"/>
    </xf>
    <xf numFmtId="211" fontId="94" fillId="0" borderId="4" xfId="5" applyNumberFormat="1" applyFont="1" applyFill="1" applyBorder="1" applyAlignment="1">
      <alignment horizontal="center"/>
    </xf>
    <xf numFmtId="211" fontId="94" fillId="0" borderId="40" xfId="5" applyNumberFormat="1" applyFont="1" applyFill="1" applyBorder="1" applyAlignment="1">
      <alignment horizontal="center"/>
    </xf>
    <xf numFmtId="0" fontId="94" fillId="0" borderId="40" xfId="5" applyFont="1" applyFill="1" applyBorder="1" applyAlignment="1">
      <alignment horizontal="left"/>
    </xf>
    <xf numFmtId="0" fontId="94" fillId="0" borderId="35" xfId="5" applyFont="1" applyFill="1" applyBorder="1" applyAlignment="1">
      <alignment horizontal="left"/>
    </xf>
    <xf numFmtId="211" fontId="94" fillId="0" borderId="0" xfId="5" applyNumberFormat="1" applyFont="1" applyFill="1" applyBorder="1"/>
    <xf numFmtId="211" fontId="94" fillId="0" borderId="5" xfId="5" applyNumberFormat="1" applyFont="1" applyFill="1" applyBorder="1"/>
    <xf numFmtId="211" fontId="94" fillId="0" borderId="3" xfId="5" applyNumberFormat="1" applyFont="1" applyFill="1" applyBorder="1"/>
    <xf numFmtId="211" fontId="94" fillId="0" borderId="3" xfId="5" applyNumberFormat="1" applyFont="1" applyFill="1" applyBorder="1" applyAlignment="1">
      <alignment horizontal="center"/>
    </xf>
    <xf numFmtId="211" fontId="94" fillId="0" borderId="0" xfId="5" applyNumberFormat="1" applyFont="1" applyFill="1" applyBorder="1" applyAlignment="1">
      <alignment horizontal="center"/>
    </xf>
    <xf numFmtId="211" fontId="94" fillId="0" borderId="5" xfId="5" applyNumberFormat="1" applyFont="1" applyFill="1" applyBorder="1" applyAlignment="1">
      <alignment horizontal="center"/>
    </xf>
    <xf numFmtId="0" fontId="94" fillId="0" borderId="5" xfId="5" applyFont="1" applyFill="1" applyBorder="1" applyAlignment="1">
      <alignment horizontal="left"/>
    </xf>
    <xf numFmtId="0" fontId="94" fillId="0" borderId="3" xfId="5" applyFont="1" applyFill="1" applyBorder="1" applyAlignment="1">
      <alignment horizontal="left"/>
    </xf>
    <xf numFmtId="211" fontId="97" fillId="0" borderId="0" xfId="5" applyNumberFormat="1" applyFont="1" applyFill="1" applyBorder="1"/>
    <xf numFmtId="211" fontId="97" fillId="0" borderId="5" xfId="5" applyNumberFormat="1" applyFont="1" applyFill="1" applyBorder="1"/>
    <xf numFmtId="211" fontId="97" fillId="0" borderId="3" xfId="5" applyNumberFormat="1" applyFont="1" applyFill="1" applyBorder="1"/>
    <xf numFmtId="211" fontId="97" fillId="0" borderId="3" xfId="5" applyNumberFormat="1" applyFont="1" applyFill="1" applyBorder="1" applyAlignment="1">
      <alignment horizontal="center"/>
    </xf>
    <xf numFmtId="211" fontId="97" fillId="0" borderId="0" xfId="5" applyNumberFormat="1" applyFont="1" applyFill="1" applyBorder="1" applyAlignment="1">
      <alignment horizontal="center"/>
    </xf>
    <xf numFmtId="211" fontId="97" fillId="0" borderId="5" xfId="5" applyNumberFormat="1" applyFont="1" applyFill="1" applyBorder="1" applyAlignment="1">
      <alignment horizontal="center"/>
    </xf>
    <xf numFmtId="0" fontId="96" fillId="0" borderId="5" xfId="5" applyFont="1" applyFill="1" applyBorder="1" applyAlignment="1">
      <alignment horizontal="left" indent="1"/>
    </xf>
    <xf numFmtId="0" fontId="96" fillId="0" borderId="3" xfId="5" applyFont="1" applyFill="1" applyBorder="1" applyAlignment="1">
      <alignment horizontal="left" indent="1"/>
    </xf>
    <xf numFmtId="167" fontId="98" fillId="0" borderId="0" xfId="952" applyNumberFormat="1" applyFont="1" applyFill="1" applyBorder="1"/>
    <xf numFmtId="167" fontId="98" fillId="0" borderId="5" xfId="952" applyNumberFormat="1" applyFont="1" applyFill="1" applyBorder="1"/>
    <xf numFmtId="167" fontId="180" fillId="0" borderId="5" xfId="952" applyNumberFormat="1" applyFont="1" applyFill="1" applyBorder="1"/>
    <xf numFmtId="167" fontId="98" fillId="0" borderId="3" xfId="952" applyNumberFormat="1" applyFont="1" applyFill="1" applyBorder="1" applyAlignment="1">
      <alignment horizontal="center"/>
    </xf>
    <xf numFmtId="167" fontId="98" fillId="0" borderId="0" xfId="952" applyNumberFormat="1" applyFont="1" applyFill="1" applyBorder="1" applyAlignment="1">
      <alignment horizontal="center"/>
    </xf>
    <xf numFmtId="167" fontId="98" fillId="0" borderId="5" xfId="952" applyNumberFormat="1" applyFont="1" applyFill="1" applyBorder="1" applyAlignment="1">
      <alignment horizontal="center"/>
    </xf>
    <xf numFmtId="167" fontId="180" fillId="0" borderId="0" xfId="952" applyNumberFormat="1" applyFont="1" applyFill="1" applyBorder="1"/>
    <xf numFmtId="167" fontId="96" fillId="0" borderId="0" xfId="952" applyNumberFormat="1" applyFont="1" applyFill="1" applyBorder="1"/>
    <xf numFmtId="167" fontId="180" fillId="0" borderId="5" xfId="952" applyNumberFormat="1" applyFont="1" applyFill="1" applyBorder="1" applyAlignment="1">
      <alignment horizontal="center"/>
    </xf>
    <xf numFmtId="167" fontId="180" fillId="0" borderId="0" xfId="952" applyNumberFormat="1" applyFont="1" applyFill="1" applyBorder="1" applyAlignment="1">
      <alignment horizontal="center"/>
    </xf>
    <xf numFmtId="167" fontId="180" fillId="0" borderId="3" xfId="952" applyNumberFormat="1" applyFont="1" applyFill="1" applyBorder="1" applyAlignment="1">
      <alignment horizontal="center"/>
    </xf>
    <xf numFmtId="167" fontId="96" fillId="0" borderId="0" xfId="952" applyNumberFormat="1" applyFont="1" applyFill="1" applyBorder="1" applyAlignment="1">
      <alignment horizontal="center"/>
    </xf>
    <xf numFmtId="167" fontId="96" fillId="0" borderId="0" xfId="952" applyNumberFormat="1" applyFont="1" applyFill="1" applyBorder="1" applyAlignment="1"/>
    <xf numFmtId="167" fontId="96" fillId="0" borderId="3" xfId="952" applyNumberFormat="1" applyFont="1" applyFill="1" applyBorder="1" applyAlignment="1">
      <alignment horizontal="center"/>
    </xf>
    <xf numFmtId="167" fontId="96" fillId="0" borderId="5" xfId="952" applyNumberFormat="1" applyFont="1" applyFill="1" applyBorder="1" applyAlignment="1"/>
    <xf numFmtId="167" fontId="96" fillId="0" borderId="5" xfId="952" applyNumberFormat="1" applyFont="1" applyFill="1" applyBorder="1" applyAlignment="1">
      <alignment horizontal="center"/>
    </xf>
    <xf numFmtId="186" fontId="98" fillId="0" borderId="3" xfId="5" applyNumberFormat="1" applyFont="1" applyFill="1" applyBorder="1" applyAlignment="1">
      <alignment horizontal="center"/>
    </xf>
    <xf numFmtId="186" fontId="98" fillId="0" borderId="0" xfId="5" applyNumberFormat="1" applyFont="1" applyFill="1" applyBorder="1"/>
    <xf numFmtId="167" fontId="96" fillId="0" borderId="5" xfId="952" applyNumberFormat="1" applyFont="1" applyFill="1" applyBorder="1"/>
    <xf numFmtId="186" fontId="94" fillId="0" borderId="5" xfId="5" applyNumberFormat="1" applyFont="1" applyFill="1" applyBorder="1"/>
    <xf numFmtId="186" fontId="99" fillId="0" borderId="3" xfId="5" applyNumberFormat="1" applyFont="1" applyFill="1" applyBorder="1" applyAlignment="1">
      <alignment horizontal="center"/>
    </xf>
    <xf numFmtId="186" fontId="99" fillId="0" borderId="5" xfId="5" applyNumberFormat="1" applyFont="1" applyFill="1" applyBorder="1" applyAlignment="1">
      <alignment horizontal="center"/>
    </xf>
    <xf numFmtId="186" fontId="99" fillId="0" borderId="0" xfId="5" applyNumberFormat="1" applyFont="1" applyFill="1" applyBorder="1" applyAlignment="1">
      <alignment horizontal="center"/>
    </xf>
    <xf numFmtId="186" fontId="97" fillId="0" borderId="5" xfId="5" applyNumberFormat="1" applyFont="1" applyFill="1" applyBorder="1"/>
    <xf numFmtId="186" fontId="94" fillId="0" borderId="0" xfId="5" applyNumberFormat="1" applyFont="1" applyFill="1" applyBorder="1" applyAlignment="1">
      <alignment horizontal="center"/>
    </xf>
    <xf numFmtId="186" fontId="100" fillId="0" borderId="5" xfId="5" applyNumberFormat="1" applyFont="1" applyFill="1" applyBorder="1" applyAlignment="1">
      <alignment horizontal="center"/>
    </xf>
    <xf numFmtId="186" fontId="100" fillId="0" borderId="0" xfId="5" applyNumberFormat="1" applyFont="1" applyFill="1" applyBorder="1" applyAlignment="1">
      <alignment horizontal="center"/>
    </xf>
    <xf numFmtId="186" fontId="100" fillId="0" borderId="3" xfId="5" applyNumberFormat="1" applyFont="1" applyFill="1" applyBorder="1" applyAlignment="1">
      <alignment horizontal="center"/>
    </xf>
    <xf numFmtId="186" fontId="100" fillId="0" borderId="0" xfId="5" applyNumberFormat="1" applyFont="1" applyFill="1" applyBorder="1"/>
    <xf numFmtId="216" fontId="100" fillId="0" borderId="0" xfId="5" applyNumberFormat="1" applyFont="1" applyFill="1" applyBorder="1" applyAlignment="1">
      <alignment horizontal="center"/>
    </xf>
    <xf numFmtId="216" fontId="100" fillId="0" borderId="3" xfId="5" applyNumberFormat="1" applyFont="1" applyFill="1" applyBorder="1" applyAlignment="1">
      <alignment horizontal="center"/>
    </xf>
    <xf numFmtId="216" fontId="100" fillId="0" borderId="0" xfId="5" applyNumberFormat="1" applyFont="1" applyFill="1" applyBorder="1"/>
    <xf numFmtId="186" fontId="100" fillId="0" borderId="5" xfId="5" applyNumberFormat="1" applyFont="1" applyFill="1" applyBorder="1"/>
    <xf numFmtId="186" fontId="97" fillId="0" borderId="3" xfId="5" applyNumberFormat="1" applyFont="1" applyFill="1" applyBorder="1"/>
    <xf numFmtId="186" fontId="97" fillId="0" borderId="0" xfId="5" applyNumberFormat="1" applyFont="1" applyFill="1" applyBorder="1"/>
    <xf numFmtId="186" fontId="97" fillId="0" borderId="3" xfId="5" applyNumberFormat="1" applyFont="1" applyFill="1" applyBorder="1" applyAlignment="1">
      <alignment horizontal="center"/>
    </xf>
    <xf numFmtId="186" fontId="97" fillId="0" borderId="0" xfId="5" applyNumberFormat="1" applyFont="1" applyFill="1" applyBorder="1" applyAlignment="1">
      <alignment horizontal="center"/>
    </xf>
    <xf numFmtId="186" fontId="97" fillId="0" borderId="5" xfId="5" applyNumberFormat="1" applyFont="1" applyFill="1" applyBorder="1" applyAlignment="1">
      <alignment horizontal="center"/>
    </xf>
    <xf numFmtId="187" fontId="97" fillId="0" borderId="5" xfId="5" applyNumberFormat="1" applyFont="1" applyFill="1" applyBorder="1"/>
    <xf numFmtId="187" fontId="97" fillId="0" borderId="0" xfId="5" applyNumberFormat="1" applyFont="1" applyFill="1" applyBorder="1"/>
    <xf numFmtId="187" fontId="97" fillId="0" borderId="0" xfId="5" applyNumberFormat="1" applyFont="1" applyFill="1" applyBorder="1" applyAlignment="1">
      <alignment horizontal="center"/>
    </xf>
    <xf numFmtId="187" fontId="97" fillId="0" borderId="5" xfId="5" applyNumberFormat="1" applyFont="1" applyFill="1" applyBorder="1" applyAlignment="1">
      <alignment horizontal="center"/>
    </xf>
    <xf numFmtId="186" fontId="97" fillId="0" borderId="0" xfId="5" applyNumberFormat="1" applyFont="1" applyFill="1" applyBorder="1" applyAlignment="1"/>
    <xf numFmtId="186" fontId="97" fillId="0" borderId="5" xfId="5" applyNumberFormat="1" applyFont="1" applyFill="1" applyBorder="1" applyAlignment="1"/>
    <xf numFmtId="216" fontId="96" fillId="0" borderId="4" xfId="5" applyNumberFormat="1" applyFont="1" applyFill="1" applyBorder="1"/>
    <xf numFmtId="186" fontId="94" fillId="36" borderId="5" xfId="5" applyNumberFormat="1" applyFont="1" applyFill="1" applyBorder="1" applyAlignment="1"/>
    <xf numFmtId="186" fontId="94" fillId="0" borderId="3" xfId="5" applyNumberFormat="1" applyFont="1" applyFill="1" applyBorder="1" applyAlignment="1"/>
    <xf numFmtId="186" fontId="97" fillId="0" borderId="10" xfId="5" applyNumberFormat="1" applyFont="1" applyFill="1" applyBorder="1"/>
    <xf numFmtId="186" fontId="97" fillId="0" borderId="39" xfId="5" applyNumberFormat="1" applyFont="1" applyFill="1" applyBorder="1" applyAlignment="1"/>
    <xf numFmtId="186" fontId="97" fillId="0" borderId="6" xfId="5" applyNumberFormat="1" applyFont="1" applyFill="1" applyBorder="1"/>
    <xf numFmtId="211" fontId="97" fillId="0" borderId="4" xfId="5" applyNumberFormat="1" applyFont="1" applyFill="1" applyBorder="1"/>
    <xf numFmtId="0" fontId="94" fillId="0" borderId="4" xfId="5" applyFont="1" applyFill="1" applyBorder="1"/>
    <xf numFmtId="211" fontId="97" fillId="0" borderId="6" xfId="5" applyNumberFormat="1" applyFont="1" applyFill="1" applyBorder="1"/>
    <xf numFmtId="215" fontId="94" fillId="0" borderId="4" xfId="5" applyNumberFormat="1" applyFont="1" applyFill="1" applyBorder="1"/>
    <xf numFmtId="215" fontId="94" fillId="0" borderId="35" xfId="5" applyNumberFormat="1" applyFont="1" applyFill="1" applyBorder="1"/>
    <xf numFmtId="215" fontId="94" fillId="0" borderId="0" xfId="5" applyNumberFormat="1" applyFont="1" applyFill="1" applyBorder="1"/>
    <xf numFmtId="215" fontId="94" fillId="0" borderId="5" xfId="5" applyNumberFormat="1" applyFont="1" applyFill="1" applyBorder="1"/>
    <xf numFmtId="0" fontId="72" fillId="0" borderId="5" xfId="5" applyFont="1" applyFill="1" applyBorder="1"/>
    <xf numFmtId="0" fontId="72" fillId="0" borderId="3" xfId="5" applyFont="1" applyFill="1" applyBorder="1"/>
    <xf numFmtId="215" fontId="94" fillId="0" borderId="3" xfId="5" applyNumberFormat="1" applyFont="1" applyFill="1" applyBorder="1"/>
    <xf numFmtId="167" fontId="98" fillId="0" borderId="0" xfId="952" applyNumberFormat="1" applyFont="1" applyFill="1" applyBorder="1" applyAlignment="1"/>
    <xf numFmtId="167" fontId="98" fillId="0" borderId="5" xfId="952" applyNumberFormat="1" applyFont="1" applyFill="1" applyBorder="1" applyAlignment="1"/>
    <xf numFmtId="167" fontId="98" fillId="0" borderId="3" xfId="952" applyNumberFormat="1" applyFont="1" applyFill="1" applyBorder="1" applyAlignment="1"/>
    <xf numFmtId="178" fontId="97" fillId="0" borderId="0" xfId="560" applyNumberFormat="1" applyFont="1" applyFill="1" applyBorder="1" applyAlignment="1"/>
    <xf numFmtId="178" fontId="97" fillId="0" borderId="5" xfId="560" applyNumberFormat="1" applyFont="1" applyFill="1" applyBorder="1" applyAlignment="1"/>
    <xf numFmtId="186" fontId="97" fillId="36" borderId="5" xfId="5" applyNumberFormat="1" applyFont="1" applyFill="1" applyBorder="1" applyAlignment="1"/>
    <xf numFmtId="186" fontId="97" fillId="36" borderId="0" xfId="5" applyNumberFormat="1" applyFont="1" applyFill="1" applyBorder="1" applyAlignment="1"/>
    <xf numFmtId="186" fontId="97" fillId="0" borderId="3" xfId="5" applyNumberFormat="1" applyFont="1" applyFill="1" applyBorder="1" applyAlignment="1"/>
    <xf numFmtId="0" fontId="94" fillId="0" borderId="5" xfId="5" applyFont="1" applyFill="1" applyBorder="1" applyAlignment="1">
      <alignment horizontal="left" indent="1"/>
    </xf>
    <xf numFmtId="186" fontId="72" fillId="0" borderId="0" xfId="5" applyNumberFormat="1" applyFont="1" applyFill="1" applyBorder="1" applyAlignment="1"/>
    <xf numFmtId="186" fontId="72" fillId="0" borderId="5" xfId="5" applyNumberFormat="1" applyFont="1" applyFill="1" applyBorder="1" applyAlignment="1"/>
    <xf numFmtId="186" fontId="72" fillId="0" borderId="3" xfId="5" applyNumberFormat="1" applyFont="1" applyFill="1" applyBorder="1" applyAlignment="1"/>
    <xf numFmtId="186" fontId="72" fillId="46" borderId="5" xfId="5" applyNumberFormat="1" applyFont="1" applyFill="1" applyBorder="1" applyAlignment="1"/>
    <xf numFmtId="167" fontId="98" fillId="46" borderId="5" xfId="952" applyNumberFormat="1" applyFont="1" applyFill="1" applyBorder="1" applyAlignment="1"/>
    <xf numFmtId="167" fontId="96" fillId="0" borderId="3" xfId="952" applyNumberFormat="1" applyFont="1" applyFill="1" applyBorder="1" applyAlignment="1"/>
    <xf numFmtId="167" fontId="96" fillId="46" borderId="5" xfId="952" applyNumberFormat="1" applyFont="1" applyFill="1" applyBorder="1" applyAlignment="1"/>
    <xf numFmtId="214" fontId="97" fillId="0" borderId="0" xfId="952" applyNumberFormat="1" applyFont="1" applyFill="1" applyBorder="1" applyAlignment="1"/>
    <xf numFmtId="214" fontId="97" fillId="0" borderId="5" xfId="952" applyNumberFormat="1" applyFont="1" applyFill="1" applyBorder="1" applyAlignment="1"/>
    <xf numFmtId="212" fontId="97" fillId="0" borderId="3" xfId="5" applyNumberFormat="1" applyFont="1" applyFill="1" applyBorder="1" applyAlignment="1"/>
    <xf numFmtId="212" fontId="97" fillId="46" borderId="5" xfId="952" applyNumberFormat="1" applyFont="1" applyFill="1" applyBorder="1" applyAlignment="1"/>
    <xf numFmtId="212" fontId="97" fillId="0" borderId="0" xfId="5" applyNumberFormat="1" applyFont="1" applyFill="1" applyBorder="1" applyAlignment="1"/>
    <xf numFmtId="212" fontId="97" fillId="0" borderId="5" xfId="952" applyNumberFormat="1" applyFont="1" applyFill="1" applyBorder="1" applyAlignment="1"/>
    <xf numFmtId="186" fontId="94" fillId="46" borderId="5" xfId="5" applyNumberFormat="1" applyFont="1" applyFill="1" applyBorder="1" applyAlignment="1"/>
    <xf numFmtId="186" fontId="97" fillId="46" borderId="5" xfId="5" applyNumberFormat="1" applyFont="1" applyFill="1" applyBorder="1" applyAlignment="1"/>
    <xf numFmtId="212" fontId="97" fillId="0" borderId="0" xfId="5" applyNumberFormat="1" applyFont="1" applyFill="1" applyBorder="1"/>
    <xf numFmtId="211" fontId="97" fillId="46" borderId="5" xfId="5" applyNumberFormat="1" applyFont="1" applyFill="1" applyBorder="1"/>
    <xf numFmtId="212" fontId="101" fillId="0" borderId="0" xfId="5" applyNumberFormat="1" applyFont="1" applyFill="1" applyBorder="1"/>
    <xf numFmtId="211" fontId="102" fillId="0" borderId="3" xfId="5" applyNumberFormat="1" applyFont="1" applyFill="1" applyBorder="1" applyAlignment="1"/>
    <xf numFmtId="211" fontId="102" fillId="0" borderId="0" xfId="5" applyNumberFormat="1" applyFont="1" applyFill="1" applyBorder="1" applyAlignment="1"/>
    <xf numFmtId="186" fontId="2" fillId="0" borderId="5" xfId="843" applyNumberFormat="1" applyFont="1" applyBorder="1"/>
    <xf numFmtId="211" fontId="97" fillId="0" borderId="0" xfId="5" applyNumberFormat="1" applyFont="1" applyFill="1" applyBorder="1" applyAlignment="1"/>
    <xf numFmtId="211" fontId="97" fillId="0" borderId="5" xfId="5" applyNumberFormat="1" applyFont="1" applyFill="1" applyBorder="1" applyAlignment="1"/>
    <xf numFmtId="211" fontId="97" fillId="0" borderId="3" xfId="5" applyNumberFormat="1" applyFont="1" applyFill="1" applyBorder="1" applyAlignment="1"/>
    <xf numFmtId="213" fontId="94" fillId="0" borderId="0" xfId="5" applyNumberFormat="1" applyFont="1" applyFill="1" applyBorder="1" applyAlignment="1"/>
    <xf numFmtId="213" fontId="94" fillId="0" borderId="5" xfId="5" applyNumberFormat="1" applyFont="1" applyFill="1" applyBorder="1" applyAlignment="1"/>
    <xf numFmtId="211" fontId="97" fillId="46" borderId="5" xfId="5" applyNumberFormat="1" applyFont="1" applyFill="1" applyBorder="1" applyAlignment="1"/>
    <xf numFmtId="216" fontId="94" fillId="0" borderId="0" xfId="5" applyNumberFormat="1" applyFont="1" applyFill="1" applyBorder="1" applyAlignment="1"/>
    <xf numFmtId="186" fontId="94" fillId="36" borderId="0" xfId="5" applyNumberFormat="1" applyFont="1" applyFill="1" applyBorder="1" applyAlignment="1"/>
    <xf numFmtId="167" fontId="98" fillId="36" borderId="5" xfId="952" applyNumberFormat="1" applyFont="1" applyFill="1" applyBorder="1" applyAlignment="1"/>
    <xf numFmtId="167" fontId="98" fillId="36" borderId="0" xfId="952" applyNumberFormat="1" applyFont="1" applyFill="1" applyBorder="1" applyAlignment="1"/>
    <xf numFmtId="167" fontId="96" fillId="0" borderId="3" xfId="952" applyNumberFormat="1" applyFont="1" applyFill="1" applyBorder="1" applyAlignment="1">
      <alignment horizontal="right"/>
    </xf>
    <xf numFmtId="167" fontId="96" fillId="0" borderId="0" xfId="952" applyNumberFormat="1" applyFont="1" applyFill="1" applyBorder="1" applyAlignment="1">
      <alignment horizontal="right"/>
    </xf>
    <xf numFmtId="186" fontId="94" fillId="46" borderId="0" xfId="5" applyNumberFormat="1" applyFont="1" applyFill="1" applyBorder="1" applyAlignment="1"/>
    <xf numFmtId="186" fontId="103" fillId="0" borderId="5" xfId="5" applyNumberFormat="1" applyFont="1" applyFill="1" applyBorder="1" applyAlignment="1"/>
    <xf numFmtId="167" fontId="97" fillId="0" borderId="0" xfId="952" applyNumberFormat="1" applyFont="1" applyFill="1" applyBorder="1" applyAlignment="1"/>
    <xf numFmtId="167" fontId="97" fillId="0" borderId="5" xfId="952" applyNumberFormat="1" applyFont="1" applyFill="1" applyBorder="1" applyAlignment="1"/>
    <xf numFmtId="0" fontId="96" fillId="0" borderId="3" xfId="5" applyFont="1" applyFill="1" applyBorder="1" applyAlignment="1">
      <alignment horizontal="left" indent="2"/>
    </xf>
    <xf numFmtId="167" fontId="97" fillId="0" borderId="0" xfId="5" applyNumberFormat="1" applyFont="1" applyFill="1" applyBorder="1"/>
    <xf numFmtId="9" fontId="97" fillId="0" borderId="3" xfId="952" applyFont="1" applyFill="1" applyBorder="1" applyAlignment="1"/>
    <xf numFmtId="186" fontId="97" fillId="46" borderId="5" xfId="952" applyNumberFormat="1" applyFont="1" applyFill="1" applyBorder="1" applyAlignment="1"/>
    <xf numFmtId="9" fontId="97" fillId="0" borderId="0" xfId="952" applyFont="1" applyFill="1" applyBorder="1" applyAlignment="1"/>
    <xf numFmtId="9" fontId="97" fillId="46" borderId="5" xfId="952" applyFont="1" applyFill="1" applyBorder="1" applyAlignment="1"/>
    <xf numFmtId="9" fontId="97" fillId="0" borderId="5" xfId="952" applyFont="1" applyFill="1" applyBorder="1" applyAlignment="1"/>
    <xf numFmtId="0" fontId="94" fillId="0" borderId="5" xfId="5" applyFont="1" applyFill="1" applyBorder="1" applyAlignment="1">
      <alignment horizontal="left" indent="2"/>
    </xf>
    <xf numFmtId="0" fontId="94" fillId="0" borderId="3" xfId="5" applyFont="1" applyFill="1" applyBorder="1" applyAlignment="1">
      <alignment horizontal="left" indent="2"/>
    </xf>
    <xf numFmtId="186" fontId="181" fillId="36" borderId="0" xfId="5" applyNumberFormat="1" applyFont="1" applyFill="1" applyBorder="1" applyAlignment="1"/>
    <xf numFmtId="9" fontId="97" fillId="0" borderId="0" xfId="5" applyNumberFormat="1" applyFont="1" applyFill="1" applyBorder="1"/>
    <xf numFmtId="9" fontId="94" fillId="0" borderId="0" xfId="5" applyNumberFormat="1" applyFont="1" applyFill="1" applyBorder="1" applyAlignment="1"/>
    <xf numFmtId="9" fontId="94" fillId="0" borderId="5" xfId="5" applyNumberFormat="1" applyFont="1" applyFill="1" applyBorder="1" applyAlignment="1"/>
    <xf numFmtId="0" fontId="96" fillId="0" borderId="3" xfId="5" applyFont="1" applyFill="1" applyBorder="1"/>
    <xf numFmtId="167" fontId="94" fillId="0" borderId="0" xfId="952" applyNumberFormat="1" applyFont="1" applyFill="1" applyBorder="1"/>
    <xf numFmtId="167" fontId="96" fillId="0" borderId="3" xfId="952" applyNumberFormat="1" applyFont="1" applyFill="1" applyBorder="1"/>
    <xf numFmtId="186" fontId="94" fillId="0" borderId="33" xfId="5" applyNumberFormat="1" applyFont="1" applyBorder="1"/>
    <xf numFmtId="209" fontId="94" fillId="0" borderId="0" xfId="5" applyNumberFormat="1" applyFont="1" applyFill="1" applyBorder="1" applyAlignment="1"/>
    <xf numFmtId="209" fontId="94" fillId="0" borderId="5" xfId="5" applyNumberFormat="1" applyFont="1" applyFill="1" applyBorder="1" applyAlignment="1"/>
    <xf numFmtId="209" fontId="94" fillId="0" borderId="3" xfId="5" applyNumberFormat="1" applyFont="1" applyFill="1" applyBorder="1" applyAlignment="1"/>
    <xf numFmtId="209" fontId="97" fillId="0" borderId="3" xfId="5" applyNumberFormat="1" applyFont="1" applyFill="1" applyBorder="1" applyAlignment="1"/>
    <xf numFmtId="209" fontId="97" fillId="0" borderId="5" xfId="5" applyNumberFormat="1" applyFont="1" applyFill="1" applyBorder="1" applyAlignment="1"/>
    <xf numFmtId="209" fontId="97" fillId="0" borderId="0" xfId="5" applyNumberFormat="1" applyFont="1" applyFill="1" applyBorder="1" applyAlignment="1"/>
    <xf numFmtId="209" fontId="103" fillId="0" borderId="5" xfId="5" applyNumberFormat="1" applyFont="1" applyFill="1" applyBorder="1" applyAlignment="1"/>
    <xf numFmtId="1" fontId="104" fillId="36" borderId="39" xfId="906" applyNumberFormat="1" applyFont="1" applyFill="1" applyBorder="1" applyAlignment="1">
      <alignment horizontal="right"/>
    </xf>
    <xf numFmtId="1" fontId="104" fillId="36" borderId="11" xfId="906" applyNumberFormat="1" applyFont="1" applyFill="1" applyBorder="1" applyAlignment="1">
      <alignment horizontal="right"/>
    </xf>
    <xf numFmtId="1" fontId="104" fillId="36" borderId="34" xfId="906" applyNumberFormat="1" applyFont="1" applyFill="1" applyBorder="1" applyAlignment="1">
      <alignment horizontal="right"/>
    </xf>
    <xf numFmtId="1" fontId="104" fillId="36" borderId="1" xfId="906" applyNumberFormat="1" applyFont="1" applyFill="1" applyBorder="1" applyAlignment="1">
      <alignment horizontal="right"/>
    </xf>
    <xf numFmtId="1" fontId="104" fillId="36" borderId="37" xfId="906" applyNumberFormat="1" applyFont="1" applyFill="1" applyBorder="1" applyAlignment="1">
      <alignment horizontal="right"/>
    </xf>
    <xf numFmtId="1" fontId="104" fillId="36" borderId="36" xfId="906" applyNumberFormat="1" applyFont="1" applyFill="1" applyBorder="1" applyAlignment="1">
      <alignment horizontal="right"/>
    </xf>
    <xf numFmtId="1" fontId="104" fillId="36" borderId="6" xfId="906" applyNumberFormat="1" applyFont="1" applyFill="1" applyBorder="1" applyAlignment="1">
      <alignment horizontal="right"/>
    </xf>
    <xf numFmtId="1" fontId="72" fillId="36" borderId="36" xfId="906" applyNumberFormat="1" applyFont="1" applyFill="1" applyBorder="1" applyAlignment="1">
      <alignment horizontal="right"/>
    </xf>
    <xf numFmtId="0" fontId="94" fillId="0" borderId="40" xfId="5" applyFont="1" applyBorder="1"/>
    <xf numFmtId="0" fontId="94" fillId="0" borderId="35" xfId="5" applyFont="1" applyBorder="1"/>
    <xf numFmtId="2" fontId="94" fillId="0" borderId="0" xfId="5" applyNumberFormat="1" applyFont="1"/>
    <xf numFmtId="166" fontId="104" fillId="0" borderId="5" xfId="907" applyNumberFormat="1" applyFont="1" applyFill="1" applyBorder="1" applyAlignment="1">
      <alignment horizontal="right"/>
    </xf>
    <xf numFmtId="166" fontId="104" fillId="0" borderId="0" xfId="907" applyNumberFormat="1" applyFont="1" applyFill="1" applyBorder="1" applyAlignment="1">
      <alignment horizontal="right"/>
    </xf>
    <xf numFmtId="166" fontId="104" fillId="0" borderId="3" xfId="907" applyNumberFormat="1" applyFont="1" applyFill="1" applyBorder="1" applyAlignment="1">
      <alignment horizontal="right"/>
    </xf>
    <xf numFmtId="166" fontId="72" fillId="0" borderId="3" xfId="907" applyNumberFormat="1" applyFont="1" applyFill="1" applyBorder="1" applyAlignment="1">
      <alignment horizontal="right"/>
    </xf>
    <xf numFmtId="0" fontId="96" fillId="0" borderId="5" xfId="5" applyFont="1" applyBorder="1"/>
    <xf numFmtId="0" fontId="96" fillId="0" borderId="3" xfId="5" applyFont="1" applyBorder="1"/>
    <xf numFmtId="0" fontId="72" fillId="0" borderId="39" xfId="5" applyFont="1" applyBorder="1"/>
    <xf numFmtId="209" fontId="2" fillId="0" borderId="0" xfId="5" applyNumberFormat="1" applyFont="1" applyFill="1"/>
    <xf numFmtId="209" fontId="2" fillId="0" borderId="0" xfId="5" applyNumberFormat="1" applyFont="1"/>
    <xf numFmtId="210" fontId="2" fillId="0" borderId="0" xfId="5" applyNumberFormat="1" applyFont="1" applyFill="1"/>
    <xf numFmtId="210" fontId="2" fillId="0" borderId="0" xfId="5" applyNumberFormat="1" applyFont="1"/>
    <xf numFmtId="0" fontId="2" fillId="0" borderId="4" xfId="5" applyFont="1" applyBorder="1"/>
    <xf numFmtId="0" fontId="105" fillId="0" borderId="0" xfId="907" applyNumberFormat="1" applyFont="1" applyFill="1" applyBorder="1" applyAlignment="1">
      <alignment horizontal="left"/>
    </xf>
    <xf numFmtId="0" fontId="106" fillId="0" borderId="0" xfId="5" applyFont="1" applyFill="1" applyAlignment="1">
      <alignment vertical="center"/>
    </xf>
    <xf numFmtId="175" fontId="107" fillId="0" borderId="0" xfId="560" applyNumberFormat="1" applyFont="1" applyFill="1" applyAlignment="1">
      <alignment vertical="center"/>
    </xf>
    <xf numFmtId="209" fontId="107" fillId="0" borderId="0" xfId="5" applyNumberFormat="1" applyFont="1" applyFill="1" applyAlignment="1">
      <alignment vertical="center"/>
    </xf>
    <xf numFmtId="0" fontId="2" fillId="0" borderId="0" xfId="5" applyFont="1" applyFill="1" applyBorder="1" applyAlignment="1">
      <alignment horizontal="left" wrapText="1" indent="2"/>
    </xf>
    <xf numFmtId="186" fontId="94" fillId="0" borderId="0" xfId="5" applyNumberFormat="1" applyFont="1" applyAlignment="1">
      <alignment horizontal="center"/>
    </xf>
    <xf numFmtId="0" fontId="97" fillId="0" borderId="0" xfId="5" applyFont="1" applyAlignment="1">
      <alignment horizontal="center"/>
    </xf>
    <xf numFmtId="169" fontId="94" fillId="0" borderId="0" xfId="5" applyNumberFormat="1" applyFont="1"/>
    <xf numFmtId="0" fontId="85" fillId="43" borderId="0" xfId="843" applyFont="1" applyFill="1" applyBorder="1"/>
    <xf numFmtId="220" fontId="85" fillId="43" borderId="4" xfId="905" applyNumberFormat="1" applyFont="1" applyFill="1" applyBorder="1"/>
    <xf numFmtId="219" fontId="94" fillId="0" borderId="0" xfId="681" applyNumberFormat="1" applyFont="1"/>
    <xf numFmtId="41" fontId="94" fillId="0" borderId="0" xfId="681" applyNumberFormat="1" applyFont="1"/>
    <xf numFmtId="0" fontId="104" fillId="43" borderId="55" xfId="843" applyFont="1" applyFill="1" applyBorder="1"/>
    <xf numFmtId="41" fontId="94" fillId="0" borderId="4" xfId="681" applyNumberFormat="1" applyFont="1" applyBorder="1"/>
    <xf numFmtId="0" fontId="94" fillId="0" borderId="4" xfId="5" applyFont="1" applyBorder="1"/>
    <xf numFmtId="0" fontId="108" fillId="46" borderId="0" xfId="843" applyFont="1" applyFill="1" applyBorder="1"/>
    <xf numFmtId="186" fontId="85" fillId="43" borderId="4" xfId="905" applyNumberFormat="1" applyFont="1" applyFill="1" applyBorder="1"/>
    <xf numFmtId="186" fontId="85" fillId="43" borderId="40" xfId="905" applyNumberFormat="1" applyFont="1" applyFill="1" applyBorder="1"/>
    <xf numFmtId="186" fontId="94" fillId="43" borderId="40" xfId="905" applyNumberFormat="1" applyFont="1" applyFill="1" applyBorder="1"/>
    <xf numFmtId="186" fontId="94" fillId="43" borderId="4" xfId="905" applyNumberFormat="1" applyFont="1" applyFill="1" applyBorder="1"/>
    <xf numFmtId="186" fontId="94" fillId="43" borderId="35" xfId="905" applyNumberFormat="1" applyFont="1" applyFill="1" applyBorder="1"/>
    <xf numFmtId="0" fontId="94" fillId="0" borderId="40" xfId="5" applyFont="1" applyFill="1" applyBorder="1"/>
    <xf numFmtId="0" fontId="94" fillId="0" borderId="35" xfId="5" applyFont="1" applyFill="1" applyBorder="1"/>
    <xf numFmtId="186" fontId="85" fillId="43" borderId="0" xfId="905" applyNumberFormat="1" applyFont="1" applyFill="1" applyBorder="1"/>
    <xf numFmtId="186" fontId="85" fillId="43" borderId="5" xfId="905" applyNumberFormat="1" applyFont="1" applyFill="1" applyBorder="1"/>
    <xf numFmtId="186" fontId="94" fillId="43" borderId="5" xfId="905" applyNumberFormat="1" applyFont="1" applyFill="1" applyBorder="1"/>
    <xf numFmtId="186" fontId="94" fillId="43" borderId="0" xfId="905" applyNumberFormat="1" applyFont="1" applyFill="1" applyBorder="1"/>
    <xf numFmtId="186" fontId="94" fillId="43" borderId="3" xfId="905" applyNumberFormat="1" applyFont="1" applyFill="1" applyBorder="1"/>
    <xf numFmtId="177" fontId="94" fillId="43" borderId="3" xfId="905" applyNumberFormat="1" applyFont="1" applyFill="1" applyBorder="1"/>
    <xf numFmtId="209" fontId="85" fillId="43" borderId="0" xfId="905" applyNumberFormat="1" applyFont="1" applyFill="1" applyBorder="1"/>
    <xf numFmtId="209" fontId="85" fillId="43" borderId="5" xfId="905" applyNumberFormat="1" applyFont="1" applyFill="1" applyBorder="1"/>
    <xf numFmtId="209" fontId="94" fillId="43" borderId="5" xfId="905" applyNumberFormat="1" applyFont="1" applyFill="1" applyBorder="1"/>
    <xf numFmtId="209" fontId="94" fillId="43" borderId="0" xfId="905" applyNumberFormat="1" applyFont="1" applyFill="1" applyBorder="1"/>
    <xf numFmtId="209" fontId="94" fillId="43" borderId="3" xfId="905" applyNumberFormat="1" applyFont="1" applyFill="1" applyBorder="1"/>
    <xf numFmtId="186" fontId="94" fillId="0" borderId="6" xfId="5" applyNumberFormat="1" applyFont="1" applyFill="1" applyBorder="1"/>
    <xf numFmtId="186" fontId="94" fillId="0" borderId="39" xfId="5" applyNumberFormat="1" applyFont="1" applyFill="1" applyBorder="1"/>
    <xf numFmtId="186" fontId="94" fillId="0" borderId="10" xfId="5" applyNumberFormat="1" applyFont="1" applyFill="1" applyBorder="1"/>
    <xf numFmtId="186" fontId="94" fillId="43" borderId="39" xfId="905" applyNumberFormat="1" applyFont="1" applyFill="1" applyBorder="1"/>
    <xf numFmtId="186" fontId="94" fillId="43" borderId="6" xfId="905" applyNumberFormat="1" applyFont="1" applyFill="1" applyBorder="1"/>
    <xf numFmtId="186" fontId="94" fillId="43" borderId="10" xfId="905" applyNumberFormat="1" applyFont="1" applyFill="1" applyBorder="1"/>
    <xf numFmtId="1" fontId="104" fillId="36" borderId="10" xfId="906" applyNumberFormat="1" applyFont="1" applyFill="1" applyBorder="1" applyAlignment="1">
      <alignment horizontal="right"/>
    </xf>
    <xf numFmtId="0" fontId="72" fillId="36" borderId="36" xfId="5" applyFont="1" applyFill="1" applyBorder="1" applyAlignment="1">
      <alignment horizontal="left"/>
    </xf>
    <xf numFmtId="0" fontId="72" fillId="36" borderId="37" xfId="5" applyFont="1" applyFill="1" applyBorder="1" applyAlignment="1">
      <alignment horizontal="left"/>
    </xf>
    <xf numFmtId="218" fontId="94" fillId="0" borderId="0" xfId="5" applyNumberFormat="1" applyFont="1" applyFill="1" applyBorder="1"/>
    <xf numFmtId="177" fontId="109" fillId="0" borderId="1" xfId="560" applyNumberFormat="1" applyFont="1" applyFill="1" applyBorder="1"/>
    <xf numFmtId="177" fontId="109" fillId="0" borderId="36" xfId="560" applyNumberFormat="1" applyFont="1" applyFill="1" applyBorder="1"/>
    <xf numFmtId="177" fontId="109" fillId="0" borderId="37" xfId="560" applyNumberFormat="1" applyFont="1" applyFill="1" applyBorder="1"/>
    <xf numFmtId="0" fontId="94" fillId="0" borderId="33" xfId="5" applyFont="1" applyFill="1" applyBorder="1"/>
    <xf numFmtId="177" fontId="109" fillId="0" borderId="1" xfId="560" applyNumberFormat="1" applyFont="1" applyFill="1" applyBorder="1" applyAlignment="1"/>
    <xf numFmtId="0" fontId="109" fillId="0" borderId="36" xfId="5" applyFont="1" applyFill="1" applyBorder="1"/>
    <xf numFmtId="0" fontId="109" fillId="0" borderId="37" xfId="5" applyFont="1" applyFill="1" applyBorder="1"/>
    <xf numFmtId="177" fontId="94" fillId="0" borderId="6" xfId="560" applyNumberFormat="1" applyFont="1" applyFill="1" applyBorder="1"/>
    <xf numFmtId="177" fontId="94" fillId="0" borderId="36" xfId="560" applyNumberFormat="1" applyFont="1" applyFill="1" applyBorder="1"/>
    <xf numFmtId="177" fontId="94" fillId="0" borderId="37" xfId="560" applyNumberFormat="1" applyFont="1" applyFill="1" applyBorder="1"/>
    <xf numFmtId="177" fontId="94" fillId="0" borderId="1" xfId="560" applyNumberFormat="1" applyFont="1" applyFill="1" applyBorder="1"/>
    <xf numFmtId="177" fontId="94" fillId="0" borderId="39" xfId="560" applyNumberFormat="1" applyFont="1" applyFill="1" applyBorder="1"/>
    <xf numFmtId="177" fontId="94" fillId="0" borderId="10" xfId="560" applyNumberFormat="1" applyFont="1" applyFill="1" applyBorder="1"/>
    <xf numFmtId="186" fontId="94" fillId="0" borderId="1" xfId="5" applyNumberFormat="1" applyFont="1" applyFill="1" applyBorder="1"/>
    <xf numFmtId="37" fontId="72" fillId="0" borderId="0" xfId="906" applyNumberFormat="1" applyFont="1" applyFill="1" applyBorder="1"/>
    <xf numFmtId="186" fontId="72" fillId="0" borderId="1" xfId="5" applyNumberFormat="1" applyFont="1" applyFill="1" applyBorder="1"/>
    <xf numFmtId="186" fontId="72" fillId="0" borderId="36" xfId="5" applyNumberFormat="1" applyFont="1" applyFill="1" applyBorder="1"/>
    <xf numFmtId="186" fontId="72" fillId="0" borderId="37" xfId="5" applyNumberFormat="1" applyFont="1" applyFill="1" applyBorder="1"/>
    <xf numFmtId="208" fontId="72" fillId="0" borderId="36" xfId="5" applyNumberFormat="1" applyFont="1" applyFill="1" applyBorder="1"/>
    <xf numFmtId="208" fontId="72" fillId="0" borderId="1" xfId="5" applyNumberFormat="1" applyFont="1" applyFill="1" applyBorder="1"/>
    <xf numFmtId="37" fontId="72" fillId="0" borderId="36" xfId="906" applyNumberFormat="1" applyFont="1" applyFill="1" applyBorder="1"/>
    <xf numFmtId="37" fontId="72" fillId="0" borderId="37" xfId="906" applyNumberFormat="1" applyFont="1" applyFill="1" applyBorder="1"/>
    <xf numFmtId="186" fontId="94" fillId="0" borderId="40" xfId="5" applyNumberFormat="1" applyFont="1" applyFill="1" applyBorder="1"/>
    <xf numFmtId="186" fontId="97" fillId="0" borderId="40" xfId="5" applyNumberFormat="1" applyFont="1" applyFill="1" applyBorder="1"/>
    <xf numFmtId="208" fontId="72" fillId="0" borderId="37" xfId="5" applyNumberFormat="1" applyFont="1" applyFill="1" applyBorder="1"/>
    <xf numFmtId="0" fontId="72" fillId="0" borderId="36" xfId="5" applyFont="1" applyFill="1" applyBorder="1" applyAlignment="1">
      <alignment horizontal="left" indent="1"/>
    </xf>
    <xf numFmtId="0" fontId="72" fillId="0" borderId="37" xfId="5" applyFont="1" applyFill="1" applyBorder="1" applyAlignment="1">
      <alignment horizontal="left" indent="1"/>
    </xf>
    <xf numFmtId="186" fontId="94" fillId="36" borderId="5" xfId="5" applyNumberFormat="1" applyFont="1" applyFill="1" applyBorder="1"/>
    <xf numFmtId="186" fontId="94" fillId="36" borderId="0" xfId="5" applyNumberFormat="1" applyFont="1" applyFill="1" applyBorder="1"/>
    <xf numFmtId="186" fontId="97" fillId="0" borderId="39" xfId="5" applyNumberFormat="1" applyFont="1" applyFill="1" applyBorder="1"/>
    <xf numFmtId="0" fontId="94" fillId="0" borderId="39" xfId="5" applyFont="1" applyFill="1" applyBorder="1" applyAlignment="1">
      <alignment horizontal="left"/>
    </xf>
    <xf numFmtId="0" fontId="94" fillId="0" borderId="10" xfId="5" applyFont="1" applyFill="1" applyBorder="1" applyAlignment="1">
      <alignment horizontal="left"/>
    </xf>
    <xf numFmtId="9" fontId="94" fillId="0" borderId="4" xfId="952" applyFont="1" applyFill="1" applyBorder="1"/>
    <xf numFmtId="9" fontId="94" fillId="0" borderId="6" xfId="952" applyFont="1" applyFill="1" applyBorder="1"/>
    <xf numFmtId="171" fontId="94" fillId="0" borderId="4" xfId="5" applyNumberFormat="1" applyFont="1" applyFill="1" applyBorder="1"/>
    <xf numFmtId="171" fontId="94" fillId="0" borderId="40" xfId="5" applyNumberFormat="1" applyFont="1" applyFill="1" applyBorder="1"/>
    <xf numFmtId="171" fontId="94" fillId="0" borderId="35" xfId="5" applyNumberFormat="1" applyFont="1" applyFill="1" applyBorder="1"/>
    <xf numFmtId="171" fontId="94" fillId="0" borderId="0" xfId="5" applyNumberFormat="1" applyFont="1" applyFill="1" applyBorder="1"/>
    <xf numFmtId="171" fontId="94" fillId="0" borderId="5" xfId="5" applyNumberFormat="1" applyFont="1" applyFill="1" applyBorder="1"/>
    <xf numFmtId="171" fontId="94" fillId="0" borderId="3" xfId="5" applyNumberFormat="1" applyFont="1" applyFill="1" applyBorder="1"/>
    <xf numFmtId="0" fontId="97" fillId="0" borderId="0" xfId="5" applyFont="1" applyFill="1" applyBorder="1"/>
    <xf numFmtId="0" fontId="97" fillId="0" borderId="5" xfId="5" applyFont="1" applyFill="1" applyBorder="1"/>
    <xf numFmtId="0" fontId="97" fillId="0" borderId="3" xfId="5" applyFont="1" applyFill="1" applyBorder="1"/>
    <xf numFmtId="167" fontId="96" fillId="0" borderId="33" xfId="952" applyNumberFormat="1" applyFont="1" applyBorder="1"/>
    <xf numFmtId="186" fontId="97" fillId="36" borderId="5" xfId="952" applyNumberFormat="1" applyFont="1" applyFill="1" applyBorder="1"/>
    <xf numFmtId="186" fontId="97" fillId="36" borderId="0" xfId="952" applyNumberFormat="1" applyFont="1" applyFill="1" applyBorder="1"/>
    <xf numFmtId="0" fontId="97" fillId="0" borderId="4" xfId="5" applyFont="1" applyFill="1" applyBorder="1"/>
    <xf numFmtId="37" fontId="97" fillId="0" borderId="4" xfId="5" applyNumberFormat="1" applyFont="1" applyFill="1" applyBorder="1"/>
    <xf numFmtId="37" fontId="97" fillId="0" borderId="0" xfId="5" applyNumberFormat="1" applyFont="1" applyFill="1" applyBorder="1"/>
    <xf numFmtId="217" fontId="97" fillId="0" borderId="0" xfId="5" applyNumberFormat="1" applyFont="1" applyFill="1" applyBorder="1"/>
    <xf numFmtId="43" fontId="97" fillId="0" borderId="6" xfId="5" applyNumberFormat="1" applyFont="1" applyFill="1" applyBorder="1"/>
    <xf numFmtId="43" fontId="97" fillId="0" borderId="0" xfId="5" applyNumberFormat="1" applyFont="1" applyFill="1" applyBorder="1"/>
    <xf numFmtId="217" fontId="97" fillId="0" borderId="6" xfId="5" applyNumberFormat="1" applyFont="1" applyFill="1" applyBorder="1"/>
    <xf numFmtId="37" fontId="97" fillId="0" borderId="1" xfId="5" applyNumberFormat="1" applyFont="1" applyFill="1" applyBorder="1"/>
    <xf numFmtId="0" fontId="94" fillId="0" borderId="1" xfId="5" applyFont="1" applyFill="1" applyBorder="1"/>
    <xf numFmtId="186" fontId="72" fillId="0" borderId="5" xfId="5" applyNumberFormat="1" applyFont="1" applyFill="1" applyBorder="1"/>
    <xf numFmtId="186" fontId="72" fillId="0" borderId="0" xfId="5" applyNumberFormat="1" applyFont="1" applyFill="1" applyBorder="1"/>
    <xf numFmtId="186" fontId="102" fillId="0" borderId="3" xfId="5" applyNumberFormat="1" applyFont="1" applyFill="1" applyBorder="1"/>
    <xf numFmtId="186" fontId="102" fillId="0" borderId="5" xfId="5" applyNumberFormat="1" applyFont="1" applyFill="1" applyBorder="1"/>
    <xf numFmtId="186" fontId="102" fillId="0" borderId="0" xfId="5" applyNumberFormat="1" applyFont="1" applyFill="1" applyBorder="1"/>
    <xf numFmtId="37" fontId="72" fillId="0" borderId="5" xfId="906" applyNumberFormat="1" applyFont="1" applyFill="1" applyBorder="1"/>
    <xf numFmtId="37" fontId="72" fillId="0" borderId="3" xfId="906" applyNumberFormat="1" applyFont="1" applyFill="1" applyBorder="1"/>
    <xf numFmtId="210" fontId="94" fillId="0" borderId="33" xfId="5" applyNumberFormat="1" applyFont="1" applyBorder="1"/>
    <xf numFmtId="186" fontId="72" fillId="0" borderId="39" xfId="5" applyNumberFormat="1" applyFont="1" applyFill="1" applyBorder="1"/>
    <xf numFmtId="186" fontId="72" fillId="0" borderId="6" xfId="5" applyNumberFormat="1" applyFont="1" applyFill="1" applyBorder="1"/>
    <xf numFmtId="186" fontId="72" fillId="0" borderId="10" xfId="5" applyNumberFormat="1" applyFont="1" applyFill="1" applyBorder="1"/>
    <xf numFmtId="189" fontId="72" fillId="0" borderId="5" xfId="906" applyNumberFormat="1" applyFont="1" applyFill="1" applyBorder="1" applyAlignment="1"/>
    <xf numFmtId="189" fontId="72" fillId="0" borderId="3" xfId="906" applyNumberFormat="1" applyFont="1" applyFill="1" applyBorder="1" applyAlignment="1"/>
    <xf numFmtId="186" fontId="103" fillId="0" borderId="0" xfId="5" applyNumberFormat="1" applyFont="1" applyFill="1" applyBorder="1"/>
    <xf numFmtId="186" fontId="103" fillId="0" borderId="5" xfId="5" applyNumberFormat="1" applyFont="1" applyFill="1" applyBorder="1"/>
    <xf numFmtId="189" fontId="72" fillId="0" borderId="5" xfId="906" applyFont="1" applyFill="1" applyBorder="1"/>
    <xf numFmtId="189" fontId="72" fillId="0" borderId="3" xfId="906" applyFont="1" applyFill="1" applyBorder="1"/>
    <xf numFmtId="189" fontId="72" fillId="0" borderId="36" xfId="906" applyFont="1" applyFill="1" applyBorder="1"/>
    <xf numFmtId="189" fontId="72" fillId="0" borderId="37" xfId="906" applyFont="1" applyFill="1" applyBorder="1"/>
    <xf numFmtId="186" fontId="97" fillId="0" borderId="5" xfId="560" applyNumberFormat="1" applyFont="1" applyFill="1" applyBorder="1"/>
    <xf numFmtId="186" fontId="97" fillId="0" borderId="0" xfId="560" applyNumberFormat="1" applyFont="1" applyFill="1" applyBorder="1"/>
    <xf numFmtId="186" fontId="97" fillId="0" borderId="3" xfId="560" applyNumberFormat="1" applyFont="1" applyFill="1" applyBorder="1"/>
    <xf numFmtId="0" fontId="97" fillId="0" borderId="6" xfId="5" applyFont="1" applyFill="1" applyBorder="1"/>
    <xf numFmtId="0" fontId="97" fillId="0" borderId="10" xfId="5" applyFont="1" applyFill="1" applyBorder="1"/>
    <xf numFmtId="166" fontId="104" fillId="0" borderId="36" xfId="907" applyNumberFormat="1" applyFont="1" applyFill="1" applyBorder="1" applyAlignment="1">
      <alignment horizontal="right"/>
    </xf>
    <xf numFmtId="166" fontId="104" fillId="0" borderId="1" xfId="907" applyNumberFormat="1" applyFont="1" applyFill="1" applyBorder="1" applyAlignment="1">
      <alignment horizontal="right"/>
    </xf>
    <xf numFmtId="166" fontId="104" fillId="0" borderId="37" xfId="907" applyNumberFormat="1" applyFont="1" applyFill="1" applyBorder="1" applyAlignment="1">
      <alignment horizontal="right"/>
    </xf>
    <xf numFmtId="43" fontId="2" fillId="0" borderId="0" xfId="5" applyNumberFormat="1" applyFont="1" applyFill="1"/>
    <xf numFmtId="37" fontId="2" fillId="0" borderId="0" xfId="5" applyNumberFormat="1" applyFont="1" applyFill="1" applyAlignment="1">
      <alignment horizontal="center"/>
    </xf>
    <xf numFmtId="0" fontId="2" fillId="0" borderId="0" xfId="5" applyFont="1" applyFill="1" applyBorder="1"/>
    <xf numFmtId="0" fontId="97" fillId="0" borderId="0" xfId="5" applyFont="1"/>
    <xf numFmtId="43" fontId="97" fillId="0" borderId="0" xfId="5" applyNumberFormat="1" applyFont="1"/>
    <xf numFmtId="43" fontId="2" fillId="0" borderId="0" xfId="5" applyNumberFormat="1" applyFont="1"/>
    <xf numFmtId="208" fontId="94" fillId="0" borderId="4" xfId="5" applyNumberFormat="1" applyFont="1" applyBorder="1"/>
    <xf numFmtId="221" fontId="94" fillId="0" borderId="4" xfId="5" applyNumberFormat="1" applyFont="1" applyBorder="1"/>
    <xf numFmtId="208" fontId="94" fillId="0" borderId="40" xfId="5" applyNumberFormat="1" applyFont="1" applyBorder="1"/>
    <xf numFmtId="208" fontId="94" fillId="0" borderId="6" xfId="5" applyNumberFormat="1" applyFont="1" applyBorder="1"/>
    <xf numFmtId="208" fontId="94" fillId="0" borderId="39" xfId="5" applyNumberFormat="1" applyFont="1" applyBorder="1"/>
    <xf numFmtId="208" fontId="94" fillId="0" borderId="0" xfId="5" applyNumberFormat="1" applyFont="1"/>
    <xf numFmtId="1" fontId="72" fillId="36" borderId="37" xfId="906" applyNumberFormat="1" applyFont="1" applyFill="1" applyBorder="1" applyAlignment="1">
      <alignment horizontal="right"/>
    </xf>
    <xf numFmtId="1" fontId="72" fillId="36" borderId="1" xfId="906" applyNumberFormat="1" applyFont="1" applyFill="1" applyBorder="1" applyAlignment="1">
      <alignment horizontal="right"/>
    </xf>
    <xf numFmtId="0" fontId="94" fillId="0" borderId="36" xfId="5" applyFont="1" applyFill="1" applyBorder="1"/>
    <xf numFmtId="177" fontId="94" fillId="0" borderId="0" xfId="560" applyNumberFormat="1" applyFont="1" applyBorder="1"/>
    <xf numFmtId="177" fontId="94" fillId="0" borderId="1" xfId="560" applyNumberFormat="1" applyFont="1" applyBorder="1"/>
    <xf numFmtId="167" fontId="96" fillId="0" borderId="4" xfId="952" applyNumberFormat="1" applyFont="1" applyFill="1" applyBorder="1"/>
    <xf numFmtId="167" fontId="96" fillId="0" borderId="4" xfId="952" applyNumberFormat="1" applyFont="1" applyBorder="1"/>
    <xf numFmtId="167" fontId="96" fillId="0" borderId="35" xfId="952" applyNumberFormat="1" applyFont="1" applyBorder="1"/>
    <xf numFmtId="167" fontId="96" fillId="0" borderId="40" xfId="952" applyNumberFormat="1" applyFont="1" applyBorder="1"/>
    <xf numFmtId="0" fontId="96" fillId="0" borderId="40" xfId="5" applyFont="1" applyBorder="1" applyAlignment="1">
      <alignment horizontal="left" indent="1"/>
    </xf>
    <xf numFmtId="0" fontId="96" fillId="0" borderId="35" xfId="5" applyFont="1" applyFill="1" applyBorder="1" applyAlignment="1">
      <alignment horizontal="left" indent="1"/>
    </xf>
    <xf numFmtId="177" fontId="85" fillId="0" borderId="6" xfId="560" applyNumberFormat="1" applyFont="1" applyFill="1" applyBorder="1"/>
    <xf numFmtId="177" fontId="94" fillId="0" borderId="5" xfId="560" applyNumberFormat="1" applyFont="1" applyBorder="1"/>
    <xf numFmtId="177" fontId="94" fillId="0" borderId="3" xfId="560" applyNumberFormat="1" applyFont="1" applyBorder="1"/>
    <xf numFmtId="0" fontId="103" fillId="0" borderId="0" xfId="5" applyFont="1"/>
    <xf numFmtId="177" fontId="97" fillId="0" borderId="0" xfId="5" applyNumberFormat="1" applyFont="1"/>
    <xf numFmtId="177" fontId="97" fillId="0" borderId="0" xfId="560" applyNumberFormat="1" applyFont="1" applyFill="1"/>
    <xf numFmtId="177" fontId="97" fillId="0" borderId="0" xfId="560" applyNumberFormat="1" applyFont="1"/>
    <xf numFmtId="167" fontId="96" fillId="0" borderId="0" xfId="952" applyNumberFormat="1" applyFont="1" applyFill="1"/>
    <xf numFmtId="167" fontId="97" fillId="0" borderId="0" xfId="5" applyNumberFormat="1" applyFont="1"/>
    <xf numFmtId="177" fontId="72" fillId="0" borderId="1" xfId="560" applyNumberFormat="1" applyFont="1" applyBorder="1"/>
    <xf numFmtId="177" fontId="72" fillId="0" borderId="36" xfId="560" applyNumberFormat="1" applyFont="1" applyBorder="1"/>
    <xf numFmtId="0" fontId="72" fillId="0" borderId="40" xfId="5" applyFont="1" applyBorder="1"/>
    <xf numFmtId="0" fontId="72" fillId="0" borderId="35" xfId="5" applyFont="1" applyFill="1" applyBorder="1"/>
    <xf numFmtId="177" fontId="94" fillId="0" borderId="4" xfId="560" applyNumberFormat="1" applyFont="1" applyFill="1" applyBorder="1"/>
    <xf numFmtId="177" fontId="94" fillId="0" borderId="40" xfId="560" applyNumberFormat="1" applyFont="1" applyFill="1" applyBorder="1"/>
    <xf numFmtId="177" fontId="94" fillId="0" borderId="5" xfId="560" applyNumberFormat="1" applyFont="1" applyFill="1" applyBorder="1"/>
    <xf numFmtId="177" fontId="94" fillId="0" borderId="0" xfId="560" applyNumberFormat="1" applyFont="1" applyFill="1" applyBorder="1"/>
    <xf numFmtId="177" fontId="94" fillId="0" borderId="3" xfId="560" applyNumberFormat="1" applyFont="1" applyFill="1" applyBorder="1"/>
    <xf numFmtId="177" fontId="97" fillId="0" borderId="0" xfId="560" applyNumberFormat="1" applyFont="1" applyFill="1" applyBorder="1"/>
    <xf numFmtId="177" fontId="85" fillId="0" borderId="4" xfId="560" applyNumberFormat="1" applyFont="1" applyFill="1" applyBorder="1"/>
    <xf numFmtId="167" fontId="96" fillId="0" borderId="0" xfId="952" applyNumberFormat="1" applyFont="1" applyBorder="1"/>
    <xf numFmtId="0" fontId="96" fillId="0" borderId="5" xfId="5" applyFont="1" applyBorder="1" applyAlignment="1">
      <alignment horizontal="left" indent="1"/>
    </xf>
    <xf numFmtId="177" fontId="97" fillId="0" borderId="5" xfId="560" applyNumberFormat="1" applyFont="1" applyFill="1" applyBorder="1"/>
    <xf numFmtId="177" fontId="97" fillId="0" borderId="5" xfId="560" applyNumberFormat="1" applyFont="1" applyBorder="1"/>
    <xf numFmtId="177" fontId="94" fillId="0" borderId="0" xfId="560" applyNumberFormat="1" applyFont="1" applyFill="1"/>
    <xf numFmtId="37" fontId="102" fillId="0" borderId="0" xfId="5" applyNumberFormat="1" applyFont="1" applyFill="1" applyBorder="1"/>
    <xf numFmtId="0" fontId="96" fillId="0" borderId="0" xfId="5" applyFont="1" applyFill="1" applyBorder="1"/>
    <xf numFmtId="177" fontId="109" fillId="0" borderId="4" xfId="560" applyNumberFormat="1" applyFont="1" applyFill="1" applyBorder="1"/>
    <xf numFmtId="208" fontId="72" fillId="0" borderId="6" xfId="5" applyNumberFormat="1" applyFont="1" applyFill="1" applyBorder="1"/>
    <xf numFmtId="208" fontId="72" fillId="0" borderId="0" xfId="5" applyNumberFormat="1" applyFont="1" applyFill="1" applyBorder="1"/>
    <xf numFmtId="208" fontId="72" fillId="0" borderId="5" xfId="5" applyNumberFormat="1" applyFont="1" applyFill="1" applyBorder="1"/>
    <xf numFmtId="0" fontId="72" fillId="0" borderId="0" xfId="5" applyFont="1" applyFill="1" applyBorder="1" applyAlignment="1">
      <alignment horizontal="left"/>
    </xf>
    <xf numFmtId="208" fontId="72" fillId="0" borderId="4" xfId="5" applyNumberFormat="1" applyFont="1" applyFill="1" applyBorder="1"/>
    <xf numFmtId="208" fontId="72" fillId="0" borderId="40" xfId="5" applyNumberFormat="1" applyFont="1" applyFill="1" applyBorder="1"/>
    <xf numFmtId="208" fontId="72" fillId="0" borderId="35" xfId="5" applyNumberFormat="1" applyFont="1" applyFill="1" applyBorder="1"/>
    <xf numFmtId="0" fontId="72" fillId="0" borderId="40" xfId="5" applyFont="1" applyFill="1" applyBorder="1" applyAlignment="1">
      <alignment horizontal="left"/>
    </xf>
    <xf numFmtId="0" fontId="72" fillId="0" borderId="35" xfId="5" applyFont="1" applyFill="1" applyBorder="1" applyAlignment="1">
      <alignment horizontal="left"/>
    </xf>
    <xf numFmtId="208" fontId="72" fillId="0" borderId="3" xfId="5" applyNumberFormat="1" applyFont="1" applyFill="1" applyBorder="1"/>
    <xf numFmtId="0" fontId="72" fillId="0" borderId="5" xfId="5" applyFont="1" applyFill="1" applyBorder="1" applyAlignment="1">
      <alignment horizontal="left"/>
    </xf>
    <xf numFmtId="0" fontId="72" fillId="0" borderId="3" xfId="5" applyFont="1" applyFill="1" applyBorder="1" applyAlignment="1">
      <alignment horizontal="left"/>
    </xf>
    <xf numFmtId="208" fontId="94" fillId="0" borderId="0" xfId="5" applyNumberFormat="1" applyFont="1" applyFill="1" applyBorder="1"/>
    <xf numFmtId="208" fontId="97" fillId="0" borderId="5" xfId="5" applyNumberFormat="1" applyFont="1" applyFill="1" applyBorder="1"/>
    <xf numFmtId="208" fontId="97" fillId="0" borderId="3" xfId="5" applyNumberFormat="1" applyFont="1" applyFill="1" applyBorder="1"/>
    <xf numFmtId="208" fontId="97" fillId="0" borderId="0" xfId="5" applyNumberFormat="1" applyFont="1" applyFill="1" applyBorder="1"/>
    <xf numFmtId="208" fontId="94" fillId="0" borderId="3" xfId="5" applyNumberFormat="1" applyFont="1" applyFill="1" applyBorder="1"/>
    <xf numFmtId="208" fontId="94" fillId="0" borderId="5" xfId="5" applyNumberFormat="1" applyFont="1" applyFill="1" applyBorder="1"/>
    <xf numFmtId="208" fontId="102" fillId="0" borderId="0" xfId="5" applyNumberFormat="1" applyFont="1" applyFill="1" applyBorder="1"/>
    <xf numFmtId="208" fontId="102" fillId="0" borderId="5" xfId="5" applyNumberFormat="1" applyFont="1" applyFill="1" applyBorder="1"/>
    <xf numFmtId="208" fontId="102" fillId="0" borderId="3" xfId="5" applyNumberFormat="1" applyFont="1" applyFill="1" applyBorder="1"/>
    <xf numFmtId="208" fontId="72" fillId="0" borderId="51" xfId="5" applyNumberFormat="1" applyFont="1" applyFill="1" applyBorder="1"/>
    <xf numFmtId="208" fontId="72" fillId="0" borderId="52" xfId="5" applyNumberFormat="1" applyFont="1" applyFill="1" applyBorder="1"/>
    <xf numFmtId="208" fontId="72" fillId="0" borderId="53" xfId="5" applyNumberFormat="1" applyFont="1" applyFill="1" applyBorder="1"/>
    <xf numFmtId="0" fontId="72" fillId="0" borderId="52" xfId="5" applyFont="1" applyFill="1" applyBorder="1" applyAlignment="1">
      <alignment horizontal="left"/>
    </xf>
    <xf numFmtId="0" fontId="72" fillId="0" borderId="53" xfId="5" applyFont="1" applyFill="1" applyBorder="1" applyAlignment="1">
      <alignment horizontal="left"/>
    </xf>
    <xf numFmtId="208" fontId="103" fillId="0" borderId="0" xfId="5" applyNumberFormat="1" applyFont="1" applyFill="1" applyBorder="1"/>
    <xf numFmtId="41" fontId="97" fillId="0" borderId="0" xfId="5" applyNumberFormat="1" applyFont="1" applyFill="1" applyBorder="1"/>
    <xf numFmtId="41" fontId="97" fillId="0" borderId="5" xfId="5" applyNumberFormat="1" applyFont="1" applyFill="1" applyBorder="1"/>
    <xf numFmtId="41" fontId="97" fillId="0" borderId="3" xfId="5" applyNumberFormat="1" applyFont="1" applyFill="1" applyBorder="1"/>
    <xf numFmtId="0" fontId="94" fillId="0" borderId="5" xfId="5" applyFont="1" applyFill="1" applyBorder="1" applyAlignment="1">
      <alignment horizontal="left" wrapText="1" indent="1"/>
    </xf>
    <xf numFmtId="0" fontId="94" fillId="0" borderId="3" xfId="5" applyFont="1" applyFill="1" applyBorder="1" applyAlignment="1">
      <alignment horizontal="left" wrapText="1" indent="1"/>
    </xf>
    <xf numFmtId="37" fontId="94" fillId="0" borderId="6" xfId="5" applyNumberFormat="1" applyFont="1" applyFill="1" applyBorder="1"/>
    <xf numFmtId="37" fontId="94" fillId="0" borderId="39" xfId="5" applyNumberFormat="1" applyFont="1" applyFill="1" applyBorder="1"/>
    <xf numFmtId="37" fontId="94" fillId="0" borderId="0" xfId="5" applyNumberFormat="1" applyFont="1" applyFill="1" applyBorder="1"/>
    <xf numFmtId="37" fontId="94" fillId="0" borderId="5" xfId="5" applyNumberFormat="1" applyFont="1" applyFill="1" applyBorder="1"/>
    <xf numFmtId="37" fontId="94" fillId="0" borderId="3" xfId="5" applyNumberFormat="1" applyFont="1" applyFill="1" applyBorder="1"/>
    <xf numFmtId="0" fontId="72" fillId="0" borderId="10" xfId="5" applyFont="1" applyFill="1" applyBorder="1"/>
    <xf numFmtId="0" fontId="96" fillId="0" borderId="40" xfId="5" applyFont="1" applyBorder="1"/>
    <xf numFmtId="177" fontId="94" fillId="0" borderId="0" xfId="5" applyNumberFormat="1" applyFont="1"/>
    <xf numFmtId="1" fontId="9" fillId="43" borderId="0" xfId="0" applyNumberFormat="1" applyFont="1" applyFill="1" applyBorder="1" applyAlignment="1">
      <alignment horizontal="center"/>
    </xf>
    <xf numFmtId="1" fontId="9" fillId="43" borderId="32" xfId="0" applyNumberFormat="1" applyFont="1" applyFill="1" applyBorder="1" applyAlignment="1">
      <alignment horizontal="center"/>
    </xf>
    <xf numFmtId="1" fontId="9" fillId="44" borderId="0" xfId="0" applyNumberFormat="1" applyFont="1" applyFill="1" applyBorder="1" applyAlignment="1">
      <alignment horizontal="center"/>
    </xf>
    <xf numFmtId="1" fontId="9" fillId="44" borderId="32" xfId="0" applyNumberFormat="1" applyFont="1" applyFill="1" applyBorder="1" applyAlignment="1">
      <alignment horizontal="center"/>
    </xf>
    <xf numFmtId="171" fontId="175" fillId="0" borderId="50" xfId="895" applyNumberFormat="1" applyFont="1" applyBorder="1" applyAlignment="1">
      <alignment horizontal="right"/>
    </xf>
    <xf numFmtId="171" fontId="175" fillId="0" borderId="32" xfId="895" applyNumberFormat="1" applyFont="1" applyBorder="1" applyAlignment="1">
      <alignment horizontal="right"/>
    </xf>
    <xf numFmtId="164" fontId="3" fillId="0" borderId="0" xfId="527" applyNumberFormat="1" applyFont="1" applyBorder="1" applyAlignment="1">
      <alignment horizontal="right"/>
    </xf>
    <xf numFmtId="164" fontId="3" fillId="0" borderId="32" xfId="527" applyNumberFormat="1" applyFont="1" applyBorder="1" applyAlignment="1">
      <alignment horizontal="right"/>
    </xf>
    <xf numFmtId="164" fontId="3" fillId="0" borderId="0" xfId="527" applyNumberFormat="1" applyFont="1" applyFill="1" applyBorder="1" applyAlignment="1">
      <alignment horizontal="right"/>
    </xf>
    <xf numFmtId="164" fontId="3" fillId="0" borderId="32" xfId="527" applyNumberFormat="1" applyFont="1" applyFill="1" applyBorder="1" applyAlignment="1">
      <alignment horizontal="right"/>
    </xf>
    <xf numFmtId="169" fontId="3" fillId="0" borderId="0" xfId="895" applyNumberFormat="1" applyFont="1" applyBorder="1"/>
    <xf numFmtId="215" fontId="97" fillId="0" borderId="6" xfId="5" applyNumberFormat="1" applyFont="1" applyFill="1" applyBorder="1"/>
    <xf numFmtId="186" fontId="183" fillId="36" borderId="0" xfId="5" applyNumberFormat="1" applyFont="1" applyFill="1" applyBorder="1" applyAlignment="1"/>
    <xf numFmtId="186" fontId="183" fillId="36" borderId="5" xfId="5" applyNumberFormat="1" applyFont="1" applyFill="1" applyBorder="1" applyAlignment="1"/>
    <xf numFmtId="44" fontId="2" fillId="0" borderId="0" xfId="5" applyNumberFormat="1" applyFont="1"/>
    <xf numFmtId="0" fontId="4" fillId="0" borderId="47" xfId="5" applyFont="1" applyFill="1" applyBorder="1"/>
    <xf numFmtId="0" fontId="4" fillId="0" borderId="47" xfId="5" applyFont="1" applyBorder="1"/>
    <xf numFmtId="187" fontId="94" fillId="0" borderId="10" xfId="5" applyNumberFormat="1" applyFont="1" applyFill="1" applyBorder="1"/>
    <xf numFmtId="167" fontId="98" fillId="0" borderId="3" xfId="952" applyNumberFormat="1" applyFont="1" applyFill="1" applyBorder="1"/>
    <xf numFmtId="215" fontId="72" fillId="0" borderId="35" xfId="5" applyNumberFormat="1" applyFont="1" applyFill="1" applyBorder="1"/>
    <xf numFmtId="216" fontId="96" fillId="0" borderId="35" xfId="5" applyNumberFormat="1" applyFont="1" applyFill="1" applyBorder="1"/>
    <xf numFmtId="177" fontId="85" fillId="0" borderId="40" xfId="560" applyNumberFormat="1" applyFont="1" applyFill="1" applyBorder="1"/>
    <xf numFmtId="215" fontId="97" fillId="0" borderId="0" xfId="5" applyNumberFormat="1" applyFont="1" applyFill="1" applyBorder="1"/>
    <xf numFmtId="9" fontId="97" fillId="0" borderId="0" xfId="938" applyFont="1" applyFill="1" applyBorder="1"/>
    <xf numFmtId="9" fontId="94" fillId="0" borderId="0" xfId="938" applyFont="1"/>
    <xf numFmtId="186" fontId="181" fillId="36" borderId="5" xfId="5" applyNumberFormat="1" applyFont="1" applyFill="1" applyBorder="1" applyAlignment="1"/>
    <xf numFmtId="0" fontId="72" fillId="0" borderId="40" xfId="5" applyFont="1" applyFill="1" applyBorder="1"/>
    <xf numFmtId="215" fontId="72" fillId="0" borderId="4" xfId="5" applyNumberFormat="1" applyFont="1" applyFill="1" applyBorder="1"/>
    <xf numFmtId="215" fontId="72" fillId="0" borderId="40" xfId="5" applyNumberFormat="1" applyFont="1" applyFill="1" applyBorder="1"/>
    <xf numFmtId="0" fontId="96" fillId="0" borderId="35" xfId="5" applyFont="1" applyBorder="1"/>
    <xf numFmtId="43" fontId="94" fillId="43" borderId="5" xfId="905" applyNumberFormat="1" applyFont="1" applyFill="1" applyBorder="1"/>
    <xf numFmtId="166" fontId="104" fillId="50" borderId="37" xfId="907" applyNumberFormat="1" applyFont="1" applyFill="1" applyBorder="1" applyAlignment="1">
      <alignment horizontal="right"/>
    </xf>
    <xf numFmtId="166" fontId="104" fillId="50" borderId="1" xfId="907" applyNumberFormat="1" applyFont="1" applyFill="1" applyBorder="1" applyAlignment="1">
      <alignment horizontal="right"/>
    </xf>
    <xf numFmtId="1" fontId="104" fillId="50" borderId="37" xfId="906" applyNumberFormat="1" applyFont="1" applyFill="1" applyBorder="1" applyAlignment="1">
      <alignment horizontal="right"/>
    </xf>
    <xf numFmtId="1" fontId="104" fillId="50" borderId="1" xfId="906" applyNumberFormat="1" applyFont="1" applyFill="1" applyBorder="1" applyAlignment="1">
      <alignment horizontal="right"/>
    </xf>
    <xf numFmtId="166" fontId="104" fillId="51" borderId="37" xfId="907" applyNumberFormat="1" applyFont="1" applyFill="1" applyBorder="1" applyAlignment="1">
      <alignment horizontal="right"/>
    </xf>
    <xf numFmtId="166" fontId="104" fillId="51" borderId="1" xfId="907" applyNumberFormat="1" applyFont="1" applyFill="1" applyBorder="1" applyAlignment="1">
      <alignment horizontal="right"/>
    </xf>
    <xf numFmtId="1" fontId="104" fillId="51" borderId="37" xfId="906" applyNumberFormat="1" applyFont="1" applyFill="1" applyBorder="1" applyAlignment="1">
      <alignment horizontal="right"/>
    </xf>
    <xf numFmtId="1" fontId="104" fillId="51" borderId="1" xfId="906" applyNumberFormat="1" applyFont="1" applyFill="1" applyBorder="1" applyAlignment="1">
      <alignment horizontal="right"/>
    </xf>
    <xf numFmtId="0" fontId="184" fillId="52" borderId="0" xfId="895" applyFont="1" applyFill="1" applyBorder="1"/>
    <xf numFmtId="44" fontId="94" fillId="0" borderId="0" xfId="681" applyNumberFormat="1" applyFont="1"/>
    <xf numFmtId="167" fontId="94" fillId="0" borderId="3" xfId="952" applyNumberFormat="1" applyFont="1" applyFill="1" applyBorder="1"/>
    <xf numFmtId="212" fontId="97" fillId="0" borderId="3" xfId="5" applyNumberFormat="1" applyFont="1" applyFill="1" applyBorder="1"/>
    <xf numFmtId="187" fontId="94" fillId="0" borderId="6" xfId="5" applyNumberFormat="1" applyFont="1" applyFill="1" applyBorder="1"/>
    <xf numFmtId="187" fontId="94" fillId="0" borderId="39" xfId="5" applyNumberFormat="1" applyFont="1" applyFill="1" applyBorder="1"/>
    <xf numFmtId="1" fontId="9" fillId="44" borderId="38" xfId="0" applyNumberFormat="1" applyFont="1" applyFill="1" applyBorder="1" applyAlignment="1">
      <alignment horizontal="center"/>
    </xf>
    <xf numFmtId="0" fontId="9" fillId="0" borderId="46" xfId="0" applyFont="1" applyFill="1" applyBorder="1" applyAlignment="1">
      <alignment horizontal="center"/>
    </xf>
    <xf numFmtId="0" fontId="9" fillId="0" borderId="47" xfId="0" applyFont="1" applyFill="1" applyBorder="1" applyAlignment="1">
      <alignment horizontal="center"/>
    </xf>
    <xf numFmtId="0" fontId="9" fillId="0" borderId="48" xfId="0" applyFont="1" applyFill="1" applyBorder="1" applyAlignment="1">
      <alignment horizontal="center"/>
    </xf>
    <xf numFmtId="177" fontId="94" fillId="0" borderId="4" xfId="560" applyNumberFormat="1" applyFont="1" applyBorder="1"/>
    <xf numFmtId="164" fontId="3" fillId="0" borderId="0" xfId="5" applyNumberFormat="1" applyFont="1" applyBorder="1"/>
    <xf numFmtId="0" fontId="3" fillId="0" borderId="0" xfId="5" applyFont="1" applyBorder="1"/>
    <xf numFmtId="186" fontId="94" fillId="0" borderId="3" xfId="5" applyNumberFormat="1" applyFont="1" applyFill="1" applyBorder="1"/>
    <xf numFmtId="186" fontId="94" fillId="0" borderId="0" xfId="5" applyNumberFormat="1" applyFont="1" applyFill="1" applyBorder="1"/>
    <xf numFmtId="186" fontId="94" fillId="0" borderId="5" xfId="5" applyNumberFormat="1" applyFont="1" applyFill="1" applyBorder="1" applyAlignment="1"/>
    <xf numFmtId="169" fontId="3" fillId="0" borderId="0" xfId="5" applyNumberFormat="1" applyFont="1" applyBorder="1"/>
    <xf numFmtId="208" fontId="94" fillId="0" borderId="35" xfId="5" applyNumberFormat="1" applyFont="1" applyFill="1" applyBorder="1"/>
    <xf numFmtId="9" fontId="179" fillId="0" borderId="0" xfId="938" applyFont="1" applyFill="1" applyBorder="1" applyAlignment="1">
      <alignment horizontal="right"/>
    </xf>
    <xf numFmtId="9" fontId="179" fillId="0" borderId="32" xfId="938" applyFont="1" applyFill="1" applyBorder="1" applyAlignment="1">
      <alignment horizontal="right"/>
    </xf>
    <xf numFmtId="186" fontId="94" fillId="0" borderId="3" xfId="5" applyNumberFormat="1" applyFont="1" applyFill="1" applyBorder="1" applyAlignment="1">
      <alignment horizontal="center"/>
    </xf>
    <xf numFmtId="167" fontId="3" fillId="0" borderId="0" xfId="938" applyNumberFormat="1" applyFont="1" applyFill="1" applyBorder="1" applyAlignment="1">
      <alignment horizontal="right"/>
    </xf>
    <xf numFmtId="216" fontId="96" fillId="0" borderId="4" xfId="5" applyNumberFormat="1" applyFont="1" applyFill="1" applyBorder="1" applyAlignment="1">
      <alignment horizontal="center"/>
    </xf>
    <xf numFmtId="216" fontId="96" fillId="0" borderId="40" xfId="5" applyNumberFormat="1" applyFont="1" applyFill="1" applyBorder="1" applyAlignment="1">
      <alignment horizontal="center"/>
    </xf>
    <xf numFmtId="167" fontId="97" fillId="0" borderId="3" xfId="952" applyNumberFormat="1" applyFont="1" applyFill="1" applyBorder="1" applyAlignment="1"/>
    <xf numFmtId="167" fontId="97" fillId="0" borderId="0" xfId="938" applyNumberFormat="1" applyFont="1" applyFill="1" applyBorder="1"/>
    <xf numFmtId="215" fontId="94" fillId="0" borderId="0" xfId="5" applyNumberFormat="1" applyFont="1"/>
    <xf numFmtId="49" fontId="0" fillId="0" borderId="0" xfId="0" applyNumberFormat="1"/>
    <xf numFmtId="186" fontId="94" fillId="0" borderId="0" xfId="5" applyNumberFormat="1" applyFont="1" applyFill="1" applyBorder="1" applyAlignment="1"/>
    <xf numFmtId="186" fontId="94" fillId="0" borderId="5" xfId="5" applyNumberFormat="1" applyFont="1" applyFill="1" applyBorder="1" applyAlignment="1"/>
    <xf numFmtId="211" fontId="97" fillId="0" borderId="0" xfId="5" applyNumberFormat="1" applyFont="1" applyFill="1" applyBorder="1"/>
    <xf numFmtId="167" fontId="96" fillId="0" borderId="0" xfId="952" applyNumberFormat="1" applyFont="1" applyFill="1" applyBorder="1"/>
    <xf numFmtId="167" fontId="96" fillId="0" borderId="0" xfId="952" applyNumberFormat="1" applyFont="1" applyFill="1" applyBorder="1" applyAlignment="1"/>
    <xf numFmtId="167" fontId="96" fillId="0" borderId="5" xfId="952" applyNumberFormat="1" applyFont="1" applyFill="1" applyBorder="1" applyAlignment="1"/>
    <xf numFmtId="167" fontId="96" fillId="0" borderId="5" xfId="952" applyNumberFormat="1" applyFont="1" applyFill="1" applyBorder="1"/>
    <xf numFmtId="215" fontId="94" fillId="0" borderId="0" xfId="5" applyNumberFormat="1" applyFont="1" applyFill="1" applyBorder="1"/>
    <xf numFmtId="215" fontId="94" fillId="0" borderId="5" xfId="5" applyNumberFormat="1" applyFont="1" applyFill="1" applyBorder="1"/>
    <xf numFmtId="215" fontId="94" fillId="0" borderId="3" xfId="5" applyNumberFormat="1" applyFont="1" applyFill="1" applyBorder="1"/>
    <xf numFmtId="167" fontId="98" fillId="0" borderId="0" xfId="952" applyNumberFormat="1" applyFont="1" applyFill="1" applyBorder="1" applyAlignment="1"/>
    <xf numFmtId="186" fontId="72" fillId="0" borderId="0" xfId="5" applyNumberFormat="1" applyFont="1" applyFill="1" applyBorder="1" applyAlignment="1"/>
    <xf numFmtId="186" fontId="72" fillId="0" borderId="5" xfId="5" applyNumberFormat="1" applyFont="1" applyFill="1" applyBorder="1" applyAlignment="1"/>
    <xf numFmtId="167" fontId="96" fillId="0" borderId="3" xfId="952" applyNumberFormat="1" applyFont="1" applyFill="1" applyBorder="1" applyAlignment="1"/>
    <xf numFmtId="211" fontId="97" fillId="0" borderId="0" xfId="5" applyNumberFormat="1" applyFont="1" applyFill="1" applyBorder="1" applyAlignment="1"/>
    <xf numFmtId="211" fontId="97" fillId="0" borderId="5" xfId="5" applyNumberFormat="1" applyFont="1" applyFill="1" applyBorder="1" applyAlignment="1"/>
    <xf numFmtId="167" fontId="98" fillId="36" borderId="5" xfId="952" applyNumberFormat="1" applyFont="1" applyFill="1" applyBorder="1" applyAlignment="1"/>
    <xf numFmtId="167" fontId="98" fillId="36" borderId="0" xfId="952" applyNumberFormat="1" applyFont="1" applyFill="1" applyBorder="1" applyAlignment="1"/>
    <xf numFmtId="167" fontId="97" fillId="0" borderId="0" xfId="952" applyNumberFormat="1" applyFont="1" applyFill="1" applyBorder="1" applyAlignment="1"/>
    <xf numFmtId="9" fontId="97" fillId="0" borderId="0" xfId="5" applyNumberFormat="1" applyFont="1" applyFill="1" applyBorder="1"/>
    <xf numFmtId="167" fontId="96" fillId="0" borderId="3" xfId="952" applyNumberFormat="1" applyFont="1" applyFill="1" applyBorder="1"/>
    <xf numFmtId="209" fontId="94" fillId="0" borderId="0" xfId="5" applyNumberFormat="1" applyFont="1" applyFill="1" applyBorder="1" applyAlignment="1"/>
    <xf numFmtId="209" fontId="94" fillId="0" borderId="5" xfId="5" applyNumberFormat="1" applyFont="1" applyFill="1" applyBorder="1" applyAlignment="1"/>
    <xf numFmtId="1" fontId="104" fillId="36" borderId="11" xfId="906" applyNumberFormat="1" applyFont="1" applyFill="1" applyBorder="1" applyAlignment="1">
      <alignment horizontal="right"/>
    </xf>
    <xf numFmtId="215" fontId="72" fillId="0" borderId="35" xfId="5" applyNumberFormat="1" applyFont="1" applyFill="1" applyBorder="1"/>
    <xf numFmtId="215" fontId="72" fillId="0" borderId="4" xfId="5" applyNumberFormat="1" applyFont="1" applyFill="1" applyBorder="1"/>
    <xf numFmtId="215" fontId="72" fillId="0" borderId="40" xfId="5" applyNumberFormat="1" applyFont="1" applyFill="1" applyBorder="1"/>
    <xf numFmtId="209" fontId="94" fillId="0" borderId="6" xfId="5" applyNumberFormat="1" applyFont="1" applyFill="1" applyBorder="1" applyAlignment="1"/>
    <xf numFmtId="167" fontId="182" fillId="0" borderId="3" xfId="938" applyNumberFormat="1" applyFont="1" applyFill="1" applyBorder="1" applyAlignment="1"/>
    <xf numFmtId="167" fontId="182" fillId="0" borderId="0" xfId="938" applyNumberFormat="1" applyFont="1" applyFill="1" applyBorder="1" applyAlignment="1"/>
    <xf numFmtId="187" fontId="94" fillId="36" borderId="3" xfId="5" applyNumberFormat="1" applyFont="1" applyFill="1" applyBorder="1"/>
    <xf numFmtId="216" fontId="96" fillId="0" borderId="35" xfId="5" applyNumberFormat="1" applyFont="1" applyFill="1" applyBorder="1" applyAlignment="1">
      <alignment horizontal="center"/>
    </xf>
    <xf numFmtId="167" fontId="2" fillId="0" borderId="0" xfId="938" applyNumberFormat="1" applyFont="1"/>
    <xf numFmtId="0" fontId="94" fillId="0" borderId="0" xfId="5" applyFont="1"/>
    <xf numFmtId="0" fontId="94" fillId="0" borderId="0" xfId="5" applyFont="1" applyBorder="1"/>
    <xf numFmtId="186" fontId="94" fillId="0" borderId="0" xfId="5" applyNumberFormat="1" applyFont="1" applyFill="1" applyBorder="1" applyAlignment="1"/>
    <xf numFmtId="186" fontId="94" fillId="0" borderId="3" xfId="5" applyNumberFormat="1" applyFont="1" applyFill="1" applyBorder="1"/>
    <xf numFmtId="186" fontId="94" fillId="0" borderId="0" xfId="5" applyNumberFormat="1" applyFont="1" applyFill="1" applyBorder="1"/>
    <xf numFmtId="186" fontId="94" fillId="0" borderId="5" xfId="5" applyNumberFormat="1" applyFont="1" applyFill="1" applyBorder="1" applyAlignment="1"/>
    <xf numFmtId="211" fontId="94" fillId="0" borderId="0" xfId="5" applyNumberFormat="1" applyFont="1" applyFill="1" applyBorder="1"/>
    <xf numFmtId="211" fontId="94" fillId="0" borderId="3" xfId="5" applyNumberFormat="1" applyFont="1" applyFill="1" applyBorder="1"/>
    <xf numFmtId="211" fontId="97" fillId="0" borderId="0" xfId="5" applyNumberFormat="1" applyFont="1" applyFill="1" applyBorder="1"/>
    <xf numFmtId="211" fontId="97" fillId="0" borderId="5" xfId="5" applyNumberFormat="1" applyFont="1" applyFill="1" applyBorder="1"/>
    <xf numFmtId="211" fontId="97" fillId="0" borderId="3" xfId="5" applyNumberFormat="1" applyFont="1" applyFill="1" applyBorder="1"/>
    <xf numFmtId="186" fontId="97" fillId="0" borderId="3" xfId="5" applyNumberFormat="1" applyFont="1" applyFill="1" applyBorder="1" applyAlignment="1">
      <alignment horizontal="center"/>
    </xf>
    <xf numFmtId="186" fontId="97" fillId="0" borderId="0" xfId="5" applyNumberFormat="1" applyFont="1" applyFill="1" applyBorder="1" applyAlignment="1">
      <alignment horizontal="center"/>
    </xf>
    <xf numFmtId="216" fontId="96" fillId="0" borderId="4" xfId="5" applyNumberFormat="1" applyFont="1" applyFill="1" applyBorder="1"/>
    <xf numFmtId="186" fontId="94" fillId="0" borderId="3" xfId="5" applyNumberFormat="1" applyFont="1" applyFill="1" applyBorder="1" applyAlignment="1"/>
    <xf numFmtId="187" fontId="94" fillId="36" borderId="5" xfId="5" applyNumberFormat="1" applyFont="1" applyFill="1" applyBorder="1"/>
    <xf numFmtId="187" fontId="94" fillId="36" borderId="0" xfId="5" applyNumberFormat="1" applyFont="1" applyFill="1" applyBorder="1"/>
    <xf numFmtId="187" fontId="94" fillId="36" borderId="39" xfId="5" applyNumberFormat="1" applyFont="1" applyFill="1" applyBorder="1"/>
    <xf numFmtId="187" fontId="94" fillId="36" borderId="6" xfId="5" applyNumberFormat="1" applyFont="1" applyFill="1" applyBorder="1"/>
    <xf numFmtId="187" fontId="94" fillId="36" borderId="10" xfId="5" applyNumberFormat="1" applyFont="1" applyFill="1" applyBorder="1"/>
    <xf numFmtId="186" fontId="97" fillId="0" borderId="10" xfId="5" applyNumberFormat="1" applyFont="1" applyFill="1" applyBorder="1"/>
    <xf numFmtId="186" fontId="97" fillId="0" borderId="6" xfId="5" applyNumberFormat="1" applyFont="1" applyFill="1" applyBorder="1"/>
    <xf numFmtId="209" fontId="2" fillId="0" borderId="0" xfId="5" applyNumberFormat="1" applyFont="1"/>
    <xf numFmtId="216" fontId="96" fillId="0" borderId="35" xfId="5" applyNumberFormat="1" applyFont="1" applyFill="1" applyBorder="1"/>
    <xf numFmtId="216" fontId="96" fillId="0" borderId="40" xfId="5" applyNumberFormat="1" applyFont="1" applyFill="1" applyBorder="1"/>
    <xf numFmtId="215" fontId="97" fillId="0" borderId="0" xfId="5" applyNumberFormat="1" applyFont="1" applyFill="1" applyBorder="1"/>
    <xf numFmtId="0" fontId="2" fillId="0" borderId="0" xfId="843" applyFont="1" applyBorder="1"/>
    <xf numFmtId="167" fontId="186" fillId="47" borderId="5" xfId="952" applyNumberFormat="1" applyFont="1" applyFill="1" applyBorder="1"/>
    <xf numFmtId="167" fontId="186" fillId="47" borderId="3" xfId="952" applyNumberFormat="1" applyFont="1" applyFill="1" applyBorder="1"/>
    <xf numFmtId="167" fontId="186" fillId="47" borderId="0" xfId="952" applyNumberFormat="1" applyFont="1" applyFill="1" applyBorder="1"/>
    <xf numFmtId="167" fontId="186" fillId="47" borderId="40" xfId="952" applyNumberFormat="1" applyFont="1" applyFill="1" applyBorder="1"/>
    <xf numFmtId="167" fontId="186" fillId="47" borderId="35" xfId="952" applyNumberFormat="1" applyFont="1" applyFill="1" applyBorder="1"/>
    <xf numFmtId="167" fontId="186" fillId="47" borderId="4" xfId="952" applyNumberFormat="1" applyFont="1" applyFill="1" applyBorder="1"/>
    <xf numFmtId="0" fontId="2" fillId="0" borderId="0" xfId="846"/>
    <xf numFmtId="208" fontId="185" fillId="0" borderId="3" xfId="5" applyNumberFormat="1" applyFont="1" applyFill="1" applyBorder="1"/>
    <xf numFmtId="208" fontId="185" fillId="0" borderId="0" xfId="5" applyNumberFormat="1" applyFont="1" applyFill="1" applyBorder="1"/>
    <xf numFmtId="208" fontId="185" fillId="0" borderId="5" xfId="5" applyNumberFormat="1" applyFont="1" applyFill="1" applyBorder="1"/>
    <xf numFmtId="208" fontId="185" fillId="0" borderId="35" xfId="5" applyNumberFormat="1" applyFont="1" applyFill="1" applyBorder="1"/>
    <xf numFmtId="177" fontId="187" fillId="0" borderId="5" xfId="560" applyNumberFormat="1" applyFont="1" applyBorder="1"/>
    <xf numFmtId="9" fontId="3" fillId="0" borderId="0" xfId="938" applyFont="1" applyBorder="1"/>
    <xf numFmtId="186" fontId="97" fillId="0" borderId="5" xfId="952" applyNumberFormat="1" applyFont="1" applyFill="1" applyBorder="1" applyAlignment="1"/>
    <xf numFmtId="186" fontId="2" fillId="0" borderId="5" xfId="843" applyNumberFormat="1" applyFont="1" applyFill="1" applyBorder="1"/>
    <xf numFmtId="0" fontId="2" fillId="0" borderId="0" xfId="843" applyFill="1"/>
    <xf numFmtId="209" fontId="94" fillId="0" borderId="39" xfId="5" applyNumberFormat="1" applyFont="1" applyFill="1" applyBorder="1" applyAlignment="1"/>
    <xf numFmtId="9" fontId="97" fillId="0" borderId="5" xfId="5" applyNumberFormat="1" applyFont="1" applyFill="1" applyBorder="1"/>
    <xf numFmtId="167" fontId="97" fillId="0" borderId="5" xfId="938" applyNumberFormat="1" applyFont="1" applyFill="1" applyBorder="1"/>
    <xf numFmtId="215" fontId="94" fillId="0" borderId="40" xfId="5" applyNumberFormat="1" applyFont="1" applyFill="1" applyBorder="1"/>
    <xf numFmtId="0" fontId="97" fillId="0" borderId="39" xfId="5" applyFont="1" applyFill="1" applyBorder="1"/>
    <xf numFmtId="43" fontId="72" fillId="0" borderId="36" xfId="5" applyNumberFormat="1" applyFont="1" applyFill="1" applyBorder="1"/>
    <xf numFmtId="177" fontId="109" fillId="0" borderId="40" xfId="560" applyNumberFormat="1" applyFont="1" applyFill="1" applyBorder="1"/>
    <xf numFmtId="167" fontId="96" fillId="0" borderId="40" xfId="952" applyNumberFormat="1" applyFont="1" applyFill="1" applyBorder="1"/>
    <xf numFmtId="171" fontId="3" fillId="0" borderId="50" xfId="5" applyNumberFormat="1" applyFont="1" applyBorder="1" applyAlignment="1">
      <alignment horizontal="right" vertical="center"/>
    </xf>
    <xf numFmtId="171" fontId="3" fillId="0" borderId="32" xfId="5" applyNumberFormat="1" applyFont="1" applyFill="1" applyBorder="1" applyAlignment="1">
      <alignment horizontal="right" vertical="center"/>
    </xf>
    <xf numFmtId="9" fontId="3" fillId="0" borderId="32" xfId="970" applyNumberFormat="1" applyFont="1" applyFill="1" applyBorder="1" applyAlignment="1">
      <alignment horizontal="right" vertical="center"/>
    </xf>
    <xf numFmtId="167" fontId="3" fillId="0" borderId="32" xfId="970" applyNumberFormat="1" applyFont="1" applyFill="1" applyBorder="1" applyAlignment="1">
      <alignment horizontal="right" vertical="center"/>
    </xf>
    <xf numFmtId="167" fontId="97" fillId="0" borderId="0" xfId="938" applyNumberFormat="1" applyFont="1" applyFill="1" applyBorder="1" applyAlignment="1"/>
    <xf numFmtId="0" fontId="0" fillId="0" borderId="0" xfId="0" applyBorder="1"/>
    <xf numFmtId="9" fontId="3" fillId="0" borderId="0" xfId="971" applyNumberFormat="1" applyFont="1" applyBorder="1" applyAlignment="1">
      <alignment horizontal="right" vertical="center"/>
    </xf>
    <xf numFmtId="167" fontId="3" fillId="0" borderId="0" xfId="971" applyNumberFormat="1" applyFont="1" applyBorder="1" applyAlignment="1">
      <alignment horizontal="right" vertical="center"/>
    </xf>
    <xf numFmtId="177" fontId="109" fillId="0" borderId="11" xfId="560" applyNumberFormat="1" applyFont="1" applyFill="1" applyBorder="1"/>
    <xf numFmtId="0" fontId="4" fillId="0" borderId="56" xfId="5" applyFont="1" applyBorder="1"/>
    <xf numFmtId="0" fontId="4" fillId="0" borderId="56" xfId="5" applyFont="1" applyFill="1" applyBorder="1"/>
    <xf numFmtId="171" fontId="3" fillId="0" borderId="57" xfId="5" applyNumberFormat="1" applyFont="1" applyBorder="1" applyAlignment="1">
      <alignment horizontal="right" vertical="center"/>
    </xf>
    <xf numFmtId="9" fontId="3" fillId="0" borderId="57" xfId="970" applyNumberFormat="1" applyFont="1" applyBorder="1" applyAlignment="1">
      <alignment horizontal="right" vertical="center"/>
    </xf>
    <xf numFmtId="167" fontId="3" fillId="0" borderId="57" xfId="970" applyNumberFormat="1" applyFont="1" applyBorder="1" applyAlignment="1">
      <alignment horizontal="right"/>
    </xf>
    <xf numFmtId="167" fontId="3" fillId="0" borderId="57" xfId="970" applyNumberFormat="1" applyFont="1" applyBorder="1" applyAlignment="1">
      <alignment horizontal="right" vertical="center"/>
    </xf>
    <xf numFmtId="191" fontId="3" fillId="0" borderId="57" xfId="5" applyNumberFormat="1" applyFont="1" applyBorder="1" applyAlignment="1">
      <alignment horizontal="right" vertical="center"/>
    </xf>
    <xf numFmtId="171" fontId="4" fillId="0" borderId="57" xfId="5" applyNumberFormat="1" applyFont="1" applyBorder="1" applyAlignment="1">
      <alignment horizontal="right" vertical="center"/>
    </xf>
    <xf numFmtId="0" fontId="3" fillId="0" borderId="57" xfId="5" applyFont="1" applyBorder="1" applyAlignment="1">
      <alignment horizontal="right"/>
    </xf>
    <xf numFmtId="186" fontId="4" fillId="0" borderId="57" xfId="5" applyNumberFormat="1" applyFont="1" applyBorder="1" applyAlignment="1">
      <alignment horizontal="right"/>
    </xf>
    <xf numFmtId="187" fontId="4" fillId="0" borderId="57" xfId="5" applyNumberFormat="1" applyFont="1" applyBorder="1" applyAlignment="1">
      <alignment horizontal="centerContinuous"/>
    </xf>
    <xf numFmtId="187" fontId="4" fillId="0" borderId="57" xfId="5" applyNumberFormat="1" applyFont="1" applyBorder="1" applyAlignment="1">
      <alignment horizontal="center"/>
    </xf>
    <xf numFmtId="0" fontId="8" fillId="45" borderId="57" xfId="0" applyFont="1" applyFill="1" applyBorder="1"/>
    <xf numFmtId="0" fontId="3" fillId="0" borderId="57" xfId="895" applyFont="1" applyBorder="1"/>
    <xf numFmtId="171" fontId="3" fillId="0" borderId="57" xfId="895" applyNumberFormat="1" applyFont="1" applyBorder="1"/>
    <xf numFmtId="186" fontId="4" fillId="0" borderId="57" xfId="5" applyNumberFormat="1" applyFont="1" applyBorder="1"/>
    <xf numFmtId="0" fontId="3" fillId="0" borderId="56" xfId="5" applyFont="1" applyBorder="1"/>
    <xf numFmtId="167" fontId="3" fillId="0" borderId="57" xfId="970" applyNumberFormat="1" applyFont="1" applyBorder="1"/>
    <xf numFmtId="167" fontId="4" fillId="0" borderId="57" xfId="970" applyNumberFormat="1" applyFont="1" applyBorder="1"/>
    <xf numFmtId="187" fontId="4" fillId="0" borderId="58" xfId="5" applyNumberFormat="1" applyFont="1" applyBorder="1" applyAlignment="1">
      <alignment horizontal="centerContinuous"/>
    </xf>
    <xf numFmtId="0" fontId="4" fillId="0" borderId="57" xfId="895" applyFont="1" applyBorder="1"/>
    <xf numFmtId="0" fontId="4" fillId="0" borderId="57" xfId="895" applyFont="1" applyFill="1" applyBorder="1"/>
    <xf numFmtId="0" fontId="178" fillId="0" borderId="59" xfId="5" applyFont="1" applyBorder="1"/>
    <xf numFmtId="0" fontId="4" fillId="0" borderId="59" xfId="895" applyFont="1" applyFill="1" applyBorder="1"/>
    <xf numFmtId="0" fontId="3" fillId="0" borderId="59" xfId="5" applyFont="1" applyBorder="1"/>
    <xf numFmtId="0" fontId="3" fillId="0" borderId="59" xfId="895" applyFont="1" applyBorder="1"/>
    <xf numFmtId="0" fontId="4" fillId="0" borderId="59" xfId="895" applyFont="1" applyBorder="1"/>
    <xf numFmtId="167" fontId="94" fillId="0" borderId="33" xfId="5" applyNumberFormat="1" applyFont="1" applyBorder="1"/>
    <xf numFmtId="186" fontId="94" fillId="0" borderId="39" xfId="5" applyNumberFormat="1" applyFont="1" applyFill="1" applyBorder="1" applyAlignment="1"/>
    <xf numFmtId="186" fontId="94" fillId="0" borderId="10" xfId="5" applyNumberFormat="1" applyFont="1" applyFill="1" applyBorder="1" applyAlignment="1"/>
    <xf numFmtId="186" fontId="94" fillId="0" borderId="6" xfId="5" applyNumberFormat="1" applyFont="1" applyFill="1" applyBorder="1" applyAlignment="1"/>
    <xf numFmtId="0" fontId="178" fillId="0" borderId="45" xfId="5" applyFont="1" applyBorder="1"/>
    <xf numFmtId="0" fontId="4" fillId="0" borderId="45" xfId="895" applyFont="1" applyFill="1" applyBorder="1"/>
    <xf numFmtId="0" fontId="3" fillId="0" borderId="45" xfId="895" applyFont="1" applyFill="1" applyBorder="1"/>
    <xf numFmtId="186" fontId="185" fillId="0" borderId="5" xfId="5" applyNumberFormat="1" applyFont="1" applyFill="1" applyBorder="1"/>
    <xf numFmtId="186" fontId="185" fillId="0" borderId="40" xfId="5" applyNumberFormat="1" applyFont="1" applyFill="1" applyBorder="1"/>
    <xf numFmtId="177" fontId="185" fillId="0" borderId="5" xfId="560" applyNumberFormat="1" applyFont="1" applyBorder="1"/>
    <xf numFmtId="177" fontId="185" fillId="0" borderId="5" xfId="560" applyNumberFormat="1" applyFont="1" applyFill="1" applyBorder="1"/>
    <xf numFmtId="186" fontId="187" fillId="0" borderId="0" xfId="5" applyNumberFormat="1" applyFont="1" applyFill="1" applyBorder="1"/>
    <xf numFmtId="167" fontId="186" fillId="0" borderId="3" xfId="952" applyNumberFormat="1" applyFont="1" applyFill="1" applyBorder="1" applyAlignment="1">
      <alignment horizontal="center"/>
    </xf>
    <xf numFmtId="167" fontId="186" fillId="0" borderId="0" xfId="952" applyNumberFormat="1" applyFont="1" applyFill="1" applyBorder="1"/>
    <xf numFmtId="167" fontId="186" fillId="0" borderId="5" xfId="952" applyNumberFormat="1" applyFont="1" applyFill="1" applyBorder="1"/>
    <xf numFmtId="215" fontId="94" fillId="46" borderId="0" xfId="5" applyNumberFormat="1" applyFont="1" applyFill="1" applyBorder="1"/>
    <xf numFmtId="215" fontId="94" fillId="46" borderId="10" xfId="5" applyNumberFormat="1" applyFont="1" applyFill="1" applyBorder="1"/>
    <xf numFmtId="0" fontId="2" fillId="53" borderId="0" xfId="1432" applyFont="1" applyFill="1" applyAlignment="1">
      <alignment vertical="top"/>
    </xf>
    <xf numFmtId="0" fontId="189" fillId="53" borderId="0" xfId="1433" applyFill="1" applyAlignment="1">
      <alignment vertical="top"/>
    </xf>
    <xf numFmtId="0" fontId="189" fillId="53" borderId="0" xfId="1433" applyFill="1"/>
    <xf numFmtId="0" fontId="94" fillId="53" borderId="0" xfId="1432" applyFont="1" applyFill="1" applyAlignment="1">
      <alignment horizontal="left" vertical="top"/>
    </xf>
    <xf numFmtId="0" fontId="2" fillId="53" borderId="0" xfId="1433" applyFont="1" applyFill="1" applyAlignment="1">
      <alignment vertical="top"/>
    </xf>
    <xf numFmtId="0" fontId="110" fillId="53" borderId="0" xfId="1432" applyFont="1" applyFill="1" applyAlignment="1">
      <alignment vertical="top"/>
    </xf>
    <xf numFmtId="0" fontId="0" fillId="53" borderId="0" xfId="0" applyFill="1" applyAlignment="1">
      <alignment vertical="top"/>
    </xf>
    <xf numFmtId="0" fontId="190" fillId="53" borderId="0" xfId="0" applyFont="1" applyFill="1" applyAlignment="1">
      <alignment vertical="top"/>
    </xf>
    <xf numFmtId="0" fontId="191" fillId="53" borderId="0" xfId="0" applyFont="1" applyFill="1" applyAlignment="1">
      <alignment vertical="top"/>
    </xf>
    <xf numFmtId="0" fontId="191" fillId="53" borderId="0" xfId="0" applyFont="1" applyFill="1" applyAlignment="1">
      <alignment vertical="top"/>
    </xf>
    <xf numFmtId="0" fontId="190" fillId="53" borderId="0" xfId="0" applyFont="1" applyFill="1" applyAlignment="1">
      <alignment vertical="top"/>
    </xf>
    <xf numFmtId="0" fontId="0" fillId="53" borderId="0" xfId="0" applyFill="1" applyAlignment="1">
      <alignment vertical="top"/>
    </xf>
    <xf numFmtId="0" fontId="0" fillId="53" borderId="63" xfId="0" applyFill="1" applyBorder="1" applyAlignment="1">
      <alignment vertical="top"/>
    </xf>
    <xf numFmtId="0" fontId="190" fillId="53" borderId="60" xfId="0" applyFont="1" applyFill="1" applyBorder="1" applyAlignment="1">
      <alignment vertical="top"/>
    </xf>
    <xf numFmtId="0" fontId="190" fillId="53" borderId="61" xfId="0" applyFont="1" applyFill="1" applyBorder="1" applyAlignment="1">
      <alignment vertical="top"/>
    </xf>
    <xf numFmtId="0" fontId="190" fillId="53" borderId="62" xfId="0" applyFont="1" applyFill="1" applyBorder="1" applyAlignment="1">
      <alignment vertical="top"/>
    </xf>
    <xf numFmtId="0" fontId="190" fillId="53" borderId="54" xfId="0" applyFont="1" applyFill="1" applyBorder="1" applyAlignment="1">
      <alignment vertical="top"/>
    </xf>
    <xf numFmtId="9" fontId="190" fillId="53" borderId="60" xfId="0" applyNumberFormat="1" applyFont="1" applyFill="1" applyBorder="1" applyAlignment="1">
      <alignment vertical="top"/>
    </xf>
    <xf numFmtId="3" fontId="190" fillId="53" borderId="60" xfId="0" applyNumberFormat="1" applyFont="1" applyFill="1" applyBorder="1" applyAlignment="1">
      <alignment vertical="top"/>
    </xf>
    <xf numFmtId="0" fontId="0" fillId="53" borderId="55" xfId="0" applyFill="1" applyBorder="1" applyAlignment="1">
      <alignment vertical="top"/>
    </xf>
    <xf numFmtId="2" fontId="2" fillId="0" borderId="0" xfId="846" applyNumberFormat="1" applyAlignment="1">
      <alignment horizontal="left"/>
    </xf>
    <xf numFmtId="0" fontId="2" fillId="0" borderId="0" xfId="846" applyNumberFormat="1" applyAlignment="1">
      <alignment horizontal="left"/>
    </xf>
    <xf numFmtId="1" fontId="2" fillId="0" borderId="0" xfId="846" applyNumberFormat="1" applyAlignment="1">
      <alignment horizontal="left"/>
    </xf>
    <xf numFmtId="0" fontId="2" fillId="0" borderId="0" xfId="846" applyFont="1"/>
    <xf numFmtId="247" fontId="2" fillId="0" borderId="0" xfId="846" applyNumberFormat="1" applyAlignment="1">
      <alignment horizontal="left"/>
    </xf>
    <xf numFmtId="49" fontId="2" fillId="0" borderId="0" xfId="846" applyNumberFormat="1"/>
  </cellXfs>
  <cellStyles count="1434">
    <cellStyle name="_x0007_" xfId="1"/>
    <cellStyle name="-" xfId="2"/>
    <cellStyle name=" 1" xfId="3"/>
    <cellStyle name=" 1 2" xfId="4"/>
    <cellStyle name="_x000a_386grabber=M" xfId="5"/>
    <cellStyle name="_x000a_386grabber=M 2" xfId="6"/>
    <cellStyle name="_x000a_386grabber=M 2 2" xfId="7"/>
    <cellStyle name="_x000a_386grabber=M 2 3" xfId="8"/>
    <cellStyle name="_x000a_386grabber=M 3" xfId="9"/>
    <cellStyle name="_x000d__x000a_JournalTemplate=C:\COMFO\CTALK\JOURSTD.TPL_x000d__x000a_LbStateAddress=3 3 0 251 1 89 2 311_x000d__x000a_LbStateJou" xfId="10"/>
    <cellStyle name="$" xfId="11"/>
    <cellStyle name="$ &amp; ¢" xfId="12"/>
    <cellStyle name="$ 1 decimal" xfId="13"/>
    <cellStyle name="%" xfId="14"/>
    <cellStyle name="% 2" xfId="15"/>
    <cellStyle name="% 3" xfId="16"/>
    <cellStyle name="% 3 2" xfId="17"/>
    <cellStyle name="% 4" xfId="18"/>
    <cellStyle name="% 4 2" xfId="19"/>
    <cellStyle name="% 5" xfId="20"/>
    <cellStyle name="% 5 2" xfId="21"/>
    <cellStyle name="% 6" xfId="22"/>
    <cellStyle name="% Growth" xfId="23"/>
    <cellStyle name="% of Revenues" xfId="24"/>
    <cellStyle name="%.00" xfId="25"/>
    <cellStyle name="******************************************" xfId="26"/>
    <cellStyle name="****************************************** 2" xfId="27"/>
    <cellStyle name="****************************************** 3" xfId="28"/>
    <cellStyle name="??" xfId="29"/>
    <cellStyle name="?? [0]_??" xfId="30"/>
    <cellStyle name="?? 10" xfId="31"/>
    <cellStyle name="?? 11" xfId="32"/>
    <cellStyle name="?? 12" xfId="33"/>
    <cellStyle name="?? 13" xfId="34"/>
    <cellStyle name="?? 14" xfId="35"/>
    <cellStyle name="?? 15" xfId="36"/>
    <cellStyle name="?? 16" xfId="37"/>
    <cellStyle name="?? 17" xfId="38"/>
    <cellStyle name="?? 18" xfId="39"/>
    <cellStyle name="?? 19" xfId="40"/>
    <cellStyle name="?? 2" xfId="41"/>
    <cellStyle name="?? 20" xfId="42"/>
    <cellStyle name="?? 3" xfId="43"/>
    <cellStyle name="?? 4" xfId="44"/>
    <cellStyle name="?? 5" xfId="45"/>
    <cellStyle name="?? 6" xfId="46"/>
    <cellStyle name="?? 7" xfId="47"/>
    <cellStyle name="?? 8" xfId="48"/>
    <cellStyle name="?? 9" xfId="49"/>
    <cellStyle name="??&amp;O?&amp;H?_x0008_??_x0007__x0001__x0001_" xfId="50"/>
    <cellStyle name="???? [0.00]_HELPDESK" xfId="51"/>
    <cellStyle name="?????_VERA" xfId="52"/>
    <cellStyle name="????_HELPDESK" xfId="53"/>
    <cellStyle name="??_?.????" xfId="54"/>
    <cellStyle name="?@?_1101.TW" xfId="55"/>
    <cellStyle name="?@疾_2332JT3_2313COP2 " xfId="56"/>
    <cellStyle name="?Q\?1@" xfId="57"/>
    <cellStyle name="?Q\?1@ 2" xfId="58"/>
    <cellStyle name="_AAPL_MS_Model (2)" xfId="59"/>
    <cellStyle name="_ADI WIP" xfId="60"/>
    <cellStyle name="_ADI WIP 2" xfId="61"/>
    <cellStyle name="_By Technology, Market Share_Copy of Model2018_AAC_(WIP) " xfId="62"/>
    <cellStyle name="_By Technology, Market Share_Copy of Model2018_AAC_(WIP)  2" xfId="63"/>
    <cellStyle name="_Catalog" xfId="64"/>
    <cellStyle name="_Catalog 2" xfId="65"/>
    <cellStyle name="_Chapter Template 30-01-02" xfId="66"/>
    <cellStyle name="_Chapter Template Feb 22-02" xfId="67"/>
    <cellStyle name="_Chartered_Copy of Model2018_AAC_(WIP) " xfId="68"/>
    <cellStyle name="_Chartered_Copy of Model2018_AAC_(WIP)  2" xfId="69"/>
    <cellStyle name="_Chartered_Ichia Model2402_Modelware_Copy of Model2018_AAC_(WIP) " xfId="70"/>
    <cellStyle name="_Chartered_Ichia Model2402_Modelware_Copy of Model2018_AAC_(WIP)  2" xfId="71"/>
    <cellStyle name="_Chartered_Model_2402(New)_Modelware_Copy of Model2018_AAC_(WIP) " xfId="72"/>
    <cellStyle name="_Chartered_Model_2402(New)_Modelware_Copy of Model2018_AAC_(WIP)  2" xfId="73"/>
    <cellStyle name="_Chartered_Model_3311(New)_Copy of Model2018_AAC_(WIP) " xfId="74"/>
    <cellStyle name="_Chartered_Model_3311(New)_Copy of Model2018_AAC_(WIP)  2" xfId="75"/>
    <cellStyle name="_Copy of Model2018_AAC_(WIP) " xfId="76"/>
    <cellStyle name="_Copy of Model2018_AAC_(WIP)  2" xfId="77"/>
    <cellStyle name="_DA" xfId="78"/>
    <cellStyle name="_DA 2" xfId="79"/>
    <cellStyle name="_DPA" xfId="80"/>
    <cellStyle name="_DPA 2" xfId="81"/>
    <cellStyle name="_EPS" xfId="82"/>
    <cellStyle name="_EPS 2" xfId="83"/>
    <cellStyle name="_EPS1" xfId="84"/>
    <cellStyle name="_EPS1 2" xfId="85"/>
    <cellStyle name="_Foundry Industry" xfId="86"/>
    <cellStyle name="_Foundry Industry Master" xfId="87"/>
    <cellStyle name="_Foundry Industry Master_1009" xfId="88"/>
    <cellStyle name="_Foundry Industry Master_1110" xfId="89"/>
    <cellStyle name="_FSL WIP" xfId="90"/>
    <cellStyle name="_GMT_070822" xfId="91"/>
    <cellStyle name="_GMT_070822 2" xfId="92"/>
    <cellStyle name="_GMT_070822_Book3" xfId="93"/>
    <cellStyle name="_GMT_070822_Book3 2" xfId="94"/>
    <cellStyle name="_GMT_070822_Capacity" xfId="95"/>
    <cellStyle name="_GMT_070822_IS" xfId="96"/>
    <cellStyle name="_GMT_070822_IS 2" xfId="97"/>
    <cellStyle name="_GMT_070822_MediaTek Model" xfId="98"/>
    <cellStyle name="_GMT_070822_MediaTek Model 2" xfId="99"/>
    <cellStyle name="_GMT_070822_Model2454 120427" xfId="100"/>
    <cellStyle name="_GMT_070822_Model2454 120427 2" xfId="101"/>
    <cellStyle name="_GMT_070822_TEJ Raw Data" xfId="102"/>
    <cellStyle name="_GMT_070822_TEJ Raw Data 2" xfId="103"/>
    <cellStyle name="_GMT_070822_TEJ Raw Data_Parent" xfId="104"/>
    <cellStyle name="_GMT_070822_TEJ Raw Data_Parent 2" xfId="105"/>
    <cellStyle name="_GMT_070822_TSMC Model 2013-10-18_old data" xfId="106"/>
    <cellStyle name="_GMT_070822_TSMC_120426" xfId="107"/>
    <cellStyle name="_GMT_070822_TSMC_120426 2" xfId="108"/>
    <cellStyle name="_GMT_070822_UMC TEJ" xfId="109"/>
    <cellStyle name="_GMT_070822_UMC TEJ 2" xfId="110"/>
    <cellStyle name="—_GS_Cash " xfId="111"/>
    <cellStyle name="_Ichia Model2402_Modelware_Copy of Model2018_AAC_(WIP) " xfId="112"/>
    <cellStyle name="_Ichia Model2402_Modelware_Copy of Model2018_AAC_(WIP)  2" xfId="113"/>
    <cellStyle name="_IS" xfId="114"/>
    <cellStyle name="_IS 2" xfId="115"/>
    <cellStyle name="_JapaneseCatalog" xfId="116"/>
    <cellStyle name="_June 2002 sent to regions.xls Chart 35" xfId="117"/>
    <cellStyle name="_June 2002 sent to regions.xls Chart 36" xfId="118"/>
    <cellStyle name="_June 2002 sent to regions.xls Chart 37" xfId="119"/>
    <cellStyle name="_LLTC WIP" xfId="120"/>
    <cellStyle name="_LLTC WIP 2" xfId="121"/>
    <cellStyle name="_MediaTek Model" xfId="122"/>
    <cellStyle name="_MediaTek Model 2" xfId="123"/>
    <cellStyle name="_Mkt share" xfId="124"/>
    <cellStyle name="_Model_2402(New)_Modelware_Copy of Model2018_AAC_(WIP) " xfId="125"/>
    <cellStyle name="_Model_2402(New)_Modelware_Copy of Model2018_AAC_(WIP)  2" xfId="126"/>
    <cellStyle name="_Model_3311(New)_Copy of Model2018_AAC_(WIP) " xfId="127"/>
    <cellStyle name="_Model_3311(New)_Copy of Model2018_AAC_(WIP)  2" xfId="128"/>
    <cellStyle name="_Model2454 120427" xfId="129"/>
    <cellStyle name="_Model2454 120427 2" xfId="130"/>
    <cellStyle name="_MWAnalytics" xfId="131"/>
    <cellStyle name="_MWAnalytics 2" xfId="132"/>
    <cellStyle name="_NVDA WIP_021313" xfId="133"/>
    <cellStyle name="_NVDA WIP_021313 2" xfId="1404"/>
    <cellStyle name="_Powertech_140702" xfId="134"/>
    <cellStyle name="_Richtek_130509" xfId="135"/>
    <cellStyle name="_RRS1" xfId="136"/>
    <cellStyle name="_RRS1 2" xfId="137"/>
    <cellStyle name="_RRS1 3" xfId="138"/>
    <cellStyle name="_RRS1 3 2" xfId="139"/>
    <cellStyle name="_RRS1 4" xfId="140"/>
    <cellStyle name="_RRS1 4 2" xfId="141"/>
    <cellStyle name="_RRS1 5" xfId="142"/>
    <cellStyle name="_RRS1 5 2" xfId="143"/>
    <cellStyle name="_RRS1 6" xfId="144"/>
    <cellStyle name="_RRS2" xfId="145"/>
    <cellStyle name="_RRS2 2" xfId="146"/>
    <cellStyle name="_RRS2 3" xfId="147"/>
    <cellStyle name="_RRS3" xfId="148"/>
    <cellStyle name="_RRS3 2" xfId="149"/>
    <cellStyle name="_RRS3 3" xfId="150"/>
    <cellStyle name="_RRS3 3 2" xfId="151"/>
    <cellStyle name="_RRS3 4" xfId="152"/>
    <cellStyle name="_RRS3 4 2" xfId="153"/>
    <cellStyle name="_RRS3 5" xfId="154"/>
    <cellStyle name="_RRS3 5 2" xfId="155"/>
    <cellStyle name="_RRS3 6" xfId="156"/>
    <cellStyle name="_RRS4" xfId="157"/>
    <cellStyle name="_RRS4 2" xfId="158"/>
    <cellStyle name="_RRS4 3" xfId="159"/>
    <cellStyle name="_RRS4 3 2" xfId="160"/>
    <cellStyle name="_RRS4 4" xfId="161"/>
    <cellStyle name="_RRS4 4 2" xfId="162"/>
    <cellStyle name="_RRS4 5" xfId="163"/>
    <cellStyle name="_RRS4 5 2" xfId="164"/>
    <cellStyle name="_RRS4 6" xfId="165"/>
    <cellStyle name="_RRS5" xfId="166"/>
    <cellStyle name="_RRS5 2" xfId="167"/>
    <cellStyle name="_RRS5 3" xfId="168"/>
    <cellStyle name="_SUMMARY " xfId="169"/>
    <cellStyle name="_SUMMARY  2" xfId="170"/>
    <cellStyle name="_SUMMARY  3" xfId="171"/>
    <cellStyle name="_SUMMARY  3 2" xfId="172"/>
    <cellStyle name="_SUMMARY  4" xfId="173"/>
    <cellStyle name="_SUMMARY  4 2" xfId="174"/>
    <cellStyle name="_SUMMARY  5" xfId="175"/>
    <cellStyle name="_SUMMARY  5 2" xfId="176"/>
    <cellStyle name="_SUMMARY  6" xfId="177"/>
    <cellStyle name="_SUMMARY  6 2" xfId="178"/>
    <cellStyle name="_SUMMARY  6 2 2" xfId="179"/>
    <cellStyle name="_SUMMARY  6 3" xfId="180"/>
    <cellStyle name="_SUMMARY  7" xfId="181"/>
    <cellStyle name="_SUMMARY  7 2" xfId="182"/>
    <cellStyle name="_SUMMARY  7 3" xfId="183"/>
    <cellStyle name="_SUMMARY  8" xfId="184"/>
    <cellStyle name="_SUMMARY _IS" xfId="185"/>
    <cellStyle name="_SUMMARY _IS 2" xfId="186"/>
    <cellStyle name="_SUMMARY _Model2454 120427" xfId="187"/>
    <cellStyle name="_SUMMARY _Model2454 120427 2" xfId="188"/>
    <cellStyle name="_SUMMARY _RRST1" xfId="189"/>
    <cellStyle name="_SUMMARY _RRST1 2" xfId="190"/>
    <cellStyle name="_SUMMARY _RRST1_Book3" xfId="191"/>
    <cellStyle name="_SUMMARY _RRST1_Book3 2" xfId="192"/>
    <cellStyle name="_SUMMARY _RRST1_IS" xfId="193"/>
    <cellStyle name="_SUMMARY _RRST1_IS 2" xfId="194"/>
    <cellStyle name="_SUMMARY _RRST1_Model2454 120427" xfId="195"/>
    <cellStyle name="_SUMMARY _RRST1_Model2454 120427 2" xfId="196"/>
    <cellStyle name="_SUMMARY _RRST1_TEJ Raw Data" xfId="197"/>
    <cellStyle name="_SUMMARY _RRST1_TEJ Raw Data 2" xfId="198"/>
    <cellStyle name="_SUMMARY _RRST1_TEJ Raw Data_Parent" xfId="199"/>
    <cellStyle name="_SUMMARY _RRST1_TEJ Raw Data_Parent 2" xfId="200"/>
    <cellStyle name="_SUMMARY _RRST11" xfId="201"/>
    <cellStyle name="_SUMMARY _RRST2" xfId="202"/>
    <cellStyle name="_SUMMARY _RRST2 2" xfId="203"/>
    <cellStyle name="_SUMMARY _RRST3" xfId="204"/>
    <cellStyle name="_SUMMARY _RRST3 2" xfId="205"/>
    <cellStyle name="_SUMMARY _RRST4" xfId="206"/>
    <cellStyle name="_SUMMARY _RRST4 2" xfId="207"/>
    <cellStyle name="_SUMMARY _RRST5" xfId="208"/>
    <cellStyle name="_SUMMARY _RRST5 2" xfId="209"/>
    <cellStyle name="_SUMMARY _RRST7" xfId="210"/>
    <cellStyle name="_SUMMARY _RRST7 2" xfId="211"/>
    <cellStyle name="_System LSI Model_Sept10_Draft" xfId="212"/>
    <cellStyle name="_Template Stats" xfId="213"/>
    <cellStyle name="_TOC Macro File 31-01-02" xfId="214"/>
    <cellStyle name="_US GAAP_Copy of Model2018_AAC_(WIP) " xfId="215"/>
    <cellStyle name="_US GAAP_Copy of Model2018_AAC_(WIP)  2" xfId="216"/>
    <cellStyle name="_Wireline Tel Forecast " xfId="217"/>
    <cellStyle name="_Zip Stats_2004" xfId="218"/>
    <cellStyle name="_Zip Stats_2004_No Links" xfId="219"/>
    <cellStyle name="’Ê‰Ý [0.00]_GE 3 MINIMUM" xfId="220"/>
    <cellStyle name="’Ê‰Ý_GE 3 MINIMUM" xfId="221"/>
    <cellStyle name="“ú–{Œê" xfId="222"/>
    <cellStyle name="£ BP" xfId="223"/>
    <cellStyle name="£ BP 2" xfId="224"/>
    <cellStyle name="¥ JY" xfId="225"/>
    <cellStyle name="¥ JY 2" xfId="226"/>
    <cellStyle name="=C:\WINNT35\SYSTEM32\COMMAND.COM" xfId="227"/>
    <cellStyle name="=C:\WINNT35\SYSTEM32\COMMAND.COM 2" xfId="228"/>
    <cellStyle name="=C:\WINNT35\SYSTEM32\COMMAND.COM 3" xfId="229"/>
    <cellStyle name="=C:\WINNT35\SYSTEM32\COMMAND.COM 3 2" xfId="230"/>
    <cellStyle name="=C:\WINNT35\SYSTEM32\COMMAND.COM 4" xfId="231"/>
    <cellStyle name="=C:\WINNT35\SYSTEM32\COMMAND.COM 4 2" xfId="232"/>
    <cellStyle name="=C:\WINNT35\SYSTEM32\COMMAND.COM 5" xfId="233"/>
    <cellStyle name="=C:\WINNT35\SYSTEM32\COMMAND.COM 5 2" xfId="234"/>
    <cellStyle name="=C:\WINNT35\SYSTEM32\COMMAND.COM 6" xfId="235"/>
    <cellStyle name="§Q\?1@" xfId="236"/>
    <cellStyle name="§Q\?1@ 2" xfId="237"/>
    <cellStyle name="•W€_Comparables" xfId="238"/>
    <cellStyle name="•W_EditLog" xfId="239"/>
    <cellStyle name="0" xfId="240"/>
    <cellStyle name="0%" xfId="241"/>
    <cellStyle name="0% 2" xfId="242"/>
    <cellStyle name="0% 3" xfId="243"/>
    <cellStyle name="0% 3 2" xfId="244"/>
    <cellStyle name="0% 4" xfId="245"/>
    <cellStyle name="0% 4 2" xfId="246"/>
    <cellStyle name="0% 5" xfId="247"/>
    <cellStyle name="0% 5 2" xfId="248"/>
    <cellStyle name="0% 6" xfId="249"/>
    <cellStyle name="0.0" xfId="250"/>
    <cellStyle name="0.0%" xfId="251"/>
    <cellStyle name="0.0_40050504 (pension)" xfId="252"/>
    <cellStyle name="0.00" xfId="253"/>
    <cellStyle name="0.00%" xfId="254"/>
    <cellStyle name="0.00_40050504 (pension)" xfId="255"/>
    <cellStyle name="0_40050504 (pension)" xfId="256"/>
    <cellStyle name="0_Capex &amp; Depreciation " xfId="257"/>
    <cellStyle name="0_Capex &amp; Depreciation _RRST1" xfId="258"/>
    <cellStyle name="0_Capex &amp; Depreciation _RRST1 2" xfId="259"/>
    <cellStyle name="0_Capex &amp; Depreciation _RRST1_Book3" xfId="260"/>
    <cellStyle name="0_Capex &amp; Depreciation _RRST1_IS" xfId="261"/>
    <cellStyle name="0_Capex &amp; Depreciation _RRST1_Model2454 120427" xfId="262"/>
    <cellStyle name="0_Capex &amp; Depreciation _RRST1_TEJ Raw Data" xfId="263"/>
    <cellStyle name="0_Capex &amp; Depreciation _RRST1_TEJ Raw Data_Parent" xfId="264"/>
    <cellStyle name="0_Capex &amp; Depreciation _RRST11" xfId="265"/>
    <cellStyle name="0_Capex &amp; Depreciation _RRST11 2" xfId="266"/>
    <cellStyle name="0_Capex &amp; Depreciation _RRST12" xfId="267"/>
    <cellStyle name="0_Capex &amp; Depreciation _RRST19" xfId="268"/>
    <cellStyle name="0_Capex &amp; Depreciation _RRST19 2" xfId="269"/>
    <cellStyle name="0_Capex &amp; Depreciation _RRST2" xfId="270"/>
    <cellStyle name="0_Capex &amp; Depreciation _RRST2 2" xfId="271"/>
    <cellStyle name="0_Capex &amp; Depreciation _RRST20" xfId="272"/>
    <cellStyle name="0_Capex &amp; Depreciation _RRST20 2" xfId="273"/>
    <cellStyle name="0_Capex &amp; Depreciation _RRST25" xfId="274"/>
    <cellStyle name="0_Capex &amp; Depreciation _RRST25 2" xfId="275"/>
    <cellStyle name="0_Capex &amp; Depreciation _RRST3" xfId="276"/>
    <cellStyle name="0_Capex &amp; Depreciation _RRST3 2" xfId="277"/>
    <cellStyle name="0_Capex &amp; Depreciation _RRST4" xfId="278"/>
    <cellStyle name="0_Capex &amp; Depreciation _RRST5" xfId="279"/>
    <cellStyle name="0_Capex &amp; Depreciation _RRST5 2" xfId="280"/>
    <cellStyle name="0_Capex &amp; Depreciation _RRST6" xfId="281"/>
    <cellStyle name="0_Capex &amp; Depreciation _RRST6 2" xfId="282"/>
    <cellStyle name="0_Capex &amp; Depreciation _RRST7" xfId="283"/>
    <cellStyle name="0_Capex &amp; Depreciation _RRST7 2" xfId="284"/>
    <cellStyle name="0_Copy of Model2018_AAC_(WIP) " xfId="285"/>
    <cellStyle name="0_Handset component data_Copy of Model2018_AAC_(WIP) " xfId="286"/>
    <cellStyle name="0_Japan Pension Module Sumitomo Chemical" xfId="287"/>
    <cellStyle name="0_JapaneseCatalog" xfId="288"/>
    <cellStyle name="0_JapaneseCatalog 2" xfId="289"/>
    <cellStyle name="0_Valuing BP " xfId="290"/>
    <cellStyle name="0_Valuing BP _RRST1" xfId="291"/>
    <cellStyle name="0_Valuing BP _RRST1 2" xfId="292"/>
    <cellStyle name="0_Valuing BP _RRST1_Book3" xfId="293"/>
    <cellStyle name="0_Valuing BP _RRST1_IS" xfId="294"/>
    <cellStyle name="0_Valuing BP _RRST1_Model2454 120427" xfId="295"/>
    <cellStyle name="0_Valuing BP _RRST1_TEJ Raw Data" xfId="296"/>
    <cellStyle name="0_Valuing BP _RRST1_TEJ Raw Data_Parent" xfId="297"/>
    <cellStyle name="0_Valuing BP _RRST11" xfId="298"/>
    <cellStyle name="0_Valuing BP _RRST11 2" xfId="299"/>
    <cellStyle name="0_Valuing BP _RRST12" xfId="300"/>
    <cellStyle name="0_Valuing BP _RRST19" xfId="301"/>
    <cellStyle name="0_Valuing BP _RRST19 2" xfId="302"/>
    <cellStyle name="0_Valuing BP _RRST2" xfId="303"/>
    <cellStyle name="0_Valuing BP _RRST2 2" xfId="304"/>
    <cellStyle name="0_Valuing BP _RRST20" xfId="305"/>
    <cellStyle name="0_Valuing BP _RRST20 2" xfId="306"/>
    <cellStyle name="0_Valuing BP _RRST25" xfId="307"/>
    <cellStyle name="0_Valuing BP _RRST25 2" xfId="308"/>
    <cellStyle name="0_Valuing BP _RRST3" xfId="309"/>
    <cellStyle name="0_Valuing BP _RRST3 2" xfId="310"/>
    <cellStyle name="0_Valuing BP _RRST4" xfId="311"/>
    <cellStyle name="0_Valuing BP _RRST5" xfId="312"/>
    <cellStyle name="0_Valuing BP _RRST5 2" xfId="313"/>
    <cellStyle name="0_Valuing BP _RRST6" xfId="314"/>
    <cellStyle name="0_Valuing BP _RRST6 2" xfId="315"/>
    <cellStyle name="0_Valuing BP _RRST7" xfId="316"/>
    <cellStyle name="0_Valuing BP _RRST7 2" xfId="317"/>
    <cellStyle name="0_Vendor revenues_Copy of Model2018_AAC_(WIP) " xfId="318"/>
    <cellStyle name="0_Wireline Tel Forecast " xfId="319"/>
    <cellStyle name="1,comma" xfId="320"/>
    <cellStyle name="1,comma 2" xfId="321"/>
    <cellStyle name="1,comma 3" xfId="322"/>
    <cellStyle name="1,comma 3 2" xfId="323"/>
    <cellStyle name="1,comma 4" xfId="324"/>
    <cellStyle name="1,comma 4 2" xfId="325"/>
    <cellStyle name="1,comma 5" xfId="326"/>
    <cellStyle name="1,comma 5 2" xfId="327"/>
    <cellStyle name="1,comma 6" xfId="328"/>
    <cellStyle name="¹eºÐA²_AIAIC°AuCoE² " xfId="329"/>
    <cellStyle name="20% - Accent1 2" xfId="330"/>
    <cellStyle name="20% - Accent1 2 2" xfId="331"/>
    <cellStyle name="20% - Accent1 3" xfId="332"/>
    <cellStyle name="20% - Accent1 4" xfId="333"/>
    <cellStyle name="20% - Accent2 2" xfId="334"/>
    <cellStyle name="20% - Accent2 2 2" xfId="335"/>
    <cellStyle name="20% - Accent2 3" xfId="336"/>
    <cellStyle name="20% - Accent2 4" xfId="337"/>
    <cellStyle name="20% - Accent3 2" xfId="338"/>
    <cellStyle name="20% - Accent3 2 2" xfId="339"/>
    <cellStyle name="20% - Accent3 3" xfId="340"/>
    <cellStyle name="20% - Accent3 4" xfId="341"/>
    <cellStyle name="20% - Accent4 2" xfId="342"/>
    <cellStyle name="20% - Accent4 2 2" xfId="343"/>
    <cellStyle name="20% - Accent4 3" xfId="344"/>
    <cellStyle name="20% - Accent4 4" xfId="345"/>
    <cellStyle name="20% - Accent5 2" xfId="346"/>
    <cellStyle name="20% - Accent5 2 2" xfId="347"/>
    <cellStyle name="20% - Accent5 3" xfId="348"/>
    <cellStyle name="20% - Accent5 4" xfId="349"/>
    <cellStyle name="20% - Accent6 2" xfId="350"/>
    <cellStyle name="20% - Accent6 2 2" xfId="351"/>
    <cellStyle name="20% - Accent6 3" xfId="352"/>
    <cellStyle name="20% - Accent6 4" xfId="353"/>
    <cellStyle name="3232" xfId="354"/>
    <cellStyle name="3232 2" xfId="355"/>
    <cellStyle name="40% - Accent1 2" xfId="356"/>
    <cellStyle name="40% - Accent1 2 2" xfId="357"/>
    <cellStyle name="40% - Accent1 3" xfId="358"/>
    <cellStyle name="40% - Accent1 4" xfId="359"/>
    <cellStyle name="40% - Accent2 2" xfId="360"/>
    <cellStyle name="40% - Accent2 2 2" xfId="361"/>
    <cellStyle name="40% - Accent2 3" xfId="362"/>
    <cellStyle name="40% - Accent2 4" xfId="363"/>
    <cellStyle name="40% - Accent3 2" xfId="364"/>
    <cellStyle name="40% - Accent3 2 2" xfId="365"/>
    <cellStyle name="40% - Accent3 3" xfId="366"/>
    <cellStyle name="40% - Accent3 4" xfId="367"/>
    <cellStyle name="40% - Accent4 2" xfId="368"/>
    <cellStyle name="40% - Accent4 2 2" xfId="369"/>
    <cellStyle name="40% - Accent4 3" xfId="370"/>
    <cellStyle name="40% - Accent4 4" xfId="371"/>
    <cellStyle name="40% - Accent5 2" xfId="372"/>
    <cellStyle name="40% - Accent5 2 2" xfId="373"/>
    <cellStyle name="40% - Accent5 3" xfId="374"/>
    <cellStyle name="40% - Accent5 4" xfId="375"/>
    <cellStyle name="40% - Accent6 2" xfId="376"/>
    <cellStyle name="40% - Accent6 2 2" xfId="377"/>
    <cellStyle name="40% - Accent6 3" xfId="378"/>
    <cellStyle name="40% - Accent6 4" xfId="379"/>
    <cellStyle name="60% - Accent1 2" xfId="380"/>
    <cellStyle name="60% - Accent1 2 2" xfId="381"/>
    <cellStyle name="60% - Accent1 3" xfId="382"/>
    <cellStyle name="60% - Accent1 4" xfId="383"/>
    <cellStyle name="60% - Accent2 2" xfId="384"/>
    <cellStyle name="60% - Accent2 2 2" xfId="385"/>
    <cellStyle name="60% - Accent2 3" xfId="386"/>
    <cellStyle name="60% - Accent2 4" xfId="387"/>
    <cellStyle name="60% - Accent3 2" xfId="388"/>
    <cellStyle name="60% - Accent3 2 2" xfId="389"/>
    <cellStyle name="60% - Accent3 3" xfId="390"/>
    <cellStyle name="60% - Accent3 4" xfId="391"/>
    <cellStyle name="60% - Accent4 2" xfId="392"/>
    <cellStyle name="60% - Accent4 2 2" xfId="393"/>
    <cellStyle name="60% - Accent4 3" xfId="394"/>
    <cellStyle name="60% - Accent4 4" xfId="395"/>
    <cellStyle name="60% - Accent5 2" xfId="396"/>
    <cellStyle name="60% - Accent5 2 2" xfId="397"/>
    <cellStyle name="60% - Accent5 3" xfId="398"/>
    <cellStyle name="60% - Accent5 4" xfId="399"/>
    <cellStyle name="60% - Accent6 2" xfId="400"/>
    <cellStyle name="60% - Accent6 2 2" xfId="401"/>
    <cellStyle name="60% - Accent6 3" xfId="402"/>
    <cellStyle name="60% - Accent6 4" xfId="403"/>
    <cellStyle name="752131" xfId="404"/>
    <cellStyle name="752131 2" xfId="405"/>
    <cellStyle name="A¨­￠￢￠O [0]_¨oCAuCoEⓒ÷ " xfId="406"/>
    <cellStyle name="A¨­￠￢￠O_¨oCAuCoEⓒ÷ " xfId="407"/>
    <cellStyle name="Accent1 2" xfId="408"/>
    <cellStyle name="Accent1 2 2" xfId="409"/>
    <cellStyle name="Accent1 3" xfId="410"/>
    <cellStyle name="Accent1 4" xfId="411"/>
    <cellStyle name="Accent2 2" xfId="412"/>
    <cellStyle name="Accent2 2 2" xfId="413"/>
    <cellStyle name="Accent2 3" xfId="414"/>
    <cellStyle name="Accent2 4" xfId="415"/>
    <cellStyle name="Accent3 2" xfId="416"/>
    <cellStyle name="Accent3 2 2" xfId="417"/>
    <cellStyle name="Accent3 3" xfId="418"/>
    <cellStyle name="Accent3 4" xfId="419"/>
    <cellStyle name="Accent4 2" xfId="420"/>
    <cellStyle name="Accent4 2 2" xfId="421"/>
    <cellStyle name="Accent4 3" xfId="422"/>
    <cellStyle name="Accent4 4" xfId="423"/>
    <cellStyle name="Accent5 2" xfId="424"/>
    <cellStyle name="Accent5 2 2" xfId="425"/>
    <cellStyle name="Accent5 3" xfId="426"/>
    <cellStyle name="Accent5 4" xfId="427"/>
    <cellStyle name="Accent6 2" xfId="428"/>
    <cellStyle name="Accent6 3" xfId="429"/>
    <cellStyle name="Accent6 4" xfId="430"/>
    <cellStyle name="Acctg" xfId="431"/>
    <cellStyle name="AeE­ [0]_¼oAa½CAu " xfId="432"/>
    <cellStyle name="ÅëÈ­ [0]_cover " xfId="433"/>
    <cellStyle name="AeE­ [0]_INQUIRY ¿μ¾÷AßAø " xfId="434"/>
    <cellStyle name="AeE­_¼oAa½CAu " xfId="435"/>
    <cellStyle name="ÅëÈ­_cover " xfId="436"/>
    <cellStyle name="AeE­_INQUIRY ¿μ¾÷AßAø " xfId="437"/>
    <cellStyle name="AeE¡ⓒ [0]_¨oCAuCoEⓒ÷ " xfId="438"/>
    <cellStyle name="AeE¡ⓒ_¨oCAuCoEⓒ÷ " xfId="439"/>
    <cellStyle name="ales" xfId="440"/>
    <cellStyle name="AÞ¸¶ [0]_¼oAa½CAu " xfId="441"/>
    <cellStyle name="ÄÞ¸¶ [0]_cover " xfId="442"/>
    <cellStyle name="AÞ¸¶ [0]_INQUIRY ¿μ¾÷AßAø " xfId="443"/>
    <cellStyle name="AÞ¸¶_¼oAa½CAu " xfId="444"/>
    <cellStyle name="ÄÞ¸¶_cover " xfId="445"/>
    <cellStyle name="AÞ¸¶_INQUIRY ¿μ¾÷AßAø " xfId="446"/>
    <cellStyle name="_x0001_b" xfId="447"/>
    <cellStyle name="Bad 2" xfId="448"/>
    <cellStyle name="Bad 2 2" xfId="449"/>
    <cellStyle name="Bad 3" xfId="450"/>
    <cellStyle name="Bad 4" xfId="451"/>
    <cellStyle name="Balance Sheet" xfId="452"/>
    <cellStyle name="BalanceSheet" xfId="453"/>
    <cellStyle name="BalanceSheet 2" xfId="454"/>
    <cellStyle name="Band 2" xfId="455"/>
    <cellStyle name="big-font" xfId="456"/>
    <cellStyle name="Blue" xfId="457"/>
    <cellStyle name="Blue 2" xfId="458"/>
    <cellStyle name="Body" xfId="459"/>
    <cellStyle name="Bold/Border" xfId="460"/>
    <cellStyle name="Border, Bottom" xfId="461"/>
    <cellStyle name="Border, Left" xfId="462"/>
    <cellStyle name="Border, Right" xfId="463"/>
    <cellStyle name="Border, Top" xfId="464"/>
    <cellStyle name="bottom-title" xfId="465"/>
    <cellStyle name="Bullet" xfId="466"/>
    <cellStyle name="Bullet 2" xfId="467"/>
    <cellStyle name="c_HardInc " xfId="468"/>
    <cellStyle name="c_HardInc _IVT1" xfId="469"/>
    <cellStyle name="c_HardInc _IVT1 2" xfId="470"/>
    <cellStyle name="c_HardInc _JapaneseCatalog" xfId="471"/>
    <cellStyle name="c_HardInc _JapaneseCatalog 2" xfId="472"/>
    <cellStyle name="c_HardInc _RRST1" xfId="473"/>
    <cellStyle name="c_HardInc _RRST1 2" xfId="474"/>
    <cellStyle name="c_HardInc _RRST1_Book3" xfId="475"/>
    <cellStyle name="c_HardInc _RRST1_IS" xfId="476"/>
    <cellStyle name="c_HardInc _RRST1_Model2454 120427" xfId="477"/>
    <cellStyle name="c_HardInc _RRST1_TEJ Raw Data" xfId="478"/>
    <cellStyle name="c_HardInc _RRST1_TEJ Raw Data_Parent" xfId="479"/>
    <cellStyle name="c_HardInc _RRST11" xfId="480"/>
    <cellStyle name="c_HardInc _RRST12" xfId="481"/>
    <cellStyle name="c_HardInc _RRST19" xfId="482"/>
    <cellStyle name="c_HardInc _RRST19 2" xfId="483"/>
    <cellStyle name="c_HardInc _RRST2" xfId="484"/>
    <cellStyle name="c_HardInc _RRST2 2" xfId="485"/>
    <cellStyle name="c_HardInc _RRST20" xfId="486"/>
    <cellStyle name="c_HardInc _RRST20 2" xfId="487"/>
    <cellStyle name="c_HardInc _RRST25" xfId="488"/>
    <cellStyle name="c_HardInc _RRST25 2" xfId="489"/>
    <cellStyle name="c_HardInc _RRST3" xfId="490"/>
    <cellStyle name="c_HardInc _RRST3 2" xfId="491"/>
    <cellStyle name="c_HardInc _RRST4" xfId="492"/>
    <cellStyle name="c_HardInc _RRST5" xfId="493"/>
    <cellStyle name="c_HardInc _RRST5 2" xfId="494"/>
    <cellStyle name="c_HardInc _RRST6" xfId="495"/>
    <cellStyle name="c_HardInc _RRST6 2" xfId="496"/>
    <cellStyle name="c_HardInc _RRST7" xfId="497"/>
    <cellStyle name="c_HardInc _RRST7 2" xfId="498"/>
    <cellStyle name="C¡IA¨ª_¡ic¨u¡A¨￢I¨￢¡Æ AN¡Æe " xfId="499"/>
    <cellStyle name="C￥AØ_  FAB AIA¤  " xfId="500"/>
    <cellStyle name="Ç¥ÁØ_»ç¾÷ºÎº° ÃÑ°è " xfId="501"/>
    <cellStyle name="C￥AØ_≫c¾÷ºIº° AN°e " xfId="502"/>
    <cellStyle name="Ç¥ÁØ_0N-HANDLING " xfId="503"/>
    <cellStyle name="C￥AØ_¼±AoAc°i_1_³≫ºI°eE¹´e AßA¤A÷AI " xfId="504"/>
    <cellStyle name="Ç¥ÁØ_5-1±¤°í " xfId="505"/>
    <cellStyle name="C￥AØ_5-1±¤°i _6RCB1 " xfId="506"/>
    <cellStyle name="Ç¥ÁØ_Áý°èÇ¥(2¿ù) " xfId="507"/>
    <cellStyle name="C￥AØ_CoAo¹yAI °A¾×¿ⓒ½A " xfId="508"/>
    <cellStyle name="Ç¥ÁØ_cover " xfId="509"/>
    <cellStyle name="C05_Style E Text" xfId="510"/>
    <cellStyle name="Calc Currency (0)" xfId="511"/>
    <cellStyle name="Calculation 2" xfId="512"/>
    <cellStyle name="Calculation 2 2" xfId="513"/>
    <cellStyle name="Calculation 3" xfId="514"/>
    <cellStyle name="Calculation 4" xfId="515"/>
    <cellStyle name="CashFlow" xfId="516"/>
    <cellStyle name="Cents" xfId="517"/>
    <cellStyle name="Cents 2" xfId="518"/>
    <cellStyle name="Change" xfId="519"/>
    <cellStyle name="Changeable" xfId="520"/>
    <cellStyle name="Check Cell 2" xfId="521"/>
    <cellStyle name="Check Cell 3" xfId="522"/>
    <cellStyle name="Check Cell 4" xfId="523"/>
    <cellStyle name="Colhead_left" xfId="524"/>
    <cellStyle name="ColumnHeadings" xfId="525"/>
    <cellStyle name="ColumnHeadings2" xfId="526"/>
    <cellStyle name="Comma" xfId="527" builtinId="3"/>
    <cellStyle name="Comma  - Style1" xfId="528"/>
    <cellStyle name="Comma  - Style1 2" xfId="529"/>
    <cellStyle name="Comma  - Style1 3" xfId="530"/>
    <cellStyle name="Comma  - Style2" xfId="531"/>
    <cellStyle name="Comma  - Style2 2" xfId="532"/>
    <cellStyle name="Comma  - Style2 3" xfId="533"/>
    <cellStyle name="Comma  - Style3" xfId="534"/>
    <cellStyle name="Comma  - Style3 2" xfId="535"/>
    <cellStyle name="Comma  - Style3 3" xfId="536"/>
    <cellStyle name="Comma  - Style4" xfId="537"/>
    <cellStyle name="Comma  - Style4 2" xfId="538"/>
    <cellStyle name="Comma  - Style4 3" xfId="539"/>
    <cellStyle name="Comma  - Style5" xfId="540"/>
    <cellStyle name="Comma  - Style5 2" xfId="541"/>
    <cellStyle name="Comma  - Style5 3" xfId="542"/>
    <cellStyle name="Comma  - Style6" xfId="543"/>
    <cellStyle name="Comma  - Style6 2" xfId="544"/>
    <cellStyle name="Comma  - Style6 3" xfId="545"/>
    <cellStyle name="Comma  - Style7" xfId="546"/>
    <cellStyle name="Comma  - Style7 2" xfId="547"/>
    <cellStyle name="Comma  - Style7 3" xfId="548"/>
    <cellStyle name="Comma  - Style8" xfId="549"/>
    <cellStyle name="Comma  - Style8 2" xfId="550"/>
    <cellStyle name="Comma  - Style8 3" xfId="551"/>
    <cellStyle name="Comma (1)" xfId="552"/>
    <cellStyle name="Comma [0] 2" xfId="553"/>
    <cellStyle name="Comma [0] 3" xfId="554"/>
    <cellStyle name="Comma [0] 4" xfId="555"/>
    <cellStyle name="Comma [0] 4 2" xfId="556"/>
    <cellStyle name="Comma [0] 5" xfId="557"/>
    <cellStyle name="Comma [1]" xfId="558"/>
    <cellStyle name="Comma [2]" xfId="559"/>
    <cellStyle name="Comma 10" xfId="560"/>
    <cellStyle name="Comma 10 2" xfId="561"/>
    <cellStyle name="Comma 10 2 2" xfId="562"/>
    <cellStyle name="Comma 10 3" xfId="563"/>
    <cellStyle name="Comma 11" xfId="564"/>
    <cellStyle name="Comma 11 2" xfId="565"/>
    <cellStyle name="Comma 12" xfId="566"/>
    <cellStyle name="Comma 12 2" xfId="567"/>
    <cellStyle name="Comma 13" xfId="568"/>
    <cellStyle name="Comma 13 2" xfId="569"/>
    <cellStyle name="Comma 14" xfId="570"/>
    <cellStyle name="Comma 14 2" xfId="571"/>
    <cellStyle name="Comma 15" xfId="572"/>
    <cellStyle name="Comma 15 2" xfId="573"/>
    <cellStyle name="Comma 16" xfId="574"/>
    <cellStyle name="Comma 16 2" xfId="575"/>
    <cellStyle name="Comma 17" xfId="576"/>
    <cellStyle name="Comma 17 2" xfId="577"/>
    <cellStyle name="Comma 17 3" xfId="578"/>
    <cellStyle name="Comma 18" xfId="579"/>
    <cellStyle name="Comma 18 2" xfId="580"/>
    <cellStyle name="Comma 18 3" xfId="581"/>
    <cellStyle name="Comma 19" xfId="582"/>
    <cellStyle name="Comma 19 2" xfId="583"/>
    <cellStyle name="Comma 19 3" xfId="584"/>
    <cellStyle name="Comma 2" xfId="585"/>
    <cellStyle name="Comma 2 2" xfId="586"/>
    <cellStyle name="Comma 2 3" xfId="587"/>
    <cellStyle name="Comma 2 4" xfId="588"/>
    <cellStyle name="Comma 20" xfId="589"/>
    <cellStyle name="Comma 20 2" xfId="590"/>
    <cellStyle name="Comma 20 3" xfId="591"/>
    <cellStyle name="Comma 21" xfId="592"/>
    <cellStyle name="Comma 21 2" xfId="593"/>
    <cellStyle name="Comma 21 3" xfId="594"/>
    <cellStyle name="Comma 22" xfId="595"/>
    <cellStyle name="Comma 22 2" xfId="596"/>
    <cellStyle name="Comma 23" xfId="597"/>
    <cellStyle name="Comma 23 2" xfId="598"/>
    <cellStyle name="Comma 24" xfId="599"/>
    <cellStyle name="Comma 24 2" xfId="600"/>
    <cellStyle name="Comma 25" xfId="601"/>
    <cellStyle name="Comma 25 2" xfId="602"/>
    <cellStyle name="Comma 26" xfId="603"/>
    <cellStyle name="Comma 26 2" xfId="604"/>
    <cellStyle name="Comma 27" xfId="605"/>
    <cellStyle name="Comma 27 2" xfId="606"/>
    <cellStyle name="Comma 28" xfId="607"/>
    <cellStyle name="Comma 29" xfId="608"/>
    <cellStyle name="Comma 3" xfId="609"/>
    <cellStyle name="Comma 3 2" xfId="610"/>
    <cellStyle name="Comma 3 2 2" xfId="611"/>
    <cellStyle name="Comma 3 3" xfId="612"/>
    <cellStyle name="Comma 3 3 2" xfId="613"/>
    <cellStyle name="Comma 30" xfId="614"/>
    <cellStyle name="Comma 30 2" xfId="615"/>
    <cellStyle name="Comma 31" xfId="616"/>
    <cellStyle name="Comma 31 2" xfId="617"/>
    <cellStyle name="Comma 32" xfId="618"/>
    <cellStyle name="Comma 32 2" xfId="619"/>
    <cellStyle name="Comma 33" xfId="620"/>
    <cellStyle name="Comma 33 2" xfId="621"/>
    <cellStyle name="Comma 34" xfId="622"/>
    <cellStyle name="Comma 34 2" xfId="623"/>
    <cellStyle name="Comma 35" xfId="624"/>
    <cellStyle name="Comma 35 2" xfId="625"/>
    <cellStyle name="Comma 36" xfId="626"/>
    <cellStyle name="Comma 36 2" xfId="627"/>
    <cellStyle name="Comma 37" xfId="628"/>
    <cellStyle name="Comma 38" xfId="629"/>
    <cellStyle name="Comma 39" xfId="630"/>
    <cellStyle name="Comma 4" xfId="631"/>
    <cellStyle name="Comma 4 2" xfId="632"/>
    <cellStyle name="Comma 4 3" xfId="633"/>
    <cellStyle name="Comma 4 4" xfId="634"/>
    <cellStyle name="Comma 4 4 2" xfId="635"/>
    <cellStyle name="Comma 40" xfId="636"/>
    <cellStyle name="Comma 41" xfId="637"/>
    <cellStyle name="Comma 42" xfId="638"/>
    <cellStyle name="Comma 43" xfId="639"/>
    <cellStyle name="Comma 44" xfId="640"/>
    <cellStyle name="Comma 45" xfId="641"/>
    <cellStyle name="Comma 46" xfId="642"/>
    <cellStyle name="Comma 47" xfId="643"/>
    <cellStyle name="Comma 48" xfId="644"/>
    <cellStyle name="Comma 49" xfId="645"/>
    <cellStyle name="Comma 5" xfId="646"/>
    <cellStyle name="Comma 5 2" xfId="647"/>
    <cellStyle name="Comma 50" xfId="648"/>
    <cellStyle name="Comma 51" xfId="649"/>
    <cellStyle name="Comma 52" xfId="650"/>
    <cellStyle name="Comma 53" xfId="651"/>
    <cellStyle name="Comma 54" xfId="652"/>
    <cellStyle name="Comma 55" xfId="653"/>
    <cellStyle name="Comma 56" xfId="654"/>
    <cellStyle name="Comma 57" xfId="655"/>
    <cellStyle name="Comma 58" xfId="656"/>
    <cellStyle name="Comma 59" xfId="657"/>
    <cellStyle name="Comma 6" xfId="658"/>
    <cellStyle name="Comma 6 2" xfId="659"/>
    <cellStyle name="Comma 60" xfId="660"/>
    <cellStyle name="Comma 61" xfId="661"/>
    <cellStyle name="Comma 62" xfId="662"/>
    <cellStyle name="Comma 62 2" xfId="1413"/>
    <cellStyle name="Comma 63" xfId="1412"/>
    <cellStyle name="Comma 64" xfId="1418"/>
    <cellStyle name="Comma 65" xfId="1409"/>
    <cellStyle name="Comma 66" xfId="1417"/>
    <cellStyle name="Comma 67" xfId="1410"/>
    <cellStyle name="Comma 68" xfId="1416"/>
    <cellStyle name="Comma 69" xfId="1411"/>
    <cellStyle name="Comma 7" xfId="663"/>
    <cellStyle name="Comma 7 2" xfId="664"/>
    <cellStyle name="Comma 70" xfId="1415"/>
    <cellStyle name="Comma 71" xfId="1427"/>
    <cellStyle name="Comma 72" xfId="1428"/>
    <cellStyle name="Comma 73" xfId="1430"/>
    <cellStyle name="Comma 8" xfId="665"/>
    <cellStyle name="Comma 9" xfId="666"/>
    <cellStyle name="Comma 9 2" xfId="667"/>
    <cellStyle name="Comma 9 3" xfId="668"/>
    <cellStyle name="CommaU [0]" xfId="669"/>
    <cellStyle name="CommaU [1]" xfId="670"/>
    <cellStyle name="CommaU [2]" xfId="671"/>
    <cellStyle name="Comment" xfId="672"/>
    <cellStyle name="CompanyName" xfId="673"/>
    <cellStyle name="CompanyName 2" xfId="674"/>
    <cellStyle name="Copied" xfId="675"/>
    <cellStyle name="Currency (1)" xfId="676"/>
    <cellStyle name="Currency (1) 2" xfId="677"/>
    <cellStyle name="Currency [1]" xfId="678"/>
    <cellStyle name="Currency [2]" xfId="679"/>
    <cellStyle name="Currency [2] 2" xfId="680"/>
    <cellStyle name="Currency 10" xfId="681"/>
    <cellStyle name="Currency 10 2" xfId="682"/>
    <cellStyle name="Currency 11" xfId="683"/>
    <cellStyle name="Currency 2" xfId="684"/>
    <cellStyle name="Currency 2 2" xfId="685"/>
    <cellStyle name="Currency 3" xfId="686"/>
    <cellStyle name="Currency 3 2" xfId="687"/>
    <cellStyle name="Currency 4" xfId="688"/>
    <cellStyle name="Currency 4 2" xfId="689"/>
    <cellStyle name="Currency 4 3" xfId="690"/>
    <cellStyle name="Currency 5" xfId="691"/>
    <cellStyle name="Currency 5 2" xfId="692"/>
    <cellStyle name="Currency 6" xfId="693"/>
    <cellStyle name="Currency 6 2" xfId="694"/>
    <cellStyle name="Currency 7" xfId="695"/>
    <cellStyle name="Currency 7 2" xfId="696"/>
    <cellStyle name="Currency 7 2 2" xfId="697"/>
    <cellStyle name="Currency 7 3" xfId="698"/>
    <cellStyle name="Currency 8" xfId="699"/>
    <cellStyle name="Currency 8 2" xfId="700"/>
    <cellStyle name="Currency 8 3" xfId="701"/>
    <cellStyle name="Currency 9" xfId="702"/>
    <cellStyle name="Currency 9 2" xfId="703"/>
    <cellStyle name="Currency(1)" xfId="704"/>
    <cellStyle name="Dash" xfId="705"/>
    <cellStyle name="Dash 2" xfId="706"/>
    <cellStyle name="Date" xfId="707"/>
    <cellStyle name="Date2" xfId="708"/>
    <cellStyle name="Dates" xfId="709"/>
    <cellStyle name="DateYear" xfId="710"/>
    <cellStyle name="Decimal" xfId="711"/>
    <cellStyle name="decimal 1" xfId="712"/>
    <cellStyle name="Decimal_JapaneseCatalog" xfId="713"/>
    <cellStyle name="Dollar" xfId="714"/>
    <cellStyle name="Dollar 2" xfId="715"/>
    <cellStyle name="Dollars" xfId="716"/>
    <cellStyle name="Dollars 2" xfId="717"/>
    <cellStyle name="DollarWhole" xfId="718"/>
    <cellStyle name="DollarWhole 2" xfId="719"/>
    <cellStyle name="Entered" xfId="720"/>
    <cellStyle name="Euro" xfId="721"/>
    <cellStyle name="Explanatory Text 2" xfId="722"/>
    <cellStyle name="Explanatory Text 3" xfId="723"/>
    <cellStyle name="Explanatory Text 4" xfId="724"/>
    <cellStyle name="Fail" xfId="725"/>
    <cellStyle name="FieldName" xfId="726"/>
    <cellStyle name="FiscalPeriod" xfId="727"/>
    <cellStyle name="Fixed" xfId="728"/>
    <cellStyle name="Fixed 2" xfId="729"/>
    <cellStyle name="Footnote" xfId="730"/>
    <cellStyle name="G02 Table Text" xfId="731"/>
    <cellStyle name="G04_Main head" xfId="732"/>
    <cellStyle name="G05 Tab Head Bold" xfId="733"/>
    <cellStyle name="G05 Tab Head Bold 2" xfId="734"/>
    <cellStyle name="G05 Tab Head Bold 3" xfId="735"/>
    <cellStyle name="G05 Tab Head Bold 3 2" xfId="736"/>
    <cellStyle name="G05 Tab Head Bold 4" xfId="737"/>
    <cellStyle name="G05 Tab Head Bold 4 2" xfId="738"/>
    <cellStyle name="G05 Tab Head Bold 5" xfId="739"/>
    <cellStyle name="G05 Tab Head Bold 5 2" xfId="740"/>
    <cellStyle name="G05 Tab Head Bold 6" xfId="741"/>
    <cellStyle name="G05 Tab Head Light" xfId="742"/>
    <cellStyle name="G05 Tab Head Light 2" xfId="743"/>
    <cellStyle name="G05 Tab Head Light 3" xfId="744"/>
    <cellStyle name="G05 Tab Head Light 3 2" xfId="745"/>
    <cellStyle name="G05 Tab Head Light 4" xfId="746"/>
    <cellStyle name="G05 Tab Head Light 4 2" xfId="747"/>
    <cellStyle name="G05 Tab Head Light 5" xfId="748"/>
    <cellStyle name="G05 Tab Head Light 5 2" xfId="749"/>
    <cellStyle name="G05 Tab Head Light 6" xfId="750"/>
    <cellStyle name="Good 2" xfId="751"/>
    <cellStyle name="Good 2 2" xfId="752"/>
    <cellStyle name="Good 3" xfId="753"/>
    <cellStyle name="Good 4" xfId="754"/>
    <cellStyle name="Green" xfId="755"/>
    <cellStyle name="Green 2" xfId="756"/>
    <cellStyle name="Green 2 2" xfId="1414"/>
    <cellStyle name="Grey" xfId="757"/>
    <cellStyle name="Grey 2" xfId="758"/>
    <cellStyle name="Growth%" xfId="759"/>
    <cellStyle name="GrowthRate" xfId="760"/>
    <cellStyle name="hard no" xfId="761"/>
    <cellStyle name="hard no 2" xfId="762"/>
    <cellStyle name="hardno" xfId="763"/>
    <cellStyle name="HEADER" xfId="764"/>
    <cellStyle name="Header1" xfId="765"/>
    <cellStyle name="Header1 2" xfId="766"/>
    <cellStyle name="Header2" xfId="767"/>
    <cellStyle name="Header2 2" xfId="768"/>
    <cellStyle name="Heading 1 2" xfId="769"/>
    <cellStyle name="Heading 1 2 2" xfId="770"/>
    <cellStyle name="Heading 1 3" xfId="771"/>
    <cellStyle name="Heading 1 4" xfId="772"/>
    <cellStyle name="Heading 2 2" xfId="773"/>
    <cellStyle name="Heading 2 2 2" xfId="774"/>
    <cellStyle name="Heading 2 3" xfId="775"/>
    <cellStyle name="Heading 2 4" xfId="776"/>
    <cellStyle name="Heading 3 2" xfId="777"/>
    <cellStyle name="Heading 3 2 2" xfId="778"/>
    <cellStyle name="Heading 3 3" xfId="779"/>
    <cellStyle name="Heading 3 4" xfId="780"/>
    <cellStyle name="Heading 4 2" xfId="781"/>
    <cellStyle name="Heading 4 2 2" xfId="782"/>
    <cellStyle name="Heading 4 3" xfId="783"/>
    <cellStyle name="Heading 4 4" xfId="784"/>
    <cellStyle name="Heading1" xfId="785"/>
    <cellStyle name="Heading2" xfId="786"/>
    <cellStyle name="Hidden" xfId="787"/>
    <cellStyle name="HIGHLIGHT" xfId="788"/>
    <cellStyle name="Hyperlink 2" xfId="789"/>
    <cellStyle name="Hyperlink 2 2" xfId="790"/>
    <cellStyle name="Income Statement" xfId="791"/>
    <cellStyle name="Income Statement 2" xfId="792"/>
    <cellStyle name="IncomeStatement" xfId="793"/>
    <cellStyle name="IncomeStatement 2" xfId="794"/>
    <cellStyle name="Input [yellow]" xfId="795"/>
    <cellStyle name="Input [yellow] 2" xfId="796"/>
    <cellStyle name="Input 10" xfId="797"/>
    <cellStyle name="Input 11" xfId="798"/>
    <cellStyle name="Input 12" xfId="799"/>
    <cellStyle name="Input 13" xfId="800"/>
    <cellStyle name="Input 14" xfId="801"/>
    <cellStyle name="Input 2" xfId="802"/>
    <cellStyle name="Input 2 2" xfId="803"/>
    <cellStyle name="Input 3" xfId="804"/>
    <cellStyle name="Input 3 2" xfId="805"/>
    <cellStyle name="Input 4" xfId="806"/>
    <cellStyle name="Input 5" xfId="807"/>
    <cellStyle name="Input 6" xfId="808"/>
    <cellStyle name="Input 7" xfId="809"/>
    <cellStyle name="Input 8" xfId="810"/>
    <cellStyle name="Input 9" xfId="811"/>
    <cellStyle name="InputBlueFont" xfId="812"/>
    <cellStyle name="Integer" xfId="813"/>
    <cellStyle name="Integer 2" xfId="814"/>
    <cellStyle name="Italic" xfId="815"/>
    <cellStyle name="Italic 2" xfId="816"/>
    <cellStyle name="KP_Normal" xfId="817"/>
    <cellStyle name="Linked Cell 2" xfId="818"/>
    <cellStyle name="Linked Cell 2 2" xfId="819"/>
    <cellStyle name="Linked Cell 3" xfId="820"/>
    <cellStyle name="Linked Cell 4" xfId="821"/>
    <cellStyle name="Margins" xfId="822"/>
    <cellStyle name="MetricLabel" xfId="823"/>
    <cellStyle name="MetricLabelBlue" xfId="824"/>
    <cellStyle name="MetricValue" xfId="825"/>
    <cellStyle name="middle" xfId="826"/>
    <cellStyle name="mm/dd/yy" xfId="827"/>
    <cellStyle name="MonthYears" xfId="828"/>
    <cellStyle name="MonthYears 2" xfId="829"/>
    <cellStyle name="Multiple" xfId="830"/>
    <cellStyle name="Multiple 2" xfId="831"/>
    <cellStyle name="MW" xfId="832"/>
    <cellStyle name="Neutral 2" xfId="833"/>
    <cellStyle name="Neutral 2 2" xfId="834"/>
    <cellStyle name="Neutral 3" xfId="835"/>
    <cellStyle name="Neutral 4" xfId="836"/>
    <cellStyle name="No Commas" xfId="837"/>
    <cellStyle name="no dec" xfId="838"/>
    <cellStyle name="no dec 2" xfId="839"/>
    <cellStyle name="Normal" xfId="0" builtinId="0"/>
    <cellStyle name="Normal - Style1" xfId="840"/>
    <cellStyle name="Normal - Style1 2" xfId="841"/>
    <cellStyle name="Normal 10" xfId="842"/>
    <cellStyle name="Normal 10 2" xfId="843"/>
    <cellStyle name="Normal 11" xfId="844"/>
    <cellStyle name="Normal 11 2" xfId="845"/>
    <cellStyle name="Normal 12" xfId="846"/>
    <cellStyle name="Normal 12 2" xfId="847"/>
    <cellStyle name="Normal 13" xfId="848"/>
    <cellStyle name="Normal 13 2" xfId="849"/>
    <cellStyle name="Normal 14" xfId="850"/>
    <cellStyle name="Normal 15" xfId="851"/>
    <cellStyle name="Normal 16" xfId="852"/>
    <cellStyle name="Normal 17" xfId="853"/>
    <cellStyle name="Normal 18" xfId="854"/>
    <cellStyle name="Normal 19" xfId="855"/>
    <cellStyle name="Normal 2" xfId="856"/>
    <cellStyle name="Normal 2 2" xfId="857"/>
    <cellStyle name="Normal 2 2 2" xfId="858"/>
    <cellStyle name="Normal 2 2 3" xfId="859"/>
    <cellStyle name="Normal 2 3" xfId="860"/>
    <cellStyle name="Normal 2 4" xfId="861"/>
    <cellStyle name="Normal 2 5" xfId="862"/>
    <cellStyle name="Normal 2 6" xfId="863"/>
    <cellStyle name="Normal 2 7" xfId="864"/>
    <cellStyle name="Normal 2 8" xfId="865"/>
    <cellStyle name="Normal 2 9" xfId="866"/>
    <cellStyle name="Normal 20" xfId="867"/>
    <cellStyle name="Normal 21" xfId="868"/>
    <cellStyle name="Normal 22" xfId="869"/>
    <cellStyle name="Normal 23" xfId="870"/>
    <cellStyle name="Normal 24" xfId="871"/>
    <cellStyle name="Normal 25" xfId="872"/>
    <cellStyle name="Normal 25 2" xfId="873"/>
    <cellStyle name="Normal 26" xfId="874"/>
    <cellStyle name="Normal 27" xfId="875"/>
    <cellStyle name="Normal 28" xfId="876"/>
    <cellStyle name="Normal 29" xfId="877"/>
    <cellStyle name="Normal 3" xfId="878"/>
    <cellStyle name="Normal 3 2" xfId="879"/>
    <cellStyle name="Normal 3 2 2" xfId="880"/>
    <cellStyle name="Normal 3 3" xfId="881"/>
    <cellStyle name="Normal 30" xfId="882"/>
    <cellStyle name="Normal 31" xfId="883"/>
    <cellStyle name="Normal 32" xfId="884"/>
    <cellStyle name="Normal 33" xfId="885"/>
    <cellStyle name="Normal 34" xfId="886"/>
    <cellStyle name="Normal 35" xfId="887"/>
    <cellStyle name="Normal 36" xfId="888"/>
    <cellStyle name="Normal 37" xfId="889"/>
    <cellStyle name="Normal 38" xfId="890"/>
    <cellStyle name="Normal 39" xfId="891"/>
    <cellStyle name="Normal 4" xfId="892"/>
    <cellStyle name="Normal 4 2" xfId="893"/>
    <cellStyle name="Normal 4 3" xfId="894"/>
    <cellStyle name="Normal 40" xfId="1419"/>
    <cellStyle name="Normal 41" xfId="1433"/>
    <cellStyle name="Normal 5" xfId="895"/>
    <cellStyle name="Normal 5 2" xfId="896"/>
    <cellStyle name="Normal 5 3" xfId="897"/>
    <cellStyle name="Normal 6" xfId="898"/>
    <cellStyle name="Normal 7" xfId="899"/>
    <cellStyle name="Normal 8" xfId="900"/>
    <cellStyle name="Normal 8 2" xfId="901"/>
    <cellStyle name="Normal 9" xfId="902"/>
    <cellStyle name="Normal Bold" xfId="903"/>
    <cellStyle name="Normal Bold 2" xfId="904"/>
    <cellStyle name="Normal_AMCCBLSH" xfId="905"/>
    <cellStyle name="Normal_Book3" xfId="906"/>
    <cellStyle name="Normal_DisclaimerSheet Samples" xfId="1432"/>
    <cellStyle name="Normal_intc(1).o" xfId="907"/>
    <cellStyle name="NormalItalic" xfId="908"/>
    <cellStyle name="NormalItalic 2" xfId="909"/>
    <cellStyle name="Note 2" xfId="910"/>
    <cellStyle name="Note 2 2" xfId="911"/>
    <cellStyle name="Note 3" xfId="912"/>
    <cellStyle name="Note 3 2" xfId="913"/>
    <cellStyle name="Note 4" xfId="914"/>
    <cellStyle name="Note 4 2" xfId="915"/>
    <cellStyle name="Note 5" xfId="916"/>
    <cellStyle name="Note 5 2" xfId="917"/>
    <cellStyle name="Note 6" xfId="918"/>
    <cellStyle name="Note 6 2" xfId="919"/>
    <cellStyle name="Note 7" xfId="920"/>
    <cellStyle name="Note 7 2" xfId="921"/>
    <cellStyle name="Note 8" xfId="922"/>
    <cellStyle name="number" xfId="923"/>
    <cellStyle name="Number 2" xfId="924"/>
    <cellStyle name="Œ…‹æØ‚è [0.00]_GE 3 MINIMUM" xfId="925"/>
    <cellStyle name="Œ…‹æØ‚è_GE 3 MINIMUM" xfId="926"/>
    <cellStyle name="Onedec_FT Valuation " xfId="927"/>
    <cellStyle name="OneDecimal" xfId="928"/>
    <cellStyle name="OneDecimal 2" xfId="929"/>
    <cellStyle name="Other%" xfId="930"/>
    <cellStyle name="outh America" xfId="931"/>
    <cellStyle name="Output 2" xfId="932"/>
    <cellStyle name="Output 2 2" xfId="933"/>
    <cellStyle name="Output 3" xfId="934"/>
    <cellStyle name="Output 4" xfId="935"/>
    <cellStyle name="p " xfId="936"/>
    <cellStyle name="Pass" xfId="937"/>
    <cellStyle name="Percent" xfId="938" builtinId="5"/>
    <cellStyle name="Percent (1)" xfId="939"/>
    <cellStyle name="Percent (1) 2" xfId="940"/>
    <cellStyle name="Percent [2]" xfId="941"/>
    <cellStyle name="Percent [2] 2" xfId="942"/>
    <cellStyle name="Percent [2] 3" xfId="943"/>
    <cellStyle name="Percent [2] 3 2" xfId="944"/>
    <cellStyle name="Percent [2] 4" xfId="945"/>
    <cellStyle name="Percent [2] 4 2" xfId="946"/>
    <cellStyle name="Percent [2] 5" xfId="947"/>
    <cellStyle name="Percent [2] 5 2" xfId="948"/>
    <cellStyle name="Percent [2] 6" xfId="949"/>
    <cellStyle name="Percent 10" xfId="950"/>
    <cellStyle name="Percent 10 2" xfId="951"/>
    <cellStyle name="Percent 10 3" xfId="952"/>
    <cellStyle name="Percent 11" xfId="953"/>
    <cellStyle name="Percent 11 2" xfId="954"/>
    <cellStyle name="Percent 12" xfId="955"/>
    <cellStyle name="Percent 12 2" xfId="956"/>
    <cellStyle name="Percent 13" xfId="957"/>
    <cellStyle name="Percent 13 2" xfId="958"/>
    <cellStyle name="Percent 14" xfId="959"/>
    <cellStyle name="Percent 14 2" xfId="960"/>
    <cellStyle name="Percent 15" xfId="961"/>
    <cellStyle name="Percent 15 2" xfId="962"/>
    <cellStyle name="Percent 16" xfId="963"/>
    <cellStyle name="Percent 16 2" xfId="964"/>
    <cellStyle name="Percent 17" xfId="965"/>
    <cellStyle name="Percent 17 2" xfId="966"/>
    <cellStyle name="Percent 17 3" xfId="967"/>
    <cellStyle name="Percent 18" xfId="968"/>
    <cellStyle name="Percent 19" xfId="969"/>
    <cellStyle name="Percent 2" xfId="970"/>
    <cellStyle name="Percent 2 2" xfId="971"/>
    <cellStyle name="Percent 2 2 2" xfId="972"/>
    <cellStyle name="Percent 2 3" xfId="973"/>
    <cellStyle name="Percent 2 4" xfId="974"/>
    <cellStyle name="Percent 2 4 2" xfId="975"/>
    <cellStyle name="Percent 20" xfId="976"/>
    <cellStyle name="Percent 20 2" xfId="977"/>
    <cellStyle name="Percent 20 3" xfId="978"/>
    <cellStyle name="Percent 21" xfId="979"/>
    <cellStyle name="Percent 21 2" xfId="980"/>
    <cellStyle name="Percent 21 3" xfId="981"/>
    <cellStyle name="Percent 22" xfId="982"/>
    <cellStyle name="Percent 22 2" xfId="983"/>
    <cellStyle name="Percent 23" xfId="984"/>
    <cellStyle name="Percent 23 2" xfId="985"/>
    <cellStyle name="Percent 23 3" xfId="986"/>
    <cellStyle name="Percent 24" xfId="987"/>
    <cellStyle name="Percent 24 2" xfId="988"/>
    <cellStyle name="Percent 25" xfId="989"/>
    <cellStyle name="Percent 25 2" xfId="990"/>
    <cellStyle name="Percent 25 3" xfId="991"/>
    <cellStyle name="Percent 26" xfId="992"/>
    <cellStyle name="Percent 26 2" xfId="993"/>
    <cellStyle name="Percent 27" xfId="994"/>
    <cellStyle name="Percent 28" xfId="995"/>
    <cellStyle name="Percent 28 2" xfId="996"/>
    <cellStyle name="Percent 29" xfId="997"/>
    <cellStyle name="Percent 3" xfId="998"/>
    <cellStyle name="Percent 3 2" xfId="999"/>
    <cellStyle name="Percent 30" xfId="1000"/>
    <cellStyle name="Percent 31" xfId="1001"/>
    <cellStyle name="Percent 31 2" xfId="1002"/>
    <cellStyle name="Percent 32" xfId="1003"/>
    <cellStyle name="Percent 32 2" xfId="1004"/>
    <cellStyle name="Percent 33" xfId="1005"/>
    <cellStyle name="Percent 34" xfId="1006"/>
    <cellStyle name="Percent 35" xfId="1007"/>
    <cellStyle name="Percent 36" xfId="1008"/>
    <cellStyle name="Percent 37" xfId="1009"/>
    <cellStyle name="Percent 38" xfId="1010"/>
    <cellStyle name="Percent 39" xfId="1011"/>
    <cellStyle name="Percent 4" xfId="1012"/>
    <cellStyle name="Percent 4 2" xfId="1013"/>
    <cellStyle name="Percent 4 3" xfId="1014"/>
    <cellStyle name="Percent 4 4" xfId="1015"/>
    <cellStyle name="Percent 4 4 2" xfId="1016"/>
    <cellStyle name="Percent 40" xfId="1017"/>
    <cellStyle name="Percent 41" xfId="1018"/>
    <cellStyle name="Percent 42" xfId="1019"/>
    <cellStyle name="Percent 43" xfId="1020"/>
    <cellStyle name="Percent 44" xfId="1021"/>
    <cellStyle name="Percent 45" xfId="1022"/>
    <cellStyle name="Percent 46" xfId="1023"/>
    <cellStyle name="Percent 47" xfId="1024"/>
    <cellStyle name="Percent 48" xfId="1025"/>
    <cellStyle name="Percent 49" xfId="1026"/>
    <cellStyle name="Percent 5" xfId="1027"/>
    <cellStyle name="Percent 5 2" xfId="1028"/>
    <cellStyle name="Percent 50" xfId="1029"/>
    <cellStyle name="Percent 51" xfId="1030"/>
    <cellStyle name="Percent 52" xfId="1031"/>
    <cellStyle name="Percent 53" xfId="1032"/>
    <cellStyle name="Percent 54" xfId="1033"/>
    <cellStyle name="Percent 55" xfId="1034"/>
    <cellStyle name="Percent 56" xfId="1035"/>
    <cellStyle name="Percent 57" xfId="1036"/>
    <cellStyle name="Percent 58" xfId="1037"/>
    <cellStyle name="Percent 59" xfId="1038"/>
    <cellStyle name="Percent 6" xfId="1039"/>
    <cellStyle name="Percent 6 2" xfId="1040"/>
    <cellStyle name="Percent 60" xfId="1041"/>
    <cellStyle name="Percent 61" xfId="1042"/>
    <cellStyle name="Percent 62" xfId="1043"/>
    <cellStyle name="Percent 63" xfId="1044"/>
    <cellStyle name="Percent 64" xfId="1045"/>
    <cellStyle name="Percent 65" xfId="1046"/>
    <cellStyle name="Percent 66" xfId="1047"/>
    <cellStyle name="Percent 67" xfId="1048"/>
    <cellStyle name="Percent 68" xfId="1049"/>
    <cellStyle name="Percent 69" xfId="1050"/>
    <cellStyle name="Percent 7" xfId="1051"/>
    <cellStyle name="Percent 7 2" xfId="1052"/>
    <cellStyle name="Percent 70" xfId="1053"/>
    <cellStyle name="Percent 71" xfId="1054"/>
    <cellStyle name="Percent 72" xfId="1055"/>
    <cellStyle name="Percent 73" xfId="1056"/>
    <cellStyle name="Percent 73 2" xfId="1424"/>
    <cellStyle name="Percent 74" xfId="1422"/>
    <cellStyle name="Percent 75" xfId="1408"/>
    <cellStyle name="Percent 76" xfId="1420"/>
    <cellStyle name="Percent 77" xfId="1407"/>
    <cellStyle name="Percent 78" xfId="1421"/>
    <cellStyle name="Percent 79" xfId="1406"/>
    <cellStyle name="Percent 8" xfId="1057"/>
    <cellStyle name="Percent 80" xfId="1423"/>
    <cellStyle name="Percent 81" xfId="1405"/>
    <cellStyle name="Percent 82" xfId="1429"/>
    <cellStyle name="Percent 83" xfId="1426"/>
    <cellStyle name="Percent 84" xfId="1431"/>
    <cellStyle name="Percent 9" xfId="1058"/>
    <cellStyle name="Percent 9 2" xfId="1059"/>
    <cellStyle name="Percent 9 3" xfId="1060"/>
    <cellStyle name="Percent[1]" xfId="1061"/>
    <cellStyle name="Percent0" xfId="1062"/>
    <cellStyle name="Percent0 2" xfId="1063"/>
    <cellStyle name="Percent1" xfId="1064"/>
    <cellStyle name="Percent2" xfId="1065"/>
    <cellStyle name="percentage" xfId="1066"/>
    <cellStyle name="percentage 2" xfId="1067"/>
    <cellStyle name="Percent-Input" xfId="1068"/>
    <cellStyle name="PercentPresentation" xfId="1069"/>
    <cellStyle name="PercentPresentation 2" xfId="1070"/>
    <cellStyle name="POPS" xfId="1071"/>
    <cellStyle name="POPS 2" xfId="1072"/>
    <cellStyle name="PresentationZero" xfId="1073"/>
    <cellStyle name="PresentationZero 2" xfId="1074"/>
    <cellStyle name="price" xfId="1075"/>
    <cellStyle name="ProtectedDates" xfId="1076"/>
    <cellStyle name="RED" xfId="1077"/>
    <cellStyle name="Ref Numbers" xfId="1078"/>
    <cellStyle name="Restruct" xfId="1079"/>
    <cellStyle name="Restruct 2" xfId="1080"/>
    <cellStyle name="Restruct 2 2" xfId="1425"/>
    <cellStyle name="RevList" xfId="1081"/>
    <cellStyle name="Right" xfId="1082"/>
    <cellStyle name="RRSInstruction" xfId="1083"/>
    <cellStyle name="RRSInstruction 2" xfId="1084"/>
    <cellStyle name="s_DCFLBO Code_Wireline Tel Forecast " xfId="1085"/>
    <cellStyle name="s_HardInc " xfId="1086"/>
    <cellStyle name="s_HardInc _IVT1" xfId="1087"/>
    <cellStyle name="s_HardInc _IVT1 2" xfId="1088"/>
    <cellStyle name="s_HardInc _JapaneseCatalog" xfId="1089"/>
    <cellStyle name="s_HardInc _JapaneseCatalog 2" xfId="1090"/>
    <cellStyle name="s_HardInc _RRST1" xfId="1091"/>
    <cellStyle name="s_HardInc _RRST1 2" xfId="1092"/>
    <cellStyle name="s_HardInc _RRST1_Book3" xfId="1093"/>
    <cellStyle name="s_HardInc _RRST1_IS" xfId="1094"/>
    <cellStyle name="s_HardInc _RRST1_Model2454 120427" xfId="1095"/>
    <cellStyle name="s_HardInc _RRST1_TEJ Raw Data" xfId="1096"/>
    <cellStyle name="s_HardInc _RRST1_TEJ Raw Data_Parent" xfId="1097"/>
    <cellStyle name="s_HardInc _RRST11" xfId="1098"/>
    <cellStyle name="s_HardInc _RRST12" xfId="1099"/>
    <cellStyle name="s_HardInc _RRST19" xfId="1100"/>
    <cellStyle name="s_HardInc _RRST19 2" xfId="1101"/>
    <cellStyle name="s_HardInc _RRST2" xfId="1102"/>
    <cellStyle name="s_HardInc _RRST2 2" xfId="1103"/>
    <cellStyle name="s_HardInc _RRST20" xfId="1104"/>
    <cellStyle name="s_HardInc _RRST20 2" xfId="1105"/>
    <cellStyle name="s_HardInc _RRST25" xfId="1106"/>
    <cellStyle name="s_HardInc _RRST25 2" xfId="1107"/>
    <cellStyle name="s_HardInc _RRST3" xfId="1108"/>
    <cellStyle name="s_HardInc _RRST3 2" xfId="1109"/>
    <cellStyle name="s_HardInc _RRST4" xfId="1110"/>
    <cellStyle name="s_HardInc _RRST5" xfId="1111"/>
    <cellStyle name="s_HardInc _RRST5 2" xfId="1112"/>
    <cellStyle name="s_HardInc _RRST6" xfId="1113"/>
    <cellStyle name="s_HardInc _RRST6 2" xfId="1114"/>
    <cellStyle name="s_HardInc _RRST7" xfId="1115"/>
    <cellStyle name="s_HardInc _RRST7 2" xfId="1116"/>
    <cellStyle name="s_Valuation " xfId="1117"/>
    <cellStyle name="s_Valuation _IVT1" xfId="1118"/>
    <cellStyle name="s_Valuation _IVT1 2" xfId="1119"/>
    <cellStyle name="s_Valuation _JapaneseCatalog" xfId="1120"/>
    <cellStyle name="s_Valuation _JapaneseCatalog 2" xfId="1121"/>
    <cellStyle name="s_Valuation _RRST1" xfId="1122"/>
    <cellStyle name="s_Valuation _RRST1 2" xfId="1123"/>
    <cellStyle name="s_Valuation _RRST1_Book3" xfId="1124"/>
    <cellStyle name="s_Valuation _RRST1_IS" xfId="1125"/>
    <cellStyle name="s_Valuation _RRST1_Model2454 120427" xfId="1126"/>
    <cellStyle name="s_Valuation _RRST1_TEJ Raw Data" xfId="1127"/>
    <cellStyle name="s_Valuation _RRST1_TEJ Raw Data_Parent" xfId="1128"/>
    <cellStyle name="s_Valuation _RRST11" xfId="1129"/>
    <cellStyle name="s_Valuation _RRST12" xfId="1130"/>
    <cellStyle name="s_Valuation _RRST19" xfId="1131"/>
    <cellStyle name="s_Valuation _RRST19 2" xfId="1132"/>
    <cellStyle name="s_Valuation _RRST2" xfId="1133"/>
    <cellStyle name="s_Valuation _RRST2 2" xfId="1134"/>
    <cellStyle name="s_Valuation _RRST20" xfId="1135"/>
    <cellStyle name="s_Valuation _RRST20 2" xfId="1136"/>
    <cellStyle name="s_Valuation _RRST25" xfId="1137"/>
    <cellStyle name="s_Valuation _RRST25 2" xfId="1138"/>
    <cellStyle name="s_Valuation _RRST3" xfId="1139"/>
    <cellStyle name="s_Valuation _RRST3 2" xfId="1140"/>
    <cellStyle name="s_Valuation _RRST4" xfId="1141"/>
    <cellStyle name="s_Valuation _RRST5" xfId="1142"/>
    <cellStyle name="s_Valuation _RRST5 2" xfId="1143"/>
    <cellStyle name="s_Valuation _RRST6" xfId="1144"/>
    <cellStyle name="s_Valuation _RRST6 2" xfId="1145"/>
    <cellStyle name="s_Valuation _RRST7" xfId="1146"/>
    <cellStyle name="s_Valuation _RRST7 2" xfId="1147"/>
    <cellStyle name="Shaded" xfId="1148"/>
    <cellStyle name="Shares" xfId="1149"/>
    <cellStyle name="Shares 2" xfId="1150"/>
    <cellStyle name="Source Line" xfId="1151"/>
    <cellStyle name="Source Line 2" xfId="1152"/>
    <cellStyle name="ssp " xfId="1153"/>
    <cellStyle name="Style 1" xfId="1154"/>
    <cellStyle name="Style 1 2" xfId="1155"/>
    <cellStyle name="Style 1 2 2" xfId="1156"/>
    <cellStyle name="Style 1 2 3" xfId="1157"/>
    <cellStyle name="Style 1 3" xfId="1158"/>
    <cellStyle name="Style 1 3 2" xfId="1159"/>
    <cellStyle name="Style 1 4" xfId="1160"/>
    <cellStyle name="Style 1 4 2" xfId="1161"/>
    <cellStyle name="Style 1 4 2 2" xfId="1162"/>
    <cellStyle name="Style 1 4 3" xfId="1163"/>
    <cellStyle name="Style 1 5" xfId="1164"/>
    <cellStyle name="Style 1 5 2" xfId="1165"/>
    <cellStyle name="Style 1 5 2 2" xfId="1166"/>
    <cellStyle name="Style 1 5 3" xfId="1167"/>
    <cellStyle name="Style 1 6" xfId="1168"/>
    <cellStyle name="Style 1 6 2" xfId="1169"/>
    <cellStyle name="Style 1 6 2 2" xfId="1170"/>
    <cellStyle name="Style 1 6 3" xfId="1171"/>
    <cellStyle name="Style 1 7" xfId="1172"/>
    <cellStyle name="Style 1 7 2" xfId="1173"/>
    <cellStyle name="Style 1 7 3" xfId="1174"/>
    <cellStyle name="Style 1 8" xfId="1175"/>
    <cellStyle name="Style 1 9" xfId="1176"/>
    <cellStyle name="Style 10" xfId="1177"/>
    <cellStyle name="Style 10 2" xfId="1178"/>
    <cellStyle name="Style 100" xfId="1179"/>
    <cellStyle name="Style 101" xfId="1180"/>
    <cellStyle name="Style 102" xfId="1181"/>
    <cellStyle name="Style 103" xfId="1182"/>
    <cellStyle name="Style 104" xfId="1183"/>
    <cellStyle name="Style 105" xfId="1184"/>
    <cellStyle name="Style 106" xfId="1185"/>
    <cellStyle name="Style 107" xfId="1186"/>
    <cellStyle name="Style 108" xfId="1187"/>
    <cellStyle name="Style 109" xfId="1188"/>
    <cellStyle name="Style 11" xfId="1189"/>
    <cellStyle name="Style 11 2" xfId="1190"/>
    <cellStyle name="Style 110" xfId="1191"/>
    <cellStyle name="Style 111" xfId="1192"/>
    <cellStyle name="Style 112" xfId="1193"/>
    <cellStyle name="Style 113" xfId="1194"/>
    <cellStyle name="Style 114" xfId="1195"/>
    <cellStyle name="Style 115" xfId="1196"/>
    <cellStyle name="Style 116" xfId="1197"/>
    <cellStyle name="Style 12" xfId="1198"/>
    <cellStyle name="Style 12 2" xfId="1199"/>
    <cellStyle name="Style 13" xfId="1200"/>
    <cellStyle name="Style 13 2" xfId="1201"/>
    <cellStyle name="Style 14" xfId="1202"/>
    <cellStyle name="Style 14 2" xfId="1203"/>
    <cellStyle name="Style 15" xfId="1204"/>
    <cellStyle name="Style 15 2" xfId="1205"/>
    <cellStyle name="Style 16" xfId="1206"/>
    <cellStyle name="Style 16 2" xfId="1207"/>
    <cellStyle name="Style 17" xfId="1208"/>
    <cellStyle name="Style 17 2" xfId="1209"/>
    <cellStyle name="Style 18" xfId="1210"/>
    <cellStyle name="Style 18 2" xfId="1211"/>
    <cellStyle name="Style 19" xfId="1212"/>
    <cellStyle name="Style 19 2" xfId="1213"/>
    <cellStyle name="Style 2" xfId="1214"/>
    <cellStyle name="Style 2 2" xfId="1215"/>
    <cellStyle name="Style 2 3" xfId="1216"/>
    <cellStyle name="Style 2 3 2" xfId="1217"/>
    <cellStyle name="Style 2 4" xfId="1218"/>
    <cellStyle name="Style 2 4 2" xfId="1219"/>
    <cellStyle name="Style 2 5" xfId="1220"/>
    <cellStyle name="Style 2 5 2" xfId="1221"/>
    <cellStyle name="Style 2 6" xfId="1222"/>
    <cellStyle name="Style 20" xfId="1223"/>
    <cellStyle name="Style 20 2" xfId="1224"/>
    <cellStyle name="Style 21" xfId="1225"/>
    <cellStyle name="Style 21 2" xfId="1226"/>
    <cellStyle name="Style 22" xfId="1227"/>
    <cellStyle name="Style 22 2" xfId="1228"/>
    <cellStyle name="Style 23" xfId="1229"/>
    <cellStyle name="Style 23 2" xfId="1230"/>
    <cellStyle name="Style 24" xfId="1231"/>
    <cellStyle name="Style 24 2" xfId="1232"/>
    <cellStyle name="Style 25" xfId="1233"/>
    <cellStyle name="Style 25 2" xfId="1234"/>
    <cellStyle name="Style 26" xfId="1235"/>
    <cellStyle name="Style 26 2" xfId="1236"/>
    <cellStyle name="Style 27" xfId="1237"/>
    <cellStyle name="Style 27 2" xfId="1238"/>
    <cellStyle name="Style 28" xfId="1239"/>
    <cellStyle name="Style 29" xfId="1240"/>
    <cellStyle name="Style 3" xfId="1241"/>
    <cellStyle name="Style 3 2" xfId="1242"/>
    <cellStyle name="Style 30" xfId="1243"/>
    <cellStyle name="Style 31" xfId="1244"/>
    <cellStyle name="Style 32" xfId="1245"/>
    <cellStyle name="Style 33" xfId="1246"/>
    <cellStyle name="Style 34" xfId="1247"/>
    <cellStyle name="Style 35" xfId="1248"/>
    <cellStyle name="Style 36" xfId="1249"/>
    <cellStyle name="Style 37" xfId="1250"/>
    <cellStyle name="Style 38" xfId="1251"/>
    <cellStyle name="Style 39" xfId="1252"/>
    <cellStyle name="Style 4" xfId="1253"/>
    <cellStyle name="Style 4 2" xfId="1254"/>
    <cellStyle name="Style 40" xfId="1255"/>
    <cellStyle name="Style 41" xfId="1256"/>
    <cellStyle name="Style 42" xfId="1257"/>
    <cellStyle name="Style 43" xfId="1258"/>
    <cellStyle name="Style 44" xfId="1259"/>
    <cellStyle name="Style 45" xfId="1260"/>
    <cellStyle name="Style 46" xfId="1261"/>
    <cellStyle name="Style 47" xfId="1262"/>
    <cellStyle name="Style 48" xfId="1263"/>
    <cellStyle name="Style 49" xfId="1264"/>
    <cellStyle name="Style 5" xfId="1265"/>
    <cellStyle name="Style 5 2" xfId="1266"/>
    <cellStyle name="Style 5 3" xfId="1267"/>
    <cellStyle name="Style 5 3 2" xfId="1268"/>
    <cellStyle name="Style 5 4" xfId="1269"/>
    <cellStyle name="Style 5 4 2" xfId="1270"/>
    <cellStyle name="Style 5 5" xfId="1271"/>
    <cellStyle name="Style 5 5 2" xfId="1272"/>
    <cellStyle name="Style 5 6" xfId="1273"/>
    <cellStyle name="Style 50" xfId="1274"/>
    <cellStyle name="Style 51" xfId="1275"/>
    <cellStyle name="Style 52" xfId="1276"/>
    <cellStyle name="Style 53" xfId="1277"/>
    <cellStyle name="Style 54" xfId="1278"/>
    <cellStyle name="Style 55" xfId="1279"/>
    <cellStyle name="Style 56" xfId="1280"/>
    <cellStyle name="Style 57" xfId="1281"/>
    <cellStyle name="Style 58" xfId="1282"/>
    <cellStyle name="Style 59" xfId="1283"/>
    <cellStyle name="Style 6" xfId="1284"/>
    <cellStyle name="Style 6 2" xfId="1285"/>
    <cellStyle name="Style 60" xfId="1286"/>
    <cellStyle name="Style 61" xfId="1287"/>
    <cellStyle name="Style 62" xfId="1288"/>
    <cellStyle name="Style 63" xfId="1289"/>
    <cellStyle name="Style 64" xfId="1290"/>
    <cellStyle name="Style 65" xfId="1291"/>
    <cellStyle name="Style 66" xfId="1292"/>
    <cellStyle name="Style 67" xfId="1293"/>
    <cellStyle name="Style 68" xfId="1294"/>
    <cellStyle name="Style 69" xfId="1295"/>
    <cellStyle name="Style 7" xfId="1296"/>
    <cellStyle name="Style 7 2" xfId="1297"/>
    <cellStyle name="Style 70" xfId="1298"/>
    <cellStyle name="Style 71" xfId="1299"/>
    <cellStyle name="Style 72" xfId="1300"/>
    <cellStyle name="Style 73" xfId="1301"/>
    <cellStyle name="Style 74" xfId="1302"/>
    <cellStyle name="Style 75" xfId="1303"/>
    <cellStyle name="Style 76" xfId="1304"/>
    <cellStyle name="Style 77" xfId="1305"/>
    <cellStyle name="Style 78" xfId="1306"/>
    <cellStyle name="Style 79" xfId="1307"/>
    <cellStyle name="Style 8" xfId="1308"/>
    <cellStyle name="Style 8 2" xfId="1309"/>
    <cellStyle name="Style 80" xfId="1310"/>
    <cellStyle name="Style 81" xfId="1311"/>
    <cellStyle name="Style 82" xfId="1312"/>
    <cellStyle name="Style 83" xfId="1313"/>
    <cellStyle name="Style 84" xfId="1314"/>
    <cellStyle name="Style 85" xfId="1315"/>
    <cellStyle name="Style 86" xfId="1316"/>
    <cellStyle name="Style 87" xfId="1317"/>
    <cellStyle name="Style 88" xfId="1318"/>
    <cellStyle name="Style 89" xfId="1319"/>
    <cellStyle name="Style 9" xfId="1320"/>
    <cellStyle name="Style 9 2" xfId="1321"/>
    <cellStyle name="Style 90" xfId="1322"/>
    <cellStyle name="Style 91" xfId="1323"/>
    <cellStyle name="Style 92" xfId="1324"/>
    <cellStyle name="Style 93" xfId="1325"/>
    <cellStyle name="Style 94" xfId="1326"/>
    <cellStyle name="Style 95" xfId="1327"/>
    <cellStyle name="Style 96" xfId="1328"/>
    <cellStyle name="Style 97" xfId="1329"/>
    <cellStyle name="Style 98" xfId="1330"/>
    <cellStyle name="Style 99" xfId="1331"/>
    <cellStyle name="STYLE1" xfId="1332"/>
    <cellStyle name="STYLE2" xfId="1333"/>
    <cellStyle name="SubDollar" xfId="1334"/>
    <cellStyle name="SubGrowthRate" xfId="1335"/>
    <cellStyle name="Subhead" xfId="1336"/>
    <cellStyle name="Subscribers" xfId="1337"/>
    <cellStyle name="Subscribers 2" xfId="1338"/>
    <cellStyle name="Subtotal" xfId="1339"/>
    <cellStyle name="SubVariable" xfId="1340"/>
    <cellStyle name="Table Heading" xfId="1341"/>
    <cellStyle name="Table Title" xfId="1342"/>
    <cellStyle name="Table Units" xfId="1343"/>
    <cellStyle name="TableName" xfId="1344"/>
    <cellStyle name="TableName 2" xfId="1345"/>
    <cellStyle name="Text Wrap" xfId="1346"/>
    <cellStyle name="textbold" xfId="1347"/>
    <cellStyle name="textbold 2" xfId="1348"/>
    <cellStyle name="þ_x001d_ðK_x000c_Fý_x001b__x000d_9ýU_x0001_Ð_x0008_¦)_x0007__x0001__x0001_" xfId="1349"/>
    <cellStyle name="Title 2" xfId="1350"/>
    <cellStyle name="Title 2 2" xfId="1351"/>
    <cellStyle name="Title 3" xfId="1352"/>
    <cellStyle name="Title 4" xfId="1353"/>
    <cellStyle name="Title Line" xfId="1354"/>
    <cellStyle name="title1" xfId="1355"/>
    <cellStyle name="title2" xfId="1356"/>
    <cellStyle name="TitleII" xfId="1357"/>
    <cellStyle name="Titles" xfId="1358"/>
    <cellStyle name="top" xfId="1359"/>
    <cellStyle name="Top Line" xfId="1360"/>
    <cellStyle name="Top Line 2" xfId="1361"/>
    <cellStyle name="Top Row" xfId="1362"/>
    <cellStyle name="top-title" xfId="1363"/>
    <cellStyle name="Total 2" xfId="1364"/>
    <cellStyle name="Total 2 2" xfId="1365"/>
    <cellStyle name="Total 3" xfId="1366"/>
    <cellStyle name="Total 4" xfId="1367"/>
    <cellStyle name="Total Row" xfId="1368"/>
    <cellStyle name="Totals" xfId="1369"/>
    <cellStyle name="underline 1 decimal" xfId="1370"/>
    <cellStyle name="UnderlineNormal" xfId="1371"/>
    <cellStyle name="UnderlineNormal 2" xfId="1372"/>
    <cellStyle name="Unprot" xfId="1373"/>
    <cellStyle name="Unprotect" xfId="1374"/>
    <cellStyle name="Unprotected" xfId="1375"/>
    <cellStyle name="UnProtectedCalc" xfId="1376"/>
    <cellStyle name="Upload Only" xfId="1377"/>
    <cellStyle name="Upload Only 2" xfId="1378"/>
    <cellStyle name="Warning Text 2" xfId="1379"/>
    <cellStyle name="Warning Text 3" xfId="1380"/>
    <cellStyle name="Warning Text 4" xfId="1381"/>
    <cellStyle name="Year" xfId="1382"/>
    <cellStyle name="Year 2" xfId="1383"/>
    <cellStyle name="Year 3" xfId="1384"/>
    <cellStyle name="Year 3 2" xfId="1385"/>
    <cellStyle name="Year 4" xfId="1386"/>
    <cellStyle name="Year 4 2" xfId="1387"/>
    <cellStyle name="Year 5" xfId="1388"/>
    <cellStyle name="Year 5 2" xfId="1389"/>
    <cellStyle name="Year 6" xfId="1390"/>
    <cellStyle name="Years" xfId="1391"/>
    <cellStyle name="パーセント_QTBLNEW" xfId="1392"/>
    <cellStyle name="뷭?_BOOKSHIP_실적현황 " xfId="1393"/>
    <cellStyle name="쬞\?1@" xfId="1394"/>
    <cellStyle name="쬞\?1@ 2" xfId="1395"/>
    <cellStyle name="콤마 [0]_   " xfId="1396"/>
    <cellStyle name="콤마_   " xfId="1397"/>
    <cellStyle name="표준_0N-HANDLING " xfId="1398"/>
    <cellStyle name="하이퍼링크_000727 IMT-2000 시설투자물량(4210) 4FA고려 필요 " xfId="1399"/>
    <cellStyle name="一般_COM2357pllM" xfId="1400"/>
    <cellStyle name="千分位_COM2357pllpl" xfId="1401"/>
    <cellStyle name="常规_Changchun1" xfId="1402"/>
    <cellStyle name="標準_Total (2)" xfId="1403"/>
  </cellStyles>
  <dxfs count="348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2.xml" Type="http://schemas.openxmlformats.org/officeDocument/2006/relationships/externalLink"/>
<Relationship Id="rId11" Target="externalLinks/externalLink3.xml" Type="http://schemas.openxmlformats.org/officeDocument/2006/relationships/externalLink"/>
<Relationship Id="rId12" Target="externalLinks/externalLink4.xml" Type="http://schemas.openxmlformats.org/officeDocument/2006/relationships/externalLink"/>
<Relationship Id="rId13" Target="externalLinks/externalLink5.xml" Type="http://schemas.openxmlformats.org/officeDocument/2006/relationships/externalLink"/>
<Relationship Id="rId14" Target="externalLinks/externalLink6.xml" Type="http://schemas.openxmlformats.org/officeDocument/2006/relationships/externalLink"/>
<Relationship Id="rId15" Target="theme/theme1.xml" Type="http://schemas.openxmlformats.org/officeDocument/2006/relationships/theme"/>
<Relationship Id="rId16" Target="styles.xml" Type="http://schemas.openxmlformats.org/officeDocument/2006/relationships/styles"/>
<Relationship Id="rId17" Target="sharedStrings.xml" Type="http://schemas.openxmlformats.org/officeDocument/2006/relationships/sharedStrings"/>
<Relationship Id="rId18" Target="calcChain.xml" Type="http://schemas.openxmlformats.org/officeDocument/2006/relationships/calcChain"/>
<Relationship Id="rId19" Target="../customXml/item1.xml" Type="http://schemas.openxmlformats.org/officeDocument/2006/relationships/customXml"/>
<Relationship Id="rId2" Target="worksheets/sheet2.xml" Type="http://schemas.openxmlformats.org/officeDocument/2006/relationships/worksheet"/>
<Relationship Id="rId20" Target="../customXml/item2.xml" Type="http://schemas.openxmlformats.org/officeDocument/2006/relationships/customXml"/>
<Relationship Id="rId21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externalLinks/externalLink1.xml" Type="http://schemas.openxmlformats.org/officeDocument/2006/relationships/externalLink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'BU-Segment'!$B$133</c:f>
              <c:strCache>
                <c:ptCount val="1"/>
                <c:pt idx="0">
                  <c:v>China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cat>
            <c:multiLvlStrRef>
              <c:f>'BU-Segment'!$BN$132:$BU$132</c:f>
            </c:multiLvlStrRef>
          </c:cat>
          <c:val>
            <c:numRef>
              <c:f>'BU-Segment'!$BN$133:$BU$133</c:f>
            </c:numRef>
          </c:val>
        </c:ser>
        <c:ser>
          <c:idx val="1"/>
          <c:order val="1"/>
          <c:tx>
            <c:strRef>
              <c:f>'BU-Segment'!$B$134</c:f>
              <c:strCache>
                <c:ptCount val="1"/>
                <c:pt idx="0">
                  <c:v>Taiwan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cat>
            <c:multiLvlStrRef>
              <c:f>'BU-Segment'!$BN$132:$BU$132</c:f>
            </c:multiLvlStrRef>
          </c:cat>
          <c:val>
            <c:numRef>
              <c:f>'BU-Segment'!$BN$134:$BU$134</c:f>
            </c:numRef>
          </c:val>
        </c:ser>
        <c:ser>
          <c:idx val="2"/>
          <c:order val="2"/>
          <c:tx>
            <c:strRef>
              <c:f>'BU-Segment'!$B$135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4AAC6B"/>
            </a:solidFill>
            <a:ln w="25400">
              <a:noFill/>
            </a:ln>
          </c:spPr>
          <c:cat>
            <c:multiLvlStrRef>
              <c:f>'BU-Segment'!$BN$132:$BU$132</c:f>
            </c:multiLvlStrRef>
          </c:cat>
          <c:val>
            <c:numRef>
              <c:f>'BU-Segment'!$BN$135:$BU$135</c:f>
            </c:numRef>
          </c:val>
        </c:ser>
        <c:ser>
          <c:idx val="3"/>
          <c:order val="3"/>
          <c:tx>
            <c:strRef>
              <c:f>'BU-Segment'!$B$136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A8D7E2"/>
            </a:solidFill>
            <a:ln w="25400">
              <a:noFill/>
            </a:ln>
          </c:spPr>
          <c:cat>
            <c:multiLvlStrRef>
              <c:f>'BU-Segment'!$BN$132:$BU$132</c:f>
            </c:multiLvlStrRef>
          </c:cat>
          <c:val>
            <c:numRef>
              <c:f>'BU-Segment'!$BN$136:$BU$136</c:f>
            </c:numRef>
          </c:val>
        </c:ser>
        <c:ser>
          <c:idx val="4"/>
          <c:order val="4"/>
          <c:tx>
            <c:strRef>
              <c:f>'BU-Segment'!$B$137</c:f>
              <c:strCache>
                <c:ptCount val="1"/>
                <c:pt idx="0">
                  <c:v>Rest of World</c:v>
                </c:pt>
              </c:strCache>
            </c:strRef>
          </c:tx>
          <c:spPr>
            <a:solidFill>
              <a:srgbClr val="E58061"/>
            </a:solidFill>
            <a:ln w="25400">
              <a:noFill/>
            </a:ln>
          </c:spPr>
          <c:cat>
            <c:multiLvlStrRef>
              <c:f>'BU-Segment'!$BN$132:$BU$132</c:f>
            </c:multiLvlStrRef>
          </c:cat>
          <c:val>
            <c:numRef>
              <c:f>'BU-Segment'!$BN$137:$BU$137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062464"/>
        <c:axId val="650068352"/>
      </c:areaChart>
      <c:catAx>
        <c:axId val="65006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50068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068352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50062464"/>
        <c:crosses val="autoZero"/>
        <c:crossBetween val="midCat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648787116641739"/>
          <c:y val="0.29704897208133685"/>
          <c:w val="0.19160718688869527"/>
          <c:h val="0.40590168221854828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 verticalDpi="0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5.png" Type="http://schemas.openxmlformats.org/officeDocument/2006/relationships/image"/>
<Relationship Id="rId2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7</xdr:col>
      <xdr:colOff>390525</xdr:colOff>
      <xdr:row>194</xdr:row>
      <xdr:rowOff>19050</xdr:rowOff>
    </xdr:to>
    <xdr:pic>
      <xdr:nvPicPr>
        <xdr:cNvPr id="2685953" name="Picture 1" descr="C:\Users\sarlinde\AppData\Local\Temp\MercuryPriceRatingHistoryChart\AMAT.O_2018_02_14_18_34_5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1178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1504950</xdr:colOff>
      <xdr:row>1</xdr:row>
      <xdr:rowOff>228600</xdr:rowOff>
    </xdr:to>
    <xdr:pic>
      <xdr:nvPicPr>
        <xdr:cNvPr id="217992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0"/>
          <a:ext cx="15049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1504950</xdr:colOff>
      <xdr:row>1</xdr:row>
      <xdr:rowOff>228600</xdr:rowOff>
    </xdr:to>
    <xdr:pic>
      <xdr:nvPicPr>
        <xdr:cNvPr id="2180794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0"/>
          <a:ext cx="15049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1504950</xdr:colOff>
      <xdr:row>1</xdr:row>
      <xdr:rowOff>228600</xdr:rowOff>
    </xdr:to>
    <xdr:pic>
      <xdr:nvPicPr>
        <xdr:cNvPr id="2181819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0"/>
          <a:ext cx="15049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104775</xdr:rowOff>
    </xdr:from>
    <xdr:to>
      <xdr:col>1</xdr:col>
      <xdr:colOff>2114550</xdr:colOff>
      <xdr:row>0</xdr:row>
      <xdr:rowOff>676275</xdr:rowOff>
    </xdr:to>
    <xdr:pic>
      <xdr:nvPicPr>
        <xdr:cNvPr id="3577013" name="Picture 19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764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67</xdr:col>
      <xdr:colOff>152400</xdr:colOff>
      <xdr:row>145</xdr:row>
      <xdr:rowOff>152400</xdr:rowOff>
    </xdr:from>
    <xdr:to>
      <xdr:col>79</xdr:col>
      <xdr:colOff>152400</xdr:colOff>
      <xdr:row>147</xdr:row>
      <xdr:rowOff>0</xdr:rowOff>
    </xdr:to>
    <xdr:graphicFrame macro="">
      <xdr:nvGraphicFramePr>
        <xdr:cNvPr id="35770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/Documents%20and%20Settings/changgin/Local%20Settings/Temporary%20Internet%20Files/Content.IE5/Y2YG6BEY/Backup/TSMC%20Model%202013-10-18_old%20data.xls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Quickstrike_Amba/Andres%20Gonzalez/Starters%20Initiation/AMAT/New%20Model/AMAT%20WIP.xls" TargetMode="External" Type="http://schemas.microsoft.com/office/2006/relationships/xlExternalLinkPath/xlStartup"/>
</Relationships>

</file>

<file path=xl/externalLinks/_rels/externalLink4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5.xml.rels><?xml version="1.0" encoding="UTF-8" standalone="yes"?>
<Relationships xmlns="http://schemas.openxmlformats.org/package/2006/relationships">
<Relationship Id="rId1" Target="NA/NY/LIB/ER/SEMI%20CAP/Joe%20Files/Companies/APH/APH_WIP_2017.xls" TargetMode="External" Type="http://schemas.microsoft.com/office/2006/relationships/xlExternalLinkPath/xlAlternateStartup"/>
</Relationships>

</file>

<file path=xl/externalLinks/_rels/externalLink6.xml.rels><?xml version="1.0" encoding="UTF-8" standalone="yes"?>
<Relationships xmlns="http://schemas.openxmlformats.org/package/2006/relationships">
<Relationship Id="rId1" Target="file:///P:/asialink/DDIC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TaxoPres"/>
      <sheetName val="mwareValPrintout"/>
      <sheetName val="Debt"/>
      <sheetName val="Monthly Old"/>
      <sheetName val="Investments"/>
      <sheetName val="Capital"/>
      <sheetName val="Q_Actual_Con"/>
      <sheetName val="Shares_old"/>
      <sheetName val="BACK UP&gt;&gt;&gt;"/>
      <sheetName val="Q_Actual_OLD"/>
      <sheetName val="GM Analysis"/>
      <sheetName val="Y_Actual_OLD"/>
      <sheetName val="Old Capacity Data"/>
      <sheetName val="For Client - Operational"/>
      <sheetName val="Emp Bonus"/>
      <sheetName val="EBS_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B1">
            <v>1993</v>
          </cell>
          <cell r="C1">
            <v>1994</v>
          </cell>
          <cell r="D1">
            <v>1995</v>
          </cell>
          <cell r="E1">
            <v>1996</v>
          </cell>
          <cell r="F1">
            <v>1997</v>
          </cell>
          <cell r="G1">
            <v>1998</v>
          </cell>
          <cell r="H1">
            <v>1999</v>
          </cell>
          <cell r="I1">
            <v>2000</v>
          </cell>
          <cell r="J1">
            <v>2001</v>
          </cell>
          <cell r="K1">
            <v>2002</v>
          </cell>
          <cell r="L1">
            <v>2003</v>
          </cell>
          <cell r="M1">
            <v>2004</v>
          </cell>
          <cell r="N1">
            <v>2005</v>
          </cell>
          <cell r="O1">
            <v>2006</v>
          </cell>
          <cell r="P1">
            <v>2007</v>
          </cell>
          <cell r="Q1">
            <v>2008</v>
          </cell>
          <cell r="R1">
            <v>2009</v>
          </cell>
          <cell r="S1">
            <v>2010</v>
          </cell>
          <cell r="T1">
            <v>2011</v>
          </cell>
          <cell r="U1">
            <v>2012</v>
          </cell>
          <cell r="V1">
            <v>2013</v>
          </cell>
          <cell r="W1">
            <v>2014</v>
          </cell>
          <cell r="X1">
            <v>2015</v>
          </cell>
          <cell r="Y1">
            <v>2016</v>
          </cell>
          <cell r="Z1">
            <v>2017</v>
          </cell>
        </row>
        <row r="2">
          <cell r="A2" t="str">
            <v>Beginning of Year, Shares Outstanding</v>
          </cell>
          <cell r="C2">
            <v>14858.129886129262</v>
          </cell>
          <cell r="D2">
            <v>15995.292722178512</v>
          </cell>
          <cell r="E2">
            <v>14203.403157343262</v>
          </cell>
          <cell r="F2">
            <v>14555.447850292283</v>
          </cell>
          <cell r="G2">
            <v>15967.656763354455</v>
          </cell>
          <cell r="H2">
            <v>16559.508758674274</v>
          </cell>
          <cell r="I2">
            <v>18234.374009670941</v>
          </cell>
          <cell r="J2">
            <v>20104.771354767843</v>
          </cell>
          <cell r="K2">
            <v>21156.262440511353</v>
          </cell>
          <cell r="L2">
            <v>23908.394794410437</v>
          </cell>
          <cell r="M2">
            <v>24282.337853496341</v>
          </cell>
          <cell r="N2">
            <v>23818.16957955308</v>
          </cell>
          <cell r="O2">
            <v>25009.779692186152</v>
          </cell>
          <cell r="P2">
            <v>25582.010802225908</v>
          </cell>
          <cell r="Q2">
            <v>26346.581999999999</v>
          </cell>
          <cell r="R2">
            <v>25909.643</v>
          </cell>
          <cell r="S2">
            <v>25835.802</v>
          </cell>
          <cell r="T2">
            <v>25905.831999999999</v>
          </cell>
          <cell r="U2">
            <v>25914.076000000001</v>
          </cell>
          <cell r="V2">
            <v>25919.154750000002</v>
          </cell>
          <cell r="W2">
            <v>25926.834750000002</v>
          </cell>
          <cell r="X2">
            <v>25927.13</v>
          </cell>
          <cell r="Y2">
            <v>25927.13</v>
          </cell>
          <cell r="Z2">
            <v>25927.13</v>
          </cell>
        </row>
        <row r="3">
          <cell r="A3" t="str">
            <v>Stock Dividend Payout (as % of NI)</v>
          </cell>
          <cell r="F3">
            <v>0.68653558911825319</v>
          </cell>
          <cell r="G3">
            <v>1.0403178869467813</v>
          </cell>
          <cell r="H3">
            <v>0.90643384996926835</v>
          </cell>
          <cell r="I3">
            <v>0.79801284892062174</v>
          </cell>
          <cell r="J3">
            <v>0.71817219111287645</v>
          </cell>
          <cell r="K3">
            <v>1.1999104801522997</v>
          </cell>
          <cell r="L3">
            <v>0.69</v>
          </cell>
          <cell r="M3">
            <v>0.60038186999999998</v>
          </cell>
          <cell r="N3">
            <v>0.126</v>
          </cell>
          <cell r="O3">
            <v>0.03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</row>
        <row r="4">
          <cell r="A4" t="str">
            <v>Stock Div Per Share (NT$)</v>
          </cell>
          <cell r="F4">
            <v>0.91175483822254977</v>
          </cell>
          <cell r="G4">
            <v>1.150190680585605</v>
          </cell>
          <cell r="H4">
            <v>0.83991048301565019</v>
          </cell>
          <cell r="I4">
            <v>1.0748437533202539</v>
          </cell>
          <cell r="J4">
            <v>2.3256896174007706</v>
          </cell>
          <cell r="K4">
            <v>0.79562980688724871</v>
          </cell>
          <cell r="L4">
            <v>0.62367636632326562</v>
          </cell>
          <cell r="M4">
            <v>1.1684734332812039</v>
          </cell>
          <cell r="N4">
            <v>0.48811576226161663</v>
          </cell>
          <cell r="O4">
            <v>0.29664427641151647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</row>
        <row r="5">
          <cell r="A5" t="str">
            <v>Shares issued for Stock Dividends</v>
          </cell>
          <cell r="F5">
            <v>1327.1</v>
          </cell>
          <cell r="G5">
            <v>1836.585</v>
          </cell>
          <cell r="H5">
            <v>1390.8505</v>
          </cell>
          <cell r="I5">
            <v>1959.9103</v>
          </cell>
          <cell r="J5">
            <v>4675.7457999999997</v>
          </cell>
          <cell r="K5">
            <v>1683.2553</v>
          </cell>
          <cell r="L5">
            <v>1491.110078999998</v>
          </cell>
          <cell r="M5">
            <v>2837.3266679769013</v>
          </cell>
          <cell r="N5">
            <v>1162.6024</v>
          </cell>
          <cell r="O5">
            <v>741.9008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</row>
        <row r="6">
          <cell r="A6" t="str">
            <v>Adjustment Factor (for stock dividend)</v>
          </cell>
          <cell r="B6">
            <v>4.1434328631617515E-2</v>
          </cell>
          <cell r="C6">
            <v>4.3920388349514561E-2</v>
          </cell>
          <cell r="D6">
            <v>7.9056310679611649E-2</v>
          </cell>
          <cell r="E6">
            <v>0.1423009708737864</v>
          </cell>
          <cell r="F6">
            <v>0.2134514563106796</v>
          </cell>
          <cell r="G6">
            <v>0.30950388349514563</v>
          </cell>
          <cell r="H6">
            <v>0.38069029126213588</v>
          </cell>
          <cell r="I6">
            <v>0.48728349514563102</v>
          </cell>
          <cell r="J6">
            <v>0.68219611650485434</v>
          </cell>
          <cell r="K6">
            <v>0.75041650485436884</v>
          </cell>
          <cell r="L6">
            <v>0.81044951456310677</v>
          </cell>
          <cell r="M6">
            <v>0.92464174757281559</v>
          </cell>
          <cell r="N6">
            <v>0.970873786407767</v>
          </cell>
          <cell r="O6">
            <v>1</v>
          </cell>
          <cell r="P6">
            <v>1</v>
          </cell>
          <cell r="Q6">
            <v>1</v>
          </cell>
          <cell r="R6">
            <v>1</v>
          </cell>
          <cell r="S6">
            <v>1</v>
          </cell>
          <cell r="T6">
            <v>1</v>
          </cell>
          <cell r="U6">
            <v>1</v>
          </cell>
          <cell r="V6">
            <v>1</v>
          </cell>
          <cell r="W6">
            <v>1</v>
          </cell>
          <cell r="X6">
            <v>1</v>
          </cell>
          <cell r="Y6">
            <v>1</v>
          </cell>
          <cell r="Z6">
            <v>1</v>
          </cell>
        </row>
        <row r="8">
          <cell r="A8" t="str">
            <v>Adj Factor (for stock divedend + Emp Bonus)</v>
          </cell>
          <cell r="L8">
            <v>1.0688047605514941</v>
          </cell>
          <cell r="M8">
            <v>1.1280757267582908</v>
          </cell>
          <cell r="N8">
            <v>1.0617689741055074</v>
          </cell>
          <cell r="O8">
            <v>1.0433875753147486</v>
          </cell>
          <cell r="P8">
            <v>1.0178750530415777</v>
          </cell>
          <cell r="Q8">
            <v>1.0149540574181501</v>
          </cell>
          <cell r="R8">
            <v>1.0054755636733397</v>
          </cell>
          <cell r="S8">
            <v>1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  <cell r="X8">
            <v>1</v>
          </cell>
          <cell r="Y8">
            <v>1</v>
          </cell>
          <cell r="Z8">
            <v>1</v>
          </cell>
        </row>
        <row r="9">
          <cell r="A9" t="str">
            <v>Ex-Div. Date past? "Y" to Apply Stock Dividend Shares</v>
          </cell>
          <cell r="B9" t="str">
            <v>Y</v>
          </cell>
          <cell r="C9" t="str">
            <v>Y</v>
          </cell>
          <cell r="D9" t="str">
            <v>Y</v>
          </cell>
          <cell r="E9" t="str">
            <v>Y</v>
          </cell>
          <cell r="F9" t="str">
            <v>Y</v>
          </cell>
          <cell r="G9" t="str">
            <v>Y</v>
          </cell>
          <cell r="H9" t="str">
            <v>Y</v>
          </cell>
          <cell r="I9" t="str">
            <v>Y</v>
          </cell>
          <cell r="J9" t="str">
            <v>Y</v>
          </cell>
          <cell r="K9" t="str">
            <v>Y</v>
          </cell>
          <cell r="L9" t="str">
            <v>Y</v>
          </cell>
          <cell r="M9" t="str">
            <v>Y</v>
          </cell>
          <cell r="N9" t="str">
            <v>N</v>
          </cell>
          <cell r="O9" t="str">
            <v>N</v>
          </cell>
          <cell r="P9" t="str">
            <v>N</v>
          </cell>
          <cell r="Q9" t="str">
            <v>N</v>
          </cell>
          <cell r="R9" t="str">
            <v>N</v>
          </cell>
          <cell r="S9" t="str">
            <v>N</v>
          </cell>
          <cell r="T9" t="str">
            <v>N</v>
          </cell>
          <cell r="U9" t="str">
            <v>N</v>
          </cell>
          <cell r="V9" t="str">
            <v>N</v>
          </cell>
          <cell r="W9" t="str">
            <v>N</v>
          </cell>
          <cell r="X9" t="str">
            <v>N</v>
          </cell>
          <cell r="Y9" t="str">
            <v>N</v>
          </cell>
          <cell r="Z9" t="str">
            <v>N</v>
          </cell>
        </row>
        <row r="11">
          <cell r="A11" t="str">
            <v>Employees Bonus Shares</v>
          </cell>
          <cell r="F11">
            <v>100</v>
          </cell>
          <cell r="G11">
            <v>129.291</v>
          </cell>
          <cell r="H11">
            <v>110.45659999999999</v>
          </cell>
          <cell r="I11">
            <v>172.1208</v>
          </cell>
          <cell r="J11">
            <v>467.44260000000003</v>
          </cell>
          <cell r="K11">
            <v>107.0784</v>
          </cell>
          <cell r="L11">
            <v>153.90129999999999</v>
          </cell>
          <cell r="M11">
            <v>272.65140000000002</v>
          </cell>
          <cell r="N11">
            <v>308.62150000000003</v>
          </cell>
          <cell r="O11">
            <v>343.21289999999999</v>
          </cell>
          <cell r="P11">
            <v>457.27980000000002</v>
          </cell>
          <cell r="Q11">
            <v>393.98829999999998</v>
          </cell>
          <cell r="R11">
            <v>141.8699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</row>
        <row r="12">
          <cell r="A12" t="str">
            <v xml:space="preserve">     Cumm Emp Bonus Shares</v>
          </cell>
          <cell r="O12">
            <v>343.21289999999999</v>
          </cell>
          <cell r="P12">
            <v>800.49270000000001</v>
          </cell>
          <cell r="Q12">
            <v>1194.481</v>
          </cell>
          <cell r="R12">
            <v>1336.3508999999999</v>
          </cell>
          <cell r="S12">
            <v>1336.3508999999999</v>
          </cell>
          <cell r="T12">
            <v>1336.3508999999999</v>
          </cell>
          <cell r="U12">
            <v>1336.3508999999999</v>
          </cell>
          <cell r="V12">
            <v>1336.3508999999999</v>
          </cell>
          <cell r="W12">
            <v>1336.3508999999999</v>
          </cell>
          <cell r="X12">
            <v>1336.3508999999999</v>
          </cell>
          <cell r="Y12">
            <v>1336.3508999999999</v>
          </cell>
          <cell r="Z12">
            <v>1336.3508999999999</v>
          </cell>
        </row>
        <row r="13">
          <cell r="A13" t="str">
            <v>Month of Employee Bonus Share Payout</v>
          </cell>
          <cell r="B13">
            <v>5</v>
          </cell>
          <cell r="C13">
            <v>5</v>
          </cell>
          <cell r="D13">
            <v>5</v>
          </cell>
          <cell r="E13">
            <v>5</v>
          </cell>
          <cell r="F13">
            <v>5</v>
          </cell>
          <cell r="G13">
            <v>5</v>
          </cell>
          <cell r="H13">
            <v>5</v>
          </cell>
          <cell r="I13">
            <v>5</v>
          </cell>
          <cell r="J13">
            <v>5</v>
          </cell>
          <cell r="K13">
            <v>6</v>
          </cell>
          <cell r="L13">
            <v>6</v>
          </cell>
          <cell r="M13">
            <v>5</v>
          </cell>
          <cell r="N13">
            <v>5</v>
          </cell>
          <cell r="O13">
            <v>5</v>
          </cell>
          <cell r="P13">
            <v>5</v>
          </cell>
          <cell r="Q13">
            <v>5</v>
          </cell>
          <cell r="R13">
            <v>5</v>
          </cell>
          <cell r="S13">
            <v>6</v>
          </cell>
          <cell r="T13">
            <v>7</v>
          </cell>
          <cell r="U13">
            <v>6</v>
          </cell>
          <cell r="V13">
            <v>6</v>
          </cell>
          <cell r="W13">
            <v>6</v>
          </cell>
          <cell r="X13">
            <v>6</v>
          </cell>
          <cell r="Y13">
            <v>6</v>
          </cell>
          <cell r="Z13">
            <v>7</v>
          </cell>
        </row>
        <row r="14">
          <cell r="A14" t="str">
            <v>Employee Bonus Share Dilution</v>
          </cell>
          <cell r="F14">
            <v>2.4501996912748389E-2</v>
          </cell>
          <cell r="G14">
            <v>2.1380393095884756E-2</v>
          </cell>
          <cell r="H14">
            <v>1.4399465970124399E-2</v>
          </cell>
          <cell r="I14">
            <v>1.4724564241926376E-2</v>
          </cell>
          <cell r="J14">
            <v>2.777015448714076E-2</v>
          </cell>
          <cell r="K14">
            <v>5.7498282167510149E-3</v>
          </cell>
          <cell r="L14">
            <v>6.0592244127212151E-3</v>
          </cell>
          <cell r="M14">
            <v>1.0053642064197208E-2</v>
          </cell>
          <cell r="N14">
            <v>1.9E-2</v>
          </cell>
          <cell r="O14">
            <v>0.02</v>
          </cell>
          <cell r="P14">
            <v>0.02</v>
          </cell>
          <cell r="Q14">
            <v>0.02</v>
          </cell>
          <cell r="R14">
            <v>0.02</v>
          </cell>
          <cell r="S14">
            <v>1.9E-2</v>
          </cell>
          <cell r="T14">
            <v>1.9E-2</v>
          </cell>
          <cell r="U14">
            <v>1.9E-2</v>
          </cell>
          <cell r="V14">
            <v>1.9E-2</v>
          </cell>
          <cell r="W14">
            <v>1.9E-2</v>
          </cell>
          <cell r="X14">
            <v>1.9E-2</v>
          </cell>
          <cell r="Y14">
            <v>1.9E-2</v>
          </cell>
          <cell r="Z14">
            <v>1.9E-2</v>
          </cell>
        </row>
        <row r="16">
          <cell r="A16" t="str">
            <v>New Issuance Shares</v>
          </cell>
          <cell r="I16">
            <v>187.9366</v>
          </cell>
          <cell r="N16">
            <v>-559.36887955307884</v>
          </cell>
          <cell r="O16">
            <v>7.9439000000000002</v>
          </cell>
        </row>
        <row r="17">
          <cell r="A17" t="str">
            <v>Share Buyback</v>
          </cell>
          <cell r="M17">
            <v>-124.7</v>
          </cell>
          <cell r="N17">
            <v>0</v>
          </cell>
          <cell r="O17">
            <v>0</v>
          </cell>
          <cell r="P17">
            <v>-800</v>
          </cell>
          <cell r="Q17">
            <v>0</v>
          </cell>
          <cell r="R17">
            <v>0</v>
          </cell>
          <cell r="S17">
            <v>-28.373980000000003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A18" t="str">
            <v>Change Due to Merger</v>
          </cell>
          <cell r="I18">
            <v>1698.5151000000001</v>
          </cell>
        </row>
        <row r="20">
          <cell r="A20" t="str">
            <v>Year End Shares Outstanding</v>
          </cell>
          <cell r="B20">
            <v>608.30399999999997</v>
          </cell>
          <cell r="C20">
            <v>780</v>
          </cell>
          <cell r="D20">
            <v>1439</v>
          </cell>
          <cell r="E20">
            <v>2654.2</v>
          </cell>
          <cell r="F20">
            <v>4081.3</v>
          </cell>
          <cell r="G20">
            <v>6047.1760000000004</v>
          </cell>
          <cell r="H20">
            <v>7670.8816999999999</v>
          </cell>
          <cell r="I20">
            <v>22252.856809670942</v>
          </cell>
          <cell r="J20">
            <v>25247.959754767842</v>
          </cell>
          <cell r="K20">
            <v>22946.596140511352</v>
          </cell>
          <cell r="L20">
            <v>25553.406173410436</v>
          </cell>
          <cell r="M20">
            <v>27267.61592147324</v>
          </cell>
          <cell r="N20">
            <v>24730.024600000001</v>
          </cell>
          <cell r="O20">
            <v>26102.837292186148</v>
          </cell>
          <cell r="P20">
            <v>25239.290602225909</v>
          </cell>
          <cell r="Q20">
            <v>26740.570299999999</v>
          </cell>
          <cell r="R20">
            <v>26051.512900000002</v>
          </cell>
          <cell r="S20">
            <v>25807.428019999999</v>
          </cell>
          <cell r="T20">
            <v>25905.831999999999</v>
          </cell>
          <cell r="U20">
            <v>25914.076000000001</v>
          </cell>
          <cell r="V20">
            <v>25919.154750000002</v>
          </cell>
          <cell r="W20">
            <v>25926.834750000002</v>
          </cell>
          <cell r="X20">
            <v>25927.13</v>
          </cell>
          <cell r="Y20">
            <v>25927.13</v>
          </cell>
          <cell r="Z20">
            <v>25927.13</v>
          </cell>
        </row>
        <row r="21">
          <cell r="A21" t="str">
            <v>Share count for RI Valuation</v>
          </cell>
          <cell r="M21">
            <v>27148.865821473242</v>
          </cell>
          <cell r="N21">
            <v>28024.750741920161</v>
          </cell>
          <cell r="O21">
            <v>29083.21694192016</v>
          </cell>
          <cell r="P21">
            <v>28641.023721819416</v>
          </cell>
          <cell r="Q21">
            <v>29093.579420077411</v>
          </cell>
          <cell r="R21">
            <v>29492.972653591863</v>
          </cell>
          <cell r="S21">
            <v>29607.705625880761</v>
          </cell>
          <cell r="T21">
            <v>29607.705625880761</v>
          </cell>
          <cell r="U21">
            <v>29607.705625880761</v>
          </cell>
          <cell r="V21">
            <v>29607.705625880761</v>
          </cell>
          <cell r="W21">
            <v>29607.705625880761</v>
          </cell>
          <cell r="X21">
            <v>29607.705625880761</v>
          </cell>
          <cell r="Y21">
            <v>29607.705625880761</v>
          </cell>
          <cell r="Z21">
            <v>29607.705625880761</v>
          </cell>
        </row>
        <row r="23">
          <cell r="A23" t="str">
            <v>Weighted Average Shares</v>
          </cell>
          <cell r="C23">
            <v>694.15200000000004</v>
          </cell>
          <cell r="D23">
            <v>1109.5</v>
          </cell>
          <cell r="E23">
            <v>2046.6</v>
          </cell>
          <cell r="F23">
            <v>3367.75</v>
          </cell>
          <cell r="G23">
            <v>5064.2380000000003</v>
          </cell>
          <cell r="H23">
            <v>6859.0288500000006</v>
          </cell>
          <cell r="I23">
            <v>14961.86925483547</v>
          </cell>
          <cell r="J23">
            <v>23750.408282219392</v>
          </cell>
          <cell r="K23">
            <v>24097.277947639595</v>
          </cell>
          <cell r="L23">
            <v>24250.001156960894</v>
          </cell>
          <cell r="M23">
            <v>26410.51104744184</v>
          </cell>
          <cell r="N23">
            <v>25998.820260736618</v>
          </cell>
          <cell r="O23">
            <v>25416.430946093074</v>
          </cell>
          <cell r="P23">
            <v>25671.063947206028</v>
          </cell>
          <cell r="Q23">
            <v>25989.930451112952</v>
          </cell>
          <cell r="R23">
            <v>26396.0416</v>
          </cell>
          <cell r="S23">
            <v>25929.47046</v>
          </cell>
          <cell r="T23">
            <v>25856.630010000001</v>
          </cell>
          <cell r="U23">
            <v>25909.953999999998</v>
          </cell>
          <cell r="V23">
            <v>25916.615375000001</v>
          </cell>
          <cell r="W23">
            <v>25922.994750000002</v>
          </cell>
          <cell r="X23">
            <v>25926.982375</v>
          </cell>
          <cell r="Y23">
            <v>25927.13</v>
          </cell>
          <cell r="Z23">
            <v>25927.13</v>
          </cell>
        </row>
        <row r="24">
          <cell r="A24" t="str">
            <v xml:space="preserve">Retroactively Adjusted Shares outstanding </v>
          </cell>
          <cell r="B24">
            <v>14681.159803704848</v>
          </cell>
          <cell r="C24">
            <v>17759.405809275388</v>
          </cell>
          <cell r="D24">
            <v>18202.215454143537</v>
          </cell>
          <cell r="E24">
            <v>18652.016101521458</v>
          </cell>
          <cell r="F24">
            <v>19120.506697596145</v>
          </cell>
          <cell r="G24">
            <v>19538.287958492921</v>
          </cell>
          <cell r="H24">
            <v>20149.927319049966</v>
          </cell>
          <cell r="I24">
            <v>45667.16712418176</v>
          </cell>
          <cell r="J24">
            <v>37009.826271252576</v>
          </cell>
          <cell r="K24">
            <v>30578.480073495361</v>
          </cell>
          <cell r="L24">
            <v>31529.9173042082</v>
          </cell>
          <cell r="M24">
            <v>29489.92514457705</v>
          </cell>
          <cell r="N24">
            <v>25471.925338000001</v>
          </cell>
          <cell r="O24">
            <v>26102.837292186148</v>
          </cell>
          <cell r="P24">
            <v>25239.290602225909</v>
          </cell>
          <cell r="Q24">
            <v>26740.570299999999</v>
          </cell>
          <cell r="R24">
            <v>26051.512900000002</v>
          </cell>
          <cell r="S24">
            <v>25807.428019999999</v>
          </cell>
          <cell r="T24">
            <v>25905.831999999999</v>
          </cell>
          <cell r="U24">
            <v>25914.076000000001</v>
          </cell>
          <cell r="V24">
            <v>25919.154750000002</v>
          </cell>
          <cell r="W24">
            <v>25926.834750000002</v>
          </cell>
          <cell r="X24">
            <v>25927.13</v>
          </cell>
          <cell r="Y24">
            <v>25927.13</v>
          </cell>
          <cell r="Z24">
            <v>25927.13</v>
          </cell>
        </row>
        <row r="26">
          <cell r="A26" t="str">
            <v xml:space="preserve">     Likely Stock Div (% of NP)</v>
          </cell>
          <cell r="M26">
            <v>0</v>
          </cell>
          <cell r="N26">
            <v>0</v>
          </cell>
          <cell r="O26">
            <v>0.03</v>
          </cell>
          <cell r="P26">
            <v>1.9999999999999997E-2</v>
          </cell>
          <cell r="Q26">
            <v>1.9999999999999997E-2</v>
          </cell>
          <cell r="R26">
            <v>1.9999999999999997E-2</v>
          </cell>
          <cell r="S26">
            <v>1.9999999999999997E-2</v>
          </cell>
          <cell r="T26">
            <v>1.9999999999999997E-2</v>
          </cell>
          <cell r="U26">
            <v>1.9999999999999997E-2</v>
          </cell>
          <cell r="V26">
            <v>1.9999999999999997E-2</v>
          </cell>
          <cell r="W26">
            <v>1.9999999999999997E-2</v>
          </cell>
          <cell r="X26">
            <v>1.9999999999999997E-2</v>
          </cell>
          <cell r="Y26">
            <v>1.9999999999999997E-2</v>
          </cell>
          <cell r="Z26">
            <v>1.9999999999999997E-2</v>
          </cell>
        </row>
        <row r="27">
          <cell r="A27" t="str">
            <v xml:space="preserve">     Likely Stock Div Shares (m)</v>
          </cell>
          <cell r="M27">
            <v>0</v>
          </cell>
          <cell r="N27">
            <v>0</v>
          </cell>
          <cell r="O27">
            <v>381.02770199999998</v>
          </cell>
          <cell r="P27">
            <v>218.35418599999994</v>
          </cell>
          <cell r="Q27">
            <v>229.84628639999997</v>
          </cell>
          <cell r="R27">
            <v>205.20102279999998</v>
          </cell>
          <cell r="S27">
            <v>371.69152069999996</v>
          </cell>
          <cell r="T27">
            <v>308.66294169999992</v>
          </cell>
          <cell r="U27">
            <v>382.16524459999994</v>
          </cell>
          <cell r="V27">
            <v>427.65063421919319</v>
          </cell>
          <cell r="W27">
            <v>447.30958634931983</v>
          </cell>
          <cell r="X27">
            <v>479.81911894052536</v>
          </cell>
          <cell r="Y27">
            <v>0</v>
          </cell>
          <cell r="Z27">
            <v>0</v>
          </cell>
        </row>
        <row r="28">
          <cell r="A28" t="str">
            <v xml:space="preserve">     Likely Cumm Stock Div Shares (m)</v>
          </cell>
          <cell r="M28">
            <v>0</v>
          </cell>
          <cell r="N28">
            <v>0</v>
          </cell>
          <cell r="O28">
            <v>381.02770199999998</v>
          </cell>
          <cell r="P28">
            <v>599.38188799999989</v>
          </cell>
          <cell r="Q28">
            <v>829.22817439999983</v>
          </cell>
          <cell r="R28">
            <v>1034.4291971999999</v>
          </cell>
          <cell r="S28">
            <v>1406.1207178999998</v>
          </cell>
          <cell r="T28">
            <v>1714.7836595999997</v>
          </cell>
          <cell r="U28">
            <v>2096.9489041999996</v>
          </cell>
          <cell r="V28">
            <v>2524.5995384191929</v>
          </cell>
          <cell r="W28">
            <v>2971.9091247685128</v>
          </cell>
          <cell r="X28">
            <v>3451.728243709038</v>
          </cell>
          <cell r="Y28">
            <v>3451.728243709038</v>
          </cell>
          <cell r="Z28">
            <v>3451.728243709038</v>
          </cell>
        </row>
        <row r="29">
          <cell r="A29" t="str">
            <v xml:space="preserve">     Likely Outstanding # of Shares</v>
          </cell>
          <cell r="M29">
            <v>27267.61592147324</v>
          </cell>
          <cell r="N29">
            <v>24730.024600000001</v>
          </cell>
          <cell r="O29">
            <v>26483.864994186148</v>
          </cell>
          <cell r="P29">
            <v>25838.672490225908</v>
          </cell>
          <cell r="Q29">
            <v>27569.798474399999</v>
          </cell>
          <cell r="R29">
            <v>27085.942097200001</v>
          </cell>
          <cell r="S29">
            <v>27213.548737900001</v>
          </cell>
          <cell r="T29">
            <v>27620.6156596</v>
          </cell>
          <cell r="U29">
            <v>28011.0249042</v>
          </cell>
          <cell r="V29">
            <v>28443.754288419193</v>
          </cell>
          <cell r="W29">
            <v>28898.743874768516</v>
          </cell>
          <cell r="X29">
            <v>29378.858243709037</v>
          </cell>
          <cell r="Y29">
            <v>29378.858243709037</v>
          </cell>
          <cell r="Z29">
            <v>29378.858243709037</v>
          </cell>
        </row>
        <row r="30">
          <cell r="A30" t="str">
            <v xml:space="preserve">     Likely Adjustment Factor</v>
          </cell>
          <cell r="M30">
            <v>1</v>
          </cell>
          <cell r="N30">
            <v>1</v>
          </cell>
          <cell r="O30">
            <v>1</v>
          </cell>
          <cell r="P30">
            <v>0.95921295872771106</v>
          </cell>
          <cell r="Q30">
            <v>1.0104387189470556</v>
          </cell>
          <cell r="R30">
            <v>0.98646713799607166</v>
          </cell>
          <cell r="S30">
            <v>0.9913557498841824</v>
          </cell>
          <cell r="T30">
            <v>1.0069504883849605</v>
          </cell>
          <cell r="U30">
            <v>1.0219070710824616</v>
          </cell>
          <cell r="V30">
            <v>1.0384849388205688</v>
          </cell>
          <cell r="W30">
            <v>1.0559155951609629</v>
          </cell>
          <cell r="X30">
            <v>1.0743087822143964</v>
          </cell>
          <cell r="Y30">
            <v>1.0743087822143964</v>
          </cell>
          <cell r="Z30">
            <v>1.0743087822143964</v>
          </cell>
        </row>
        <row r="33">
          <cell r="A33" t="str">
            <v>Share Buy Back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124.7</v>
          </cell>
          <cell r="N33">
            <v>0</v>
          </cell>
          <cell r="O33">
            <v>0</v>
          </cell>
          <cell r="P33">
            <v>800</v>
          </cell>
          <cell r="Q33">
            <v>0</v>
          </cell>
          <cell r="R33">
            <v>0</v>
          </cell>
          <cell r="S33">
            <v>28.373980000000003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</row>
        <row r="38">
          <cell r="A38" t="str">
            <v>Outstanding Stock Options</v>
          </cell>
        </row>
        <row r="39">
          <cell r="A39" t="str">
            <v>Start of the Year</v>
          </cell>
          <cell r="L39">
            <v>19.369</v>
          </cell>
          <cell r="M39">
            <v>49.356999999999992</v>
          </cell>
          <cell r="N39">
            <v>64.36699999999999</v>
          </cell>
        </row>
        <row r="40">
          <cell r="A40" t="str">
            <v xml:space="preserve">   New Option Issued</v>
          </cell>
          <cell r="L40">
            <v>32.873999999999995</v>
          </cell>
          <cell r="M40">
            <v>20.399999999999999</v>
          </cell>
        </row>
        <row r="41">
          <cell r="A41" t="str">
            <v xml:space="preserve">   Options Exercised</v>
          </cell>
          <cell r="M41">
            <v>-8.6999999999999994E-2</v>
          </cell>
          <cell r="N41">
            <v>-0.89900000000000002</v>
          </cell>
        </row>
        <row r="42">
          <cell r="A42" t="str">
            <v xml:space="preserve">   Options Expired</v>
          </cell>
          <cell r="L42">
            <v>-2.8859999999999997</v>
          </cell>
          <cell r="M42">
            <v>-5.3029999999999999</v>
          </cell>
          <cell r="N42">
            <v>-1.6879999999999999</v>
          </cell>
        </row>
        <row r="43">
          <cell r="A43" t="str">
            <v>End of the Year</v>
          </cell>
          <cell r="K43">
            <v>19.369</v>
          </cell>
          <cell r="L43">
            <v>49.356999999999992</v>
          </cell>
          <cell r="M43">
            <v>64.36699999999999</v>
          </cell>
          <cell r="N43">
            <v>61.779999999999987</v>
          </cell>
        </row>
        <row r="46">
          <cell r="K46" t="str">
            <v>Breakdown of outstanding stock options</v>
          </cell>
        </row>
        <row r="47">
          <cell r="K47" t="str">
            <v>Issuance</v>
          </cell>
          <cell r="L47" t="str">
            <v>units</v>
          </cell>
          <cell r="M47" t="str">
            <v>o/s units</v>
          </cell>
          <cell r="N47" t="str">
            <v>Time to Maturity (Years)</v>
          </cell>
          <cell r="O47" t="str">
            <v>Exercise Price</v>
          </cell>
        </row>
        <row r="48">
          <cell r="K48" t="str">
            <v>2002 plan</v>
          </cell>
          <cell r="M48">
            <v>12.637</v>
          </cell>
          <cell r="N48">
            <v>9.34</v>
          </cell>
          <cell r="O48">
            <v>50.3</v>
          </cell>
        </row>
        <row r="49">
          <cell r="K49" t="str">
            <v>2003 plan</v>
          </cell>
          <cell r="M49">
            <v>51.73</v>
          </cell>
          <cell r="N49">
            <v>8.09</v>
          </cell>
          <cell r="O49">
            <v>42.6</v>
          </cell>
        </row>
        <row r="50">
          <cell r="K50" t="str">
            <v>Total</v>
          </cell>
          <cell r="M50">
            <v>64.36699999999999</v>
          </cell>
          <cell r="N50">
            <v>8.33</v>
          </cell>
          <cell r="O50">
            <v>44.1</v>
          </cell>
        </row>
      </sheetData>
      <sheetData sheetId="8" refreshError="1"/>
      <sheetData sheetId="9" refreshError="1"/>
      <sheetData sheetId="10" refreshError="1">
        <row r="1">
          <cell r="A1" t="str">
            <v>Trailing vs. Leading</v>
          </cell>
        </row>
        <row r="4">
          <cell r="D4">
            <v>1996</v>
          </cell>
          <cell r="E4">
            <v>1997</v>
          </cell>
          <cell r="F4">
            <v>1998</v>
          </cell>
          <cell r="G4">
            <v>1999</v>
          </cell>
          <cell r="H4">
            <v>2000</v>
          </cell>
          <cell r="I4">
            <v>2001</v>
          </cell>
          <cell r="J4">
            <v>2002</v>
          </cell>
          <cell r="K4">
            <v>2003</v>
          </cell>
          <cell r="L4">
            <v>2004</v>
          </cell>
          <cell r="M4">
            <v>2005</v>
          </cell>
          <cell r="N4">
            <v>2006</v>
          </cell>
          <cell r="O4">
            <v>2007</v>
          </cell>
          <cell r="P4">
            <v>2008</v>
          </cell>
          <cell r="Q4" t="str">
            <v>2009E</v>
          </cell>
          <cell r="R4" t="str">
            <v>2010</v>
          </cell>
          <cell r="S4" t="str">
            <v>2011</v>
          </cell>
        </row>
        <row r="5">
          <cell r="A5" t="str">
            <v>% of 90nm and below capacity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3.3638084087423631E-3</v>
          </cell>
          <cell r="L5">
            <v>1.1224518288868394E-2</v>
          </cell>
          <cell r="M5">
            <v>6.916378779939128E-2</v>
          </cell>
          <cell r="N5">
            <v>0.16501713434947241</v>
          </cell>
          <cell r="O5">
            <v>0.24342616975531559</v>
          </cell>
          <cell r="P5">
            <v>0.32013028377951841</v>
          </cell>
          <cell r="Q5">
            <v>0.37046564657326542</v>
          </cell>
          <cell r="R5">
            <v>0.44597634952398668</v>
          </cell>
          <cell r="S5">
            <v>0.46922174236706904</v>
          </cell>
        </row>
        <row r="6">
          <cell r="A6" t="str">
            <v>% of above 90nm capacity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J6">
            <v>1</v>
          </cell>
          <cell r="K6">
            <v>0.9966361915912576</v>
          </cell>
          <cell r="L6">
            <v>0.98877548171113161</v>
          </cell>
          <cell r="M6">
            <v>0.93083621220060875</v>
          </cell>
          <cell r="N6">
            <v>0.83498286565052759</v>
          </cell>
          <cell r="O6">
            <v>0.75657383024468439</v>
          </cell>
          <cell r="P6">
            <v>0.67986971622048165</v>
          </cell>
          <cell r="Q6">
            <v>0.62953435342673458</v>
          </cell>
          <cell r="R6">
            <v>0.55402365047601332</v>
          </cell>
          <cell r="S6">
            <v>0.53077825763293096</v>
          </cell>
        </row>
        <row r="8">
          <cell r="A8" t="str">
            <v>Total Depreciation - Total</v>
          </cell>
          <cell r="D8">
            <v>6539.1989999999996</v>
          </cell>
          <cell r="E8">
            <v>9762.5439999999999</v>
          </cell>
          <cell r="F8">
            <v>14592.897000000001</v>
          </cell>
          <cell r="G8">
            <v>18041.32</v>
          </cell>
          <cell r="H8">
            <v>33051.197</v>
          </cell>
          <cell r="I8">
            <v>48875.754000000001</v>
          </cell>
          <cell r="J8">
            <v>57621.462</v>
          </cell>
          <cell r="K8">
            <v>61786.114000000001</v>
          </cell>
          <cell r="L8">
            <v>63072.14</v>
          </cell>
          <cell r="M8">
            <v>63068.654999999999</v>
          </cell>
          <cell r="N8">
            <v>67700</v>
          </cell>
          <cell r="O8">
            <v>74472.515076469863</v>
          </cell>
          <cell r="P8">
            <v>74883.566319999998</v>
          </cell>
          <cell r="Q8">
            <v>74650</v>
          </cell>
          <cell r="R8">
            <v>77480</v>
          </cell>
          <cell r="S8">
            <v>98840</v>
          </cell>
        </row>
        <row r="9">
          <cell r="A9" t="str">
            <v>Depreciation for trailing edge</v>
          </cell>
          <cell r="D9" t="e">
            <v>#REF!</v>
          </cell>
          <cell r="E9" t="e">
            <v>#REF!</v>
          </cell>
          <cell r="F9" t="e">
            <v>#REF!</v>
          </cell>
          <cell r="G9" t="e">
            <v>#REF!</v>
          </cell>
          <cell r="H9" t="e">
            <v>#REF!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 t="e">
            <v>#REF!</v>
          </cell>
          <cell r="R9" t="e">
            <v>#REF!</v>
          </cell>
          <cell r="S9" t="e">
            <v>#REF!</v>
          </cell>
        </row>
        <row r="10">
          <cell r="A10" t="str">
            <v xml:space="preserve">  % of Total Depreciation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</row>
        <row r="16">
          <cell r="A16" t="str">
            <v>Total Capex</v>
          </cell>
        </row>
        <row r="17">
          <cell r="A17" t="str">
            <v xml:space="preserve">     Maintenance Capex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</row>
        <row r="18">
          <cell r="A18" t="str">
            <v xml:space="preserve">     Building and construction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A19" t="str">
            <v xml:space="preserve">     Upgrade for existing fab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J19" t="e">
            <v>#REF!</v>
          </cell>
          <cell r="K19" t="e">
            <v>#REF!</v>
          </cell>
        </row>
        <row r="20">
          <cell r="A20" t="str">
            <v xml:space="preserve">     New Capacity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</row>
        <row r="21">
          <cell r="A21" t="str">
            <v xml:space="preserve">     Total (US$)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</row>
        <row r="22">
          <cell r="A22" t="str">
            <v xml:space="preserve">     Total (NT$)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</row>
        <row r="24">
          <cell r="C24">
            <v>1996</v>
          </cell>
          <cell r="D24" t="e">
            <v>#REF!</v>
          </cell>
          <cell r="E24" t="e">
            <v>#REF!</v>
          </cell>
          <cell r="F24" t="e">
            <v>#REF!</v>
          </cell>
          <cell r="G24" t="e">
            <v>#REF!</v>
          </cell>
          <cell r="H24" t="e">
            <v>#REF!</v>
          </cell>
        </row>
        <row r="25">
          <cell r="C25">
            <v>1997</v>
          </cell>
          <cell r="E25" t="e">
            <v>#REF!</v>
          </cell>
          <cell r="F25" t="e">
            <v>#REF!</v>
          </cell>
          <cell r="G25" t="e">
            <v>#REF!</v>
          </cell>
          <cell r="H25" t="e">
            <v>#REF!</v>
          </cell>
          <cell r="I25" t="e">
            <v>#REF!</v>
          </cell>
        </row>
        <row r="26">
          <cell r="C26">
            <v>1998</v>
          </cell>
          <cell r="F26" t="e">
            <v>#REF!</v>
          </cell>
          <cell r="G26" t="e">
            <v>#REF!</v>
          </cell>
          <cell r="H26" t="e">
            <v>#REF!</v>
          </cell>
          <cell r="I26" t="e">
            <v>#REF!</v>
          </cell>
          <cell r="J26" t="e">
            <v>#REF!</v>
          </cell>
        </row>
        <row r="27">
          <cell r="C27">
            <v>1999</v>
          </cell>
          <cell r="G27" t="e">
            <v>#REF!</v>
          </cell>
          <cell r="H27" t="e">
            <v>#REF!</v>
          </cell>
          <cell r="I27" t="e">
            <v>#REF!</v>
          </cell>
          <cell r="J27" t="e">
            <v>#REF!</v>
          </cell>
          <cell r="K27" t="e">
            <v>#REF!</v>
          </cell>
        </row>
        <row r="28">
          <cell r="C28">
            <v>2000</v>
          </cell>
          <cell r="H28" t="e">
            <v>#REF!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</row>
        <row r="29">
          <cell r="C29">
            <v>2001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</row>
        <row r="30">
          <cell r="C30">
            <v>2002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</row>
        <row r="31">
          <cell r="C31">
            <v>2003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</row>
        <row r="32">
          <cell r="C32">
            <v>2004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</row>
        <row r="33">
          <cell r="C33">
            <v>2005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 t="e">
            <v>#REF!</v>
          </cell>
        </row>
        <row r="34">
          <cell r="C34">
            <v>2006</v>
          </cell>
          <cell r="N34" t="e">
            <v>#REF!</v>
          </cell>
          <cell r="O34" t="e">
            <v>#REF!</v>
          </cell>
          <cell r="P34" t="e">
            <v>#REF!</v>
          </cell>
          <cell r="Q34" t="e">
            <v>#REF!</v>
          </cell>
          <cell r="R34" t="e">
            <v>#REF!</v>
          </cell>
        </row>
        <row r="35">
          <cell r="C35">
            <v>2007</v>
          </cell>
          <cell r="O35" t="e">
            <v>#REF!</v>
          </cell>
          <cell r="P35" t="e">
            <v>#REF!</v>
          </cell>
          <cell r="Q35" t="e">
            <v>#REF!</v>
          </cell>
          <cell r="R35" t="e">
            <v>#REF!</v>
          </cell>
          <cell r="S35" t="e">
            <v>#REF!</v>
          </cell>
        </row>
        <row r="36">
          <cell r="C36">
            <v>2008</v>
          </cell>
          <cell r="P36" t="e">
            <v>#REF!</v>
          </cell>
          <cell r="Q36" t="e">
            <v>#REF!</v>
          </cell>
          <cell r="R36" t="e">
            <v>#REF!</v>
          </cell>
          <cell r="S36" t="e">
            <v>#REF!</v>
          </cell>
          <cell r="T36" t="e">
            <v>#REF!</v>
          </cell>
        </row>
        <row r="37">
          <cell r="C37">
            <v>2009</v>
          </cell>
          <cell r="Q37" t="e">
            <v>#REF!</v>
          </cell>
          <cell r="R37" t="e">
            <v>#REF!</v>
          </cell>
          <cell r="S37" t="e">
            <v>#REF!</v>
          </cell>
          <cell r="T37" t="e">
            <v>#REF!</v>
          </cell>
          <cell r="U37" t="e">
            <v>#REF!</v>
          </cell>
        </row>
        <row r="38">
          <cell r="C38">
            <v>2010</v>
          </cell>
          <cell r="R38" t="e">
            <v>#REF!</v>
          </cell>
          <cell r="S38" t="e">
            <v>#REF!</v>
          </cell>
          <cell r="T38" t="e">
            <v>#REF!</v>
          </cell>
          <cell r="U38" t="e">
            <v>#REF!</v>
          </cell>
          <cell r="V38" t="e">
            <v>#REF!</v>
          </cell>
        </row>
        <row r="39">
          <cell r="S39" t="e">
            <v>#REF!</v>
          </cell>
          <cell r="T39" t="e">
            <v>#REF!</v>
          </cell>
          <cell r="U39" t="e">
            <v>#REF!</v>
          </cell>
          <cell r="V39" t="e">
            <v>#REF!</v>
          </cell>
          <cell r="W39" t="e">
            <v>#REF!</v>
          </cell>
        </row>
        <row r="41">
          <cell r="A41" t="str">
            <v>Depreciation for trailing edge</v>
          </cell>
          <cell r="D41" t="e">
            <v>#REF!</v>
          </cell>
          <cell r="E41" t="e">
            <v>#REF!</v>
          </cell>
          <cell r="F41" t="e">
            <v>#REF!</v>
          </cell>
          <cell r="G41" t="e">
            <v>#REF!</v>
          </cell>
          <cell r="H41" t="e">
            <v>#REF!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 t="e">
            <v>#REF!</v>
          </cell>
          <cell r="R41" t="e">
            <v>#REF!</v>
          </cell>
          <cell r="S41" t="e">
            <v>#REF!</v>
          </cell>
          <cell r="T41" t="e">
            <v>#REF!</v>
          </cell>
          <cell r="U41" t="e">
            <v>#REF!</v>
          </cell>
          <cell r="V41" t="e">
            <v>#REF!</v>
          </cell>
          <cell r="W41" t="e">
            <v>#REF!</v>
          </cell>
        </row>
        <row r="44">
          <cell r="A44" t="str">
            <v>Gross Margin</v>
          </cell>
        </row>
        <row r="45">
          <cell r="A45" t="str">
            <v>Revenues</v>
          </cell>
          <cell r="D45">
            <v>39400.178999999996</v>
          </cell>
          <cell r="E45">
            <v>43935.627</v>
          </cell>
          <cell r="F45">
            <v>50233.008000000002</v>
          </cell>
          <cell r="G45">
            <v>73131.206000000006</v>
          </cell>
          <cell r="H45">
            <v>166228.41999999998</v>
          </cell>
          <cell r="I45">
            <v>125888.003</v>
          </cell>
          <cell r="J45">
            <v>160961.32899999997</v>
          </cell>
          <cell r="K45">
            <v>201904.34100000001</v>
          </cell>
          <cell r="L45">
            <v>255992.42700000003</v>
          </cell>
          <cell r="M45">
            <v>264588.364</v>
          </cell>
          <cell r="N45">
            <v>317406.995</v>
          </cell>
          <cell r="O45">
            <v>322630.59600000002</v>
          </cell>
          <cell r="P45">
            <v>333157.66000000003</v>
          </cell>
          <cell r="Q45">
            <v>295742.239</v>
          </cell>
        </row>
        <row r="46">
          <cell r="B46" t="str">
            <v>Trailing</v>
          </cell>
          <cell r="D46">
            <v>39400.178999999996</v>
          </cell>
          <cell r="E46">
            <v>43935.627</v>
          </cell>
          <cell r="F46">
            <v>50233.008000000002</v>
          </cell>
          <cell r="G46">
            <v>73131.206000000006</v>
          </cell>
          <cell r="H46">
            <v>166228.41999999998</v>
          </cell>
          <cell r="I46">
            <v>125888.003</v>
          </cell>
          <cell r="J46">
            <v>160961.32899999997</v>
          </cell>
          <cell r="K46">
            <v>201904.34100000001</v>
          </cell>
          <cell r="L46">
            <v>255992.42700000003</v>
          </cell>
          <cell r="M46">
            <v>261971.27191834751</v>
          </cell>
          <cell r="N46">
            <v>287499.75044223934</v>
          </cell>
          <cell r="O46">
            <v>248771.81358604672</v>
          </cell>
          <cell r="P46">
            <v>226835.48679815832</v>
          </cell>
          <cell r="Q46">
            <v>157471.33645918316</v>
          </cell>
        </row>
        <row r="47">
          <cell r="C47" t="str">
            <v>% of Revenues</v>
          </cell>
          <cell r="D47">
            <v>1</v>
          </cell>
          <cell r="E47">
            <v>1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J47">
            <v>1</v>
          </cell>
          <cell r="K47">
            <v>1</v>
          </cell>
          <cell r="L47">
            <v>1</v>
          </cell>
          <cell r="M47">
            <v>0.99010881641925685</v>
          </cell>
          <cell r="N47">
            <v>0.90577635329756789</v>
          </cell>
          <cell r="O47">
            <v>0.77107322327869576</v>
          </cell>
          <cell r="P47">
            <v>0.68086529001962104</v>
          </cell>
          <cell r="Q47">
            <v>0.53246143327934692</v>
          </cell>
          <cell r="R47">
            <v>0.46676303463315505</v>
          </cell>
          <cell r="S47">
            <v>0.39753349210554045</v>
          </cell>
          <cell r="T47">
            <v>0.35462864843906727</v>
          </cell>
          <cell r="U47">
            <v>0.28710181585272732</v>
          </cell>
          <cell r="V47">
            <v>0.2511574928544571</v>
          </cell>
          <cell r="W47">
            <v>0.2094694069713563</v>
          </cell>
        </row>
        <row r="48">
          <cell r="B48" t="str">
            <v>Leading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2617.0920816524826</v>
          </cell>
          <cell r="N48">
            <v>29907.244557760623</v>
          </cell>
          <cell r="O48">
            <v>73858.782413953319</v>
          </cell>
          <cell r="P48">
            <v>106322.1732018417</v>
          </cell>
          <cell r="Q48">
            <v>138270.90254081684</v>
          </cell>
        </row>
        <row r="49">
          <cell r="C49" t="str">
            <v>% of Revenues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9.8911835807431146E-3</v>
          </cell>
          <cell r="N49">
            <v>9.4223646702432079E-2</v>
          </cell>
          <cell r="O49">
            <v>0.22892677672130426</v>
          </cell>
          <cell r="P49">
            <v>0.31913470998037891</v>
          </cell>
          <cell r="Q49">
            <v>0.46753856672065314</v>
          </cell>
          <cell r="R49">
            <v>0.53323696536684495</v>
          </cell>
          <cell r="S49">
            <v>0.60246650789445955</v>
          </cell>
          <cell r="T49">
            <v>0.64537135156093273</v>
          </cell>
          <cell r="U49">
            <v>0.71289818414727268</v>
          </cell>
          <cell r="V49">
            <v>0.7488425071455429</v>
          </cell>
          <cell r="W49">
            <v>0.7905305930286437</v>
          </cell>
        </row>
        <row r="51">
          <cell r="A51" t="str">
            <v>GOGS</v>
          </cell>
          <cell r="D51">
            <v>17420.93</v>
          </cell>
          <cell r="E51">
            <v>22841.471000000001</v>
          </cell>
          <cell r="F51">
            <v>29896.966</v>
          </cell>
          <cell r="G51">
            <v>40915.512999999999</v>
          </cell>
          <cell r="H51">
            <v>90231.581000000006</v>
          </cell>
          <cell r="I51">
            <v>89506.952000000005</v>
          </cell>
          <cell r="J51">
            <v>108994.18399999999</v>
          </cell>
          <cell r="K51">
            <v>129012.704</v>
          </cell>
          <cell r="L51">
            <v>151203.6864097224</v>
          </cell>
          <cell r="M51">
            <v>150840.13982338167</v>
          </cell>
          <cell r="N51">
            <v>161596.59432911983</v>
          </cell>
          <cell r="O51">
            <v>180280.38500000001</v>
          </cell>
          <cell r="P51">
            <v>191408.09899999999</v>
          </cell>
          <cell r="Q51">
            <v>166413.62800000003</v>
          </cell>
        </row>
        <row r="52">
          <cell r="B52" t="str">
            <v>Trailing</v>
          </cell>
          <cell r="D52" t="e">
            <v>#REF!</v>
          </cell>
          <cell r="E52" t="e">
            <v>#REF!</v>
          </cell>
          <cell r="F52" t="e">
            <v>#REF!</v>
          </cell>
          <cell r="G52" t="e">
            <v>#REF!</v>
          </cell>
          <cell r="H52" t="e">
            <v>#REF!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 t="e">
            <v>#REF!</v>
          </cell>
        </row>
        <row r="53">
          <cell r="B53" t="str">
            <v>Leading</v>
          </cell>
          <cell r="D53" t="e">
            <v>#REF!</v>
          </cell>
          <cell r="E53" t="e">
            <v>#REF!</v>
          </cell>
          <cell r="F53" t="e">
            <v>#REF!</v>
          </cell>
          <cell r="G53" t="e">
            <v>#REF!</v>
          </cell>
          <cell r="H53" t="e">
            <v>#REF!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 t="e">
            <v>#REF!</v>
          </cell>
        </row>
        <row r="55">
          <cell r="A55" t="str">
            <v>GOGS Exluding Depreciation</v>
          </cell>
          <cell r="D55">
            <v>10881.731</v>
          </cell>
          <cell r="E55">
            <v>13078.927000000001</v>
          </cell>
          <cell r="F55">
            <v>15304.069</v>
          </cell>
          <cell r="G55">
            <v>22874.192999999999</v>
          </cell>
          <cell r="H55">
            <v>57180.384000000005</v>
          </cell>
          <cell r="I55">
            <v>40631.198000000004</v>
          </cell>
          <cell r="J55">
            <v>51372.721999999994</v>
          </cell>
          <cell r="K55">
            <v>67226.59</v>
          </cell>
          <cell r="L55">
            <v>88131.546409722403</v>
          </cell>
          <cell r="M55">
            <v>87771.484823381674</v>
          </cell>
          <cell r="N55">
            <v>93896.594329119835</v>
          </cell>
          <cell r="O55">
            <v>105807.86992353015</v>
          </cell>
          <cell r="P55">
            <v>116524.53267999999</v>
          </cell>
          <cell r="Q55">
            <v>91763.628000000026</v>
          </cell>
        </row>
        <row r="56">
          <cell r="B56" t="str">
            <v>Trailing</v>
          </cell>
          <cell r="D56">
            <v>10881.731</v>
          </cell>
          <cell r="E56">
            <v>13078.927000000001</v>
          </cell>
          <cell r="F56">
            <v>15304.069</v>
          </cell>
          <cell r="G56">
            <v>22874.192999999999</v>
          </cell>
          <cell r="H56">
            <v>57180.384000000005</v>
          </cell>
          <cell r="I56">
            <v>40631.198000000004</v>
          </cell>
          <cell r="J56">
            <v>51372.721999999994</v>
          </cell>
          <cell r="K56">
            <v>67226.59</v>
          </cell>
          <cell r="L56">
            <v>88131.546409722403</v>
          </cell>
          <cell r="M56">
            <v>86903.320953839197</v>
          </cell>
          <cell r="N56">
            <v>85049.31479849125</v>
          </cell>
          <cell r="O56">
            <v>81585.615310189358</v>
          </cell>
          <cell r="P56">
            <v>79337.509737569009</v>
          </cell>
          <cell r="Q56">
            <v>48860.592887792824</v>
          </cell>
        </row>
        <row r="57">
          <cell r="B57" t="str">
            <v>Leading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868.16386954247628</v>
          </cell>
          <cell r="N57">
            <v>8847.2795306285752</v>
          </cell>
          <cell r="O57">
            <v>24222.254613340792</v>
          </cell>
          <cell r="P57">
            <v>37187.02294243098</v>
          </cell>
          <cell r="Q57">
            <v>42903.03511220721</v>
          </cell>
        </row>
        <row r="59">
          <cell r="A59" t="str">
            <v>Depreciation</v>
          </cell>
          <cell r="D59">
            <v>6539.1989999999996</v>
          </cell>
          <cell r="E59">
            <v>9762.5439999999999</v>
          </cell>
          <cell r="F59">
            <v>14592.897000000001</v>
          </cell>
          <cell r="G59">
            <v>18041.32</v>
          </cell>
          <cell r="H59">
            <v>33051.197</v>
          </cell>
          <cell r="I59">
            <v>48875.754000000001</v>
          </cell>
          <cell r="J59">
            <v>57621.462</v>
          </cell>
          <cell r="K59">
            <v>61786.114000000001</v>
          </cell>
          <cell r="L59">
            <v>63072.14</v>
          </cell>
          <cell r="M59">
            <v>63068.654999999999</v>
          </cell>
          <cell r="N59">
            <v>67700</v>
          </cell>
          <cell r="O59">
            <v>74472.515076469863</v>
          </cell>
          <cell r="P59">
            <v>74883.566319999998</v>
          </cell>
          <cell r="Q59">
            <v>74650</v>
          </cell>
        </row>
        <row r="60">
          <cell r="B60" t="str">
            <v>Trailing Edge</v>
          </cell>
          <cell r="D60" t="e">
            <v>#REF!</v>
          </cell>
          <cell r="E60" t="e">
            <v>#REF!</v>
          </cell>
          <cell r="F60" t="e">
            <v>#REF!</v>
          </cell>
          <cell r="G60" t="e">
            <v>#REF!</v>
          </cell>
          <cell r="H60" t="e">
            <v>#REF!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 t="e">
            <v>#REF!</v>
          </cell>
        </row>
        <row r="61">
          <cell r="B61" t="str">
            <v>Leading</v>
          </cell>
          <cell r="D61" t="e">
            <v>#REF!</v>
          </cell>
          <cell r="E61" t="e">
            <v>#REF!</v>
          </cell>
          <cell r="F61" t="e">
            <v>#REF!</v>
          </cell>
          <cell r="G61" t="e">
            <v>#REF!</v>
          </cell>
          <cell r="H61" t="e">
            <v>#REF!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 t="e">
            <v>#REF!</v>
          </cell>
        </row>
        <row r="63">
          <cell r="A63" t="str">
            <v>Gross Profit</v>
          </cell>
        </row>
        <row r="64">
          <cell r="B64" t="str">
            <v>Trailing</v>
          </cell>
          <cell r="D64" t="e">
            <v>#REF!</v>
          </cell>
          <cell r="E64" t="e">
            <v>#REF!</v>
          </cell>
          <cell r="F64" t="e">
            <v>#REF!</v>
          </cell>
          <cell r="G64" t="e">
            <v>#REF!</v>
          </cell>
          <cell r="H64" t="e">
            <v>#REF!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 t="e">
            <v>#REF!</v>
          </cell>
        </row>
        <row r="65">
          <cell r="B65" t="str">
            <v>Leading</v>
          </cell>
          <cell r="D65" t="e">
            <v>#REF!</v>
          </cell>
          <cell r="E65" t="e">
            <v>#REF!</v>
          </cell>
          <cell r="F65" t="e">
            <v>#REF!</v>
          </cell>
          <cell r="G65" t="e">
            <v>#REF!</v>
          </cell>
          <cell r="H65" t="e">
            <v>#REF!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 t="e">
            <v>#REF!</v>
          </cell>
        </row>
        <row r="67">
          <cell r="A67" t="str">
            <v>GM</v>
          </cell>
        </row>
        <row r="68">
          <cell r="B68" t="str">
            <v>Trailing</v>
          </cell>
          <cell r="D68" t="e">
            <v>#REF!</v>
          </cell>
          <cell r="E68" t="e">
            <v>#REF!</v>
          </cell>
          <cell r="F68" t="e">
            <v>#REF!</v>
          </cell>
          <cell r="G68" t="e">
            <v>#REF!</v>
          </cell>
          <cell r="H68" t="e">
            <v>#REF!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 t="e">
            <v>#REF!</v>
          </cell>
        </row>
        <row r="69">
          <cell r="B69" t="str">
            <v>Leading</v>
          </cell>
          <cell r="D69" t="e">
            <v>#REF!</v>
          </cell>
          <cell r="E69" t="e">
            <v>#REF!</v>
          </cell>
          <cell r="F69" t="e">
            <v>#REF!</v>
          </cell>
          <cell r="G69" t="e">
            <v>#REF!</v>
          </cell>
          <cell r="H69" t="e">
            <v>#REF!</v>
          </cell>
          <cell r="I69" t="e">
            <v>#REF!</v>
          </cell>
          <cell r="J69" t="e">
            <v>#REF!</v>
          </cell>
          <cell r="K69" t="str">
            <v>NM</v>
          </cell>
          <cell r="L69" t="str">
            <v>NM</v>
          </cell>
          <cell r="M69" t="str">
            <v>NM</v>
          </cell>
          <cell r="N69" t="e">
            <v>#REF!</v>
          </cell>
          <cell r="O69" t="e">
            <v>#REF!</v>
          </cell>
          <cell r="P69" t="e">
            <v>#REF!</v>
          </cell>
          <cell r="Q69" t="e">
            <v>#REF!</v>
          </cell>
        </row>
        <row r="335">
          <cell r="B335" t="str">
            <v>English</v>
          </cell>
        </row>
      </sheetData>
      <sheetData sheetId="11" refreshError="1"/>
      <sheetData sheetId="12" refreshError="1"/>
      <sheetData sheetId="13" refreshError="1"/>
      <sheetData sheetId="14" refreshError="1">
        <row r="1">
          <cell r="J1" t="str">
            <v>&lt;= Input areas</v>
          </cell>
          <cell r="L1" t="str">
            <v>Current share price</v>
          </cell>
          <cell r="M1">
            <v>62</v>
          </cell>
          <cell r="O1">
            <v>-0.15000000000000005</v>
          </cell>
        </row>
        <row r="2">
          <cell r="A2" t="str">
            <v>Emp Option Expense</v>
          </cell>
          <cell r="L2" t="str">
            <v>Target share price</v>
          </cell>
          <cell r="M2">
            <v>55</v>
          </cell>
        </row>
        <row r="3">
          <cell r="A3" t="str">
            <v>TSMC</v>
          </cell>
          <cell r="B3">
            <v>1997</v>
          </cell>
          <cell r="C3">
            <v>1998</v>
          </cell>
          <cell r="D3">
            <v>1999</v>
          </cell>
          <cell r="E3">
            <v>2000</v>
          </cell>
          <cell r="F3">
            <v>2001</v>
          </cell>
          <cell r="G3">
            <v>2002</v>
          </cell>
          <cell r="H3">
            <v>2003</v>
          </cell>
          <cell r="I3">
            <v>2004</v>
          </cell>
          <cell r="J3">
            <v>2005</v>
          </cell>
          <cell r="K3">
            <v>2006</v>
          </cell>
          <cell r="L3">
            <v>2007</v>
          </cell>
          <cell r="M3" t="str">
            <v>2008E</v>
          </cell>
          <cell r="N3" t="str">
            <v>2009E</v>
          </cell>
          <cell r="O3" t="str">
            <v>2010E</v>
          </cell>
          <cell r="P3" t="str">
            <v>2011E</v>
          </cell>
          <cell r="Q3" t="str">
            <v>2012E</v>
          </cell>
          <cell r="R3" t="str">
            <v>2013E</v>
          </cell>
          <cell r="S3" t="str">
            <v>2014E</v>
          </cell>
          <cell r="T3" t="str">
            <v>2015E</v>
          </cell>
          <cell r="U3" t="str">
            <v>2016E</v>
          </cell>
          <cell r="V3" t="str">
            <v>2017E</v>
          </cell>
          <cell r="W3" t="str">
            <v>2018E</v>
          </cell>
        </row>
        <row r="5">
          <cell r="A5" t="str">
            <v>TW GAAP Net Income (NT$ m)</v>
          </cell>
          <cell r="B5">
            <v>17960</v>
          </cell>
          <cell r="C5">
            <v>15343</v>
          </cell>
          <cell r="D5">
            <v>23525</v>
          </cell>
          <cell r="E5">
            <v>65104</v>
          </cell>
          <cell r="F5">
            <v>14483</v>
          </cell>
          <cell r="G5">
            <v>21609</v>
          </cell>
          <cell r="H5">
            <v>47258</v>
          </cell>
          <cell r="I5">
            <v>92316</v>
          </cell>
          <cell r="J5">
            <v>93573</v>
          </cell>
          <cell r="K5">
            <v>127009.234</v>
          </cell>
          <cell r="L5">
            <v>109177.09299999999</v>
          </cell>
          <cell r="M5">
            <v>99933.167999999991</v>
          </cell>
          <cell r="N5">
            <v>89217.835999999996</v>
          </cell>
          <cell r="O5">
            <v>161605.00899999999</v>
          </cell>
          <cell r="P5">
            <v>134201.27899999998</v>
          </cell>
          <cell r="Q5">
            <v>166158.80200000003</v>
          </cell>
          <cell r="R5">
            <v>185935.05835617098</v>
          </cell>
          <cell r="S5">
            <v>194482.42884753039</v>
          </cell>
          <cell r="T5">
            <v>210446.98199145854</v>
          </cell>
          <cell r="U5">
            <v>222382.71286758408</v>
          </cell>
          <cell r="V5">
            <v>0</v>
          </cell>
          <cell r="W5">
            <v>0</v>
          </cell>
        </row>
        <row r="6">
          <cell r="A6" t="str">
            <v>US GAAP Net Income (NT$ m)</v>
          </cell>
          <cell r="B6">
            <v>8914.8023900000026</v>
          </cell>
          <cell r="C6">
            <v>2978.4879460000011</v>
          </cell>
          <cell r="D6">
            <v>-1167.4499680000044</v>
          </cell>
          <cell r="E6">
            <v>36800.35082</v>
          </cell>
          <cell r="F6">
            <v>7036.768063999999</v>
          </cell>
          <cell r="G6">
            <v>12771.985848</v>
          </cell>
          <cell r="H6">
            <v>34634.581837999998</v>
          </cell>
          <cell r="I6">
            <v>72678.414079999988</v>
          </cell>
          <cell r="J6">
            <v>71130.308143999995</v>
          </cell>
          <cell r="K6">
            <v>92564.632939999981</v>
          </cell>
          <cell r="L6">
            <v>83865.866774239636</v>
          </cell>
          <cell r="M6">
            <v>99933.167999999991</v>
          </cell>
          <cell r="N6">
            <v>89217.835999999996</v>
          </cell>
          <cell r="O6">
            <v>161605.00899999999</v>
          </cell>
          <cell r="P6">
            <v>134201.27899999998</v>
          </cell>
          <cell r="Q6">
            <v>166158.80200000003</v>
          </cell>
          <cell r="R6">
            <v>185935.05835617098</v>
          </cell>
          <cell r="S6">
            <v>194482.42884753039</v>
          </cell>
          <cell r="T6">
            <v>210446.98199145854</v>
          </cell>
          <cell r="U6">
            <v>222382.71286758408</v>
          </cell>
          <cell r="V6">
            <v>0</v>
          </cell>
          <cell r="W6" t="str">
            <v>-</v>
          </cell>
        </row>
        <row r="7">
          <cell r="A7" t="str">
            <v>Earning dilution</v>
          </cell>
          <cell r="B7">
            <v>0.50363015645879716</v>
          </cell>
          <cell r="C7">
            <v>0.80587317043602935</v>
          </cell>
          <cell r="D7">
            <v>1.0496259285015943</v>
          </cell>
          <cell r="E7">
            <v>0.43474516435242072</v>
          </cell>
          <cell r="F7">
            <v>0.51413601712352419</v>
          </cell>
          <cell r="G7">
            <v>0.40895062945994726</v>
          </cell>
          <cell r="H7">
            <v>0.26711706297346482</v>
          </cell>
          <cell r="I7">
            <v>0.21272136921010448</v>
          </cell>
          <cell r="J7">
            <v>0.23984153394675817</v>
          </cell>
          <cell r="K7">
            <v>0.27119761276569865</v>
          </cell>
          <cell r="L7">
            <v>0.23183641852197284</v>
          </cell>
          <cell r="M7">
            <v>0.15000000000000005</v>
          </cell>
          <cell r="N7">
            <v>0.15</v>
          </cell>
          <cell r="O7">
            <v>0.15</v>
          </cell>
          <cell r="P7">
            <v>0.15</v>
          </cell>
          <cell r="Q7">
            <v>0.15</v>
          </cell>
          <cell r="R7">
            <v>0.15</v>
          </cell>
          <cell r="S7">
            <v>0.15</v>
          </cell>
          <cell r="T7">
            <v>0.15</v>
          </cell>
          <cell r="U7">
            <v>0.14999999961996638</v>
          </cell>
          <cell r="V7" t="str">
            <v>-</v>
          </cell>
          <cell r="W7" t="str">
            <v>-</v>
          </cell>
        </row>
        <row r="9">
          <cell r="A9" t="str">
            <v>Total employee bonus (NT$ m)</v>
          </cell>
          <cell r="B9">
            <v>9045.1976099999974</v>
          </cell>
          <cell r="C9">
            <v>12364.512053999999</v>
          </cell>
          <cell r="D9">
            <v>24692.449968000004</v>
          </cell>
          <cell r="E9">
            <v>28303.64918</v>
          </cell>
          <cell r="F9">
            <v>7446.231936000001</v>
          </cell>
          <cell r="G9">
            <v>8837.0141519999997</v>
          </cell>
          <cell r="H9">
            <v>12623.418162000002</v>
          </cell>
          <cell r="I9">
            <v>19637.585920000005</v>
          </cell>
          <cell r="J9">
            <v>22442.691856000001</v>
          </cell>
          <cell r="K9">
            <v>34444.601060000008</v>
          </cell>
          <cell r="L9">
            <v>25311.226225760351</v>
          </cell>
          <cell r="M9">
            <v>14989.975200000003</v>
          </cell>
          <cell r="N9">
            <v>13382.6754</v>
          </cell>
          <cell r="O9">
            <v>24240.751349999999</v>
          </cell>
          <cell r="P9">
            <v>20130.191849999996</v>
          </cell>
          <cell r="Q9">
            <v>24923.820300000003</v>
          </cell>
          <cell r="R9">
            <v>27890.258753425645</v>
          </cell>
          <cell r="S9">
            <v>29172.364327129559</v>
          </cell>
          <cell r="T9">
            <v>31567.047298718779</v>
          </cell>
          <cell r="U9">
            <v>33357.406930137608</v>
          </cell>
          <cell r="V9">
            <v>0</v>
          </cell>
          <cell r="W9" t="str">
            <v>-</v>
          </cell>
        </row>
        <row r="10">
          <cell r="A10" t="str">
            <v>Mkt value of stock bonus</v>
          </cell>
          <cell r="B10">
            <v>8883.5846099999981</v>
          </cell>
          <cell r="C10">
            <v>12226.441053999999</v>
          </cell>
          <cell r="D10">
            <v>24477.298968000003</v>
          </cell>
          <cell r="E10">
            <v>27719.34618</v>
          </cell>
          <cell r="F10">
            <v>7312.3839360000011</v>
          </cell>
          <cell r="G10">
            <v>8778.5301519999994</v>
          </cell>
          <cell r="H10">
            <v>11813.985162000001</v>
          </cell>
          <cell r="I10">
            <v>16319.904920000003</v>
          </cell>
          <cell r="J10">
            <v>18753.152856000001</v>
          </cell>
          <cell r="K10">
            <v>29586.003060000003</v>
          </cell>
          <cell r="L10">
            <v>21125.652645999999</v>
          </cell>
          <cell r="M10">
            <v>11158.790322027913</v>
          </cell>
          <cell r="N10">
            <v>9962.2892462397795</v>
          </cell>
          <cell r="O10">
            <v>18045.224088367067</v>
          </cell>
          <cell r="P10">
            <v>14985.254278228895</v>
          </cell>
          <cell r="Q10">
            <v>18553.71213366669</v>
          </cell>
          <cell r="R10">
            <v>20761.978942872451</v>
          </cell>
          <cell r="S10">
            <v>21716.399952699427</v>
          </cell>
          <cell r="T10">
            <v>23499.042339438984</v>
          </cell>
          <cell r="U10">
            <v>24831.816262361182</v>
          </cell>
          <cell r="V10">
            <v>0</v>
          </cell>
          <cell r="W10">
            <v>0</v>
          </cell>
        </row>
        <row r="11">
          <cell r="A11" t="str">
            <v>Employee bonus - cash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681.62800000000004</v>
          </cell>
          <cell r="I11">
            <v>3086.2150000000001</v>
          </cell>
          <cell r="J11">
            <v>3432.1289999999999</v>
          </cell>
          <cell r="K11">
            <v>4572.7979999999998</v>
          </cell>
          <cell r="L11">
            <v>3939.9</v>
          </cell>
          <cell r="M11">
            <v>3606.3122563924653</v>
          </cell>
          <cell r="N11">
            <v>3219.6254946667254</v>
          </cell>
          <cell r="O11">
            <v>5831.8788077559466</v>
          </cell>
          <cell r="P11">
            <v>4842.9538157065608</v>
          </cell>
          <cell r="Q11">
            <v>5996.2126304260573</v>
          </cell>
          <cell r="R11">
            <v>6709.8831475342367</v>
          </cell>
          <cell r="S11">
            <v>7018.3341611448213</v>
          </cell>
          <cell r="T11">
            <v>7594.4508281434792</v>
          </cell>
          <cell r="U11">
            <v>8025.1784174817212</v>
          </cell>
          <cell r="V11">
            <v>0</v>
          </cell>
          <cell r="W11">
            <v>0</v>
          </cell>
        </row>
        <row r="12">
          <cell r="A12" t="str">
            <v>Director bonus</v>
          </cell>
          <cell r="B12">
            <v>161.613</v>
          </cell>
          <cell r="C12">
            <v>138.071</v>
          </cell>
          <cell r="D12">
            <v>215.15100000000001</v>
          </cell>
          <cell r="E12">
            <v>584.303</v>
          </cell>
          <cell r="F12">
            <v>133.84800000000001</v>
          </cell>
          <cell r="G12">
            <v>58.484000000000002</v>
          </cell>
          <cell r="H12">
            <v>127.80500000000001</v>
          </cell>
          <cell r="I12">
            <v>231.46600000000001</v>
          </cell>
          <cell r="J12">
            <v>257.41000000000003</v>
          </cell>
          <cell r="K12">
            <v>285.8</v>
          </cell>
          <cell r="L12">
            <v>245.67357976035032</v>
          </cell>
          <cell r="M12">
            <v>224.87262157962468</v>
          </cell>
          <cell r="N12">
            <v>200.76065909349552</v>
          </cell>
          <cell r="O12">
            <v>363.64845387698352</v>
          </cell>
          <cell r="P12">
            <v>301.98375606453936</v>
          </cell>
          <cell r="Q12">
            <v>373.89553590725552</v>
          </cell>
          <cell r="R12">
            <v>418.39666301895551</v>
          </cell>
          <cell r="S12">
            <v>437.63021328531272</v>
          </cell>
          <cell r="T12">
            <v>473.55413113631454</v>
          </cell>
          <cell r="U12">
            <v>500.41227189477843</v>
          </cell>
          <cell r="V12">
            <v>0</v>
          </cell>
          <cell r="W12" t="str">
            <v>-</v>
          </cell>
        </row>
        <row r="14">
          <cell r="A14" t="str">
            <v>Assumptions:</v>
          </cell>
        </row>
        <row r="15">
          <cell r="A15" t="str">
            <v>Employee bonus shrs (mn units)</v>
          </cell>
          <cell r="B15">
            <v>129.291</v>
          </cell>
          <cell r="C15">
            <v>110.45659999999999</v>
          </cell>
          <cell r="D15">
            <v>172.1208</v>
          </cell>
          <cell r="E15">
            <v>467.44260000000003</v>
          </cell>
          <cell r="F15">
            <v>107.0784</v>
          </cell>
          <cell r="G15">
            <v>153.90129999999999</v>
          </cell>
          <cell r="H15">
            <v>272.65140000000002</v>
          </cell>
          <cell r="I15">
            <v>308.62150000000003</v>
          </cell>
          <cell r="J15">
            <v>343.21289999999999</v>
          </cell>
          <cell r="K15">
            <v>457.27980000000002</v>
          </cell>
          <cell r="L15">
            <v>393.98829999999998</v>
          </cell>
          <cell r="M15">
            <v>202.88709676414388</v>
          </cell>
          <cell r="N15">
            <v>181.13253174981418</v>
          </cell>
          <cell r="O15">
            <v>328.0949834248558</v>
          </cell>
          <cell r="P15">
            <v>272.45916869507079</v>
          </cell>
          <cell r="Q15">
            <v>337.34022061212164</v>
          </cell>
          <cell r="R15">
            <v>377.49052623404458</v>
          </cell>
          <cell r="S15">
            <v>394.84363550362593</v>
          </cell>
          <cell r="T15">
            <v>427.25531526252695</v>
          </cell>
          <cell r="U15">
            <v>451.48756840656694</v>
          </cell>
          <cell r="V15">
            <v>0</v>
          </cell>
          <cell r="W15">
            <v>0</v>
          </cell>
        </row>
        <row r="16">
          <cell r="A16" t="str">
            <v>Ex-Div Price</v>
          </cell>
          <cell r="B16">
            <v>68.709999999999994</v>
          </cell>
          <cell r="C16">
            <v>110.69</v>
          </cell>
          <cell r="D16">
            <v>142.21</v>
          </cell>
          <cell r="E16">
            <v>59.3</v>
          </cell>
          <cell r="F16">
            <v>68.290000000000006</v>
          </cell>
          <cell r="G16">
            <v>57.04</v>
          </cell>
          <cell r="H16">
            <v>43.33</v>
          </cell>
          <cell r="I16">
            <v>52.88</v>
          </cell>
          <cell r="J16">
            <v>54.64</v>
          </cell>
          <cell r="K16">
            <v>64.7</v>
          </cell>
          <cell r="L16">
            <v>53.62</v>
          </cell>
          <cell r="M16">
            <v>55</v>
          </cell>
          <cell r="N16">
            <v>55</v>
          </cell>
          <cell r="O16">
            <v>55</v>
          </cell>
          <cell r="P16">
            <v>55</v>
          </cell>
          <cell r="Q16">
            <v>55</v>
          </cell>
          <cell r="R16">
            <v>55</v>
          </cell>
          <cell r="S16">
            <v>55</v>
          </cell>
          <cell r="T16">
            <v>55</v>
          </cell>
          <cell r="U16">
            <v>55</v>
          </cell>
          <cell r="V16">
            <v>55</v>
          </cell>
          <cell r="W16">
            <v>55</v>
          </cell>
        </row>
        <row r="17">
          <cell r="A17" t="str">
            <v>Emp stock bonus payout ratio (after deduct 10% reserve)</v>
          </cell>
          <cell r="B17">
            <v>7.9987008166295462E-2</v>
          </cell>
          <cell r="C17">
            <v>7.9990585645281595E-2</v>
          </cell>
          <cell r="D17">
            <v>8.1294509387176764E-2</v>
          </cell>
          <cell r="E17">
            <v>7.9777074629311065E-2</v>
          </cell>
          <cell r="F17">
            <v>8.2148726092660371E-2</v>
          </cell>
          <cell r="G17">
            <v>7.9134362739804898E-2</v>
          </cell>
          <cell r="H17">
            <v>6.410470184942231E-2</v>
          </cell>
          <cell r="I17">
            <v>3.714554116055481E-2</v>
          </cell>
          <cell r="J17">
            <v>4.0754028049401717E-2</v>
          </cell>
          <cell r="K17">
            <v>4.0004072984698637E-2</v>
          </cell>
          <cell r="L17">
            <v>4.0096760753446495E-2</v>
          </cell>
          <cell r="M17">
            <v>1.9099999999999999E-2</v>
          </cell>
          <cell r="N17">
            <v>1.9099999999999999E-2</v>
          </cell>
          <cell r="O17">
            <v>1.9099999999999999E-2</v>
          </cell>
          <cell r="P17">
            <v>1.9099999999999999E-2</v>
          </cell>
          <cell r="Q17">
            <v>1.9099999999999999E-2</v>
          </cell>
          <cell r="R17">
            <v>1.9099999999999999E-2</v>
          </cell>
          <cell r="S17">
            <v>1.9099999999999999E-2</v>
          </cell>
          <cell r="T17">
            <v>1.9099999999999999E-2</v>
          </cell>
          <cell r="U17">
            <v>1.9099999999999999E-2</v>
          </cell>
          <cell r="V17">
            <v>1.9099999999999999E-2</v>
          </cell>
          <cell r="W17">
            <v>1.9099999999999999E-2</v>
          </cell>
        </row>
        <row r="18">
          <cell r="A18" t="str">
            <v>Emp cash bonus payout ratio (after deduct 10% reserve)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1.6026163706556445E-2</v>
          </cell>
          <cell r="I18">
            <v>3.714554116055481E-2</v>
          </cell>
          <cell r="J18">
            <v>4.0754028049401717E-2</v>
          </cell>
          <cell r="K18">
            <v>4.000407298469863E-2</v>
          </cell>
          <cell r="L18">
            <v>4.0096933764912274E-2</v>
          </cell>
          <cell r="M18">
            <v>4.0096933764912274E-2</v>
          </cell>
          <cell r="N18">
            <v>4.0096933764912274E-2</v>
          </cell>
          <cell r="O18">
            <v>4.0096933764912274E-2</v>
          </cell>
          <cell r="P18">
            <v>4.0096933764912274E-2</v>
          </cell>
          <cell r="Q18">
            <v>4.0096933764912274E-2</v>
          </cell>
          <cell r="R18">
            <v>4.0096933764912274E-2</v>
          </cell>
          <cell r="S18">
            <v>4.0096933764912274E-2</v>
          </cell>
          <cell r="T18">
            <v>4.0096933764912274E-2</v>
          </cell>
          <cell r="U18">
            <v>4.0096933764912274E-2</v>
          </cell>
          <cell r="V18">
            <v>4.0096933764912274E-2</v>
          </cell>
          <cell r="W18">
            <v>4.0096933764912274E-2</v>
          </cell>
        </row>
        <row r="19">
          <cell r="A19" t="str">
            <v>Ex-Div Date</v>
          </cell>
          <cell r="B19">
            <v>35961</v>
          </cell>
          <cell r="C19">
            <v>36326</v>
          </cell>
          <cell r="D19">
            <v>36661</v>
          </cell>
          <cell r="E19">
            <v>37068</v>
          </cell>
          <cell r="F19">
            <v>37426</v>
          </cell>
          <cell r="G19">
            <v>37809</v>
          </cell>
          <cell r="H19">
            <v>38175</v>
          </cell>
          <cell r="I19">
            <v>38540</v>
          </cell>
          <cell r="J19">
            <v>38888</v>
          </cell>
          <cell r="K19">
            <v>39270</v>
          </cell>
          <cell r="L19">
            <v>39645</v>
          </cell>
          <cell r="M19" t="str">
            <v>08/xx/09</v>
          </cell>
          <cell r="N19" t="str">
            <v>08/xx/10</v>
          </cell>
          <cell r="O19" t="str">
            <v>08/xx/11</v>
          </cell>
          <cell r="P19" t="str">
            <v>08/xx/12</v>
          </cell>
          <cell r="Q19" t="str">
            <v>08/xx/13</v>
          </cell>
          <cell r="R19" t="str">
            <v>08/xx/14</v>
          </cell>
          <cell r="S19" t="str">
            <v>08/xx/15</v>
          </cell>
          <cell r="T19" t="str">
            <v>08/xx/16</v>
          </cell>
          <cell r="U19" t="str">
            <v>08/xx/17</v>
          </cell>
          <cell r="V19" t="str">
            <v>08/xx/18</v>
          </cell>
          <cell r="W19" t="str">
            <v>08/xx/19</v>
          </cell>
        </row>
        <row r="21">
          <cell r="A21" t="str">
            <v>Pre-dividend shares (mn units)</v>
          </cell>
          <cell r="B21">
            <v>4081.3</v>
          </cell>
          <cell r="C21">
            <v>6047.1760000000004</v>
          </cell>
          <cell r="D21">
            <v>7670.8816999999999</v>
          </cell>
          <cell r="E21">
            <v>11689.364600000001</v>
          </cell>
          <cell r="F21">
            <v>16832.553100000001</v>
          </cell>
          <cell r="G21">
            <v>18622.886699999999</v>
          </cell>
          <cell r="H21">
            <v>20141.899000000001</v>
          </cell>
          <cell r="I21">
            <v>23253.365600000001</v>
          </cell>
          <cell r="J21">
            <v>24737.968700000001</v>
          </cell>
          <cell r="K21">
            <v>25833.9516</v>
          </cell>
          <cell r="L21">
            <v>25631.370999999999</v>
          </cell>
        </row>
        <row r="22">
          <cell r="A22" t="str">
            <v>Stock dividend per share</v>
          </cell>
          <cell r="B22">
            <v>4.5</v>
          </cell>
          <cell r="C22">
            <v>2.3000000330732888</v>
          </cell>
          <cell r="D22">
            <v>2.5550000334381378</v>
          </cell>
          <cell r="E22">
            <v>4</v>
          </cell>
          <cell r="F22">
            <v>0.99999999405913076</v>
          </cell>
          <cell r="G22">
            <v>0.80068686182423565</v>
          </cell>
          <cell r="H22">
            <v>1.3999116450351559</v>
          </cell>
          <cell r="I22">
            <v>0.49997581938584118</v>
          </cell>
          <cell r="J22">
            <v>0.30000002507073931</v>
          </cell>
          <cell r="K22">
            <v>0.05</v>
          </cell>
          <cell r="L22">
            <v>5.0417882300000001E-2</v>
          </cell>
        </row>
        <row r="23">
          <cell r="A23" t="str">
            <v>Stock divident shares (mn units)</v>
          </cell>
          <cell r="B23">
            <v>1836.585</v>
          </cell>
          <cell r="C23">
            <v>1390.8505</v>
          </cell>
          <cell r="D23">
            <v>1959.9103</v>
          </cell>
          <cell r="E23">
            <v>4675.7457999999997</v>
          </cell>
          <cell r="F23">
            <v>1683.2553</v>
          </cell>
          <cell r="G23">
            <v>1491.110078999998</v>
          </cell>
          <cell r="H23">
            <v>2837.3266679769013</v>
          </cell>
          <cell r="I23">
            <v>1162.6024</v>
          </cell>
          <cell r="J23">
            <v>741.9008</v>
          </cell>
          <cell r="K23">
            <v>129.14850000000001</v>
          </cell>
          <cell r="L23">
            <v>128.13550000000001</v>
          </cell>
        </row>
        <row r="24">
          <cell r="A24" t="str">
            <v>Share dilution from stock dividend</v>
          </cell>
          <cell r="B24">
            <v>0.45</v>
          </cell>
          <cell r="C24">
            <v>0.23000000330732889</v>
          </cell>
          <cell r="D24">
            <v>0.25550000334381379</v>
          </cell>
          <cell r="E24">
            <v>0.39999999657808599</v>
          </cell>
          <cell r="F24">
            <v>9.9999999405913059E-2</v>
          </cell>
          <cell r="G24">
            <v>8.0068686612371334E-2</v>
          </cell>
          <cell r="H24">
            <v>0.14086688985864249</v>
          </cell>
          <cell r="I24">
            <v>4.9997166861729468E-2</v>
          </cell>
          <cell r="J24">
            <v>2.9990368610984617E-2</v>
          </cell>
          <cell r="K24">
            <v>4.9991771293711029E-3</v>
          </cell>
          <cell r="L24">
            <v>4.9991668412899181E-3</v>
          </cell>
          <cell r="M24">
            <v>4.9991668412899181E-3</v>
          </cell>
          <cell r="N24">
            <v>4.9991668412899181E-3</v>
          </cell>
          <cell r="O24">
            <v>4.9991668412899181E-3</v>
          </cell>
          <cell r="P24">
            <v>4.9991668412899181E-3</v>
          </cell>
          <cell r="Q24">
            <v>4.9991668412899181E-3</v>
          </cell>
        </row>
        <row r="25">
          <cell r="A25" t="str">
            <v>Share dilution from employee bonus stock</v>
          </cell>
          <cell r="B25">
            <v>3.1678876828461516E-2</v>
          </cell>
          <cell r="C25">
            <v>1.8265815316107881E-2</v>
          </cell>
          <cell r="D25">
            <v>2.2438202899153041E-2</v>
          </cell>
          <cell r="E25">
            <v>3.9988709052671691E-2</v>
          </cell>
          <cell r="F25">
            <v>6.3613879227863539E-3</v>
          </cell>
          <cell r="G25">
            <v>8.2640947388677392E-3</v>
          </cell>
          <cell r="H25">
            <v>1.353652900354629E-2</v>
          </cell>
          <cell r="I25">
            <v>1.3272121778363129E-2</v>
          </cell>
          <cell r="J25">
            <v>1.3873932179403234E-2</v>
          </cell>
          <cell r="K25">
            <v>1.770072991853093E-2</v>
          </cell>
          <cell r="L25">
            <v>1.5371331482814556E-2</v>
          </cell>
        </row>
        <row r="27">
          <cell r="A27" t="str">
            <v>Cash dividend per share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0.59923855415769023</v>
          </cell>
          <cell r="I27">
            <v>1.985019459035321</v>
          </cell>
          <cell r="J27">
            <v>2.4999363197280084</v>
          </cell>
          <cell r="K27">
            <v>3.0000000047715276</v>
          </cell>
          <cell r="L27">
            <v>3.0250729000000001</v>
          </cell>
          <cell r="M27">
            <v>2.9670926766532446</v>
          </cell>
          <cell r="N27">
            <v>3.0405893478507804</v>
          </cell>
          <cell r="O27">
            <v>3</v>
          </cell>
          <cell r="P27">
            <v>3</v>
          </cell>
          <cell r="Q27">
            <v>3</v>
          </cell>
        </row>
        <row r="28">
          <cell r="A28" t="str">
            <v>Cash payout ratio</v>
          </cell>
          <cell r="H28">
            <v>0.26121040147105173</v>
          </cell>
          <cell r="I28">
            <v>0.53054896893214609</v>
          </cell>
          <cell r="J28">
            <v>0.67001178488633406</v>
          </cell>
          <cell r="K28">
            <v>0.61010575026379577</v>
          </cell>
          <cell r="L28">
            <v>0.7032522106079524</v>
          </cell>
          <cell r="M28">
            <v>0.7692772433672872</v>
          </cell>
          <cell r="N28">
            <v>0.8709931050109756</v>
          </cell>
          <cell r="O28">
            <v>0.48091019257948869</v>
          </cell>
          <cell r="P28">
            <v>0.5792957308551433</v>
          </cell>
          <cell r="Q28">
            <v>0.46797078044652723</v>
          </cell>
        </row>
      </sheetData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IS"/>
      <sheetName val="MW-Cache"/>
      <sheetName val="BS"/>
      <sheetName val="CFS"/>
      <sheetName val="Scenarios"/>
      <sheetName val="BU-Segment (Orders)"/>
      <sheetName val="BU-Segment (Sales)"/>
      <sheetName val="BU-Seasonality"/>
      <sheetName val="MS vs. Cons."/>
      <sheetName val="MS vs Cons"/>
      <sheetName val="Snapshot"/>
      <sheetName val="By Segm"/>
      <sheetName val="QoQ Comp"/>
      <sheetName val="DCF"/>
      <sheetName val="MWA RR"/>
      <sheetName val="mwareDates"/>
      <sheetName val="MacroForPub"/>
      <sheetName val="mwareSettings"/>
      <sheetName val="#REF"/>
    </sheetNames>
    <sheetDataSet>
      <sheetData sheetId="0"/>
      <sheetData sheetId="1"/>
      <sheetData sheetId="2"/>
      <sheetData sheetId="3">
        <row r="44"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>
            <v>0</v>
          </cell>
          <cell r="EN44">
            <v>0</v>
          </cell>
          <cell r="EO44">
            <v>0</v>
          </cell>
          <cell r="EP44">
            <v>0</v>
          </cell>
          <cell r="EQ44">
            <v>0</v>
          </cell>
          <cell r="ER44">
            <v>0</v>
          </cell>
          <cell r="ES44">
            <v>0</v>
          </cell>
          <cell r="ET44">
            <v>0</v>
          </cell>
          <cell r="EU44">
            <v>0</v>
          </cell>
          <cell r="EV44">
            <v>0</v>
          </cell>
          <cell r="EW44">
            <v>0</v>
          </cell>
          <cell r="EX44">
            <v>0</v>
          </cell>
          <cell r="EY44">
            <v>0</v>
          </cell>
          <cell r="EZ44">
            <v>0</v>
          </cell>
          <cell r="FA44">
            <v>0</v>
          </cell>
          <cell r="FB44">
            <v>0</v>
          </cell>
          <cell r="FC44">
            <v>0</v>
          </cell>
          <cell r="FD44">
            <v>0</v>
          </cell>
          <cell r="FE44">
            <v>0</v>
          </cell>
          <cell r="FF44">
            <v>0</v>
          </cell>
          <cell r="FH44">
            <v>0</v>
          </cell>
          <cell r="FI44">
            <v>0</v>
          </cell>
          <cell r="FJ44">
            <v>0</v>
          </cell>
          <cell r="FK44">
            <v>0</v>
          </cell>
          <cell r="FL44">
            <v>0</v>
          </cell>
          <cell r="FM44">
            <v>0</v>
          </cell>
          <cell r="FN44">
            <v>0</v>
          </cell>
          <cell r="FO44">
            <v>0</v>
          </cell>
          <cell r="FP44">
            <v>0</v>
          </cell>
          <cell r="FQ44">
            <v>0</v>
          </cell>
          <cell r="FR44">
            <v>0</v>
          </cell>
          <cell r="FS44">
            <v>0</v>
          </cell>
          <cell r="FT44">
            <v>0</v>
          </cell>
          <cell r="FU44">
            <v>0</v>
          </cell>
          <cell r="FV44">
            <v>0</v>
          </cell>
          <cell r="FW44">
            <v>0</v>
          </cell>
          <cell r="FX44">
            <v>0</v>
          </cell>
          <cell r="FY44">
            <v>0</v>
          </cell>
          <cell r="FZ44">
            <v>0</v>
          </cell>
          <cell r="GA44">
            <v>0</v>
          </cell>
          <cell r="GB44">
            <v>0</v>
          </cell>
          <cell r="GC44">
            <v>0</v>
          </cell>
          <cell r="GD44">
            <v>0</v>
          </cell>
          <cell r="GE44">
            <v>0</v>
          </cell>
          <cell r="GF44">
            <v>0</v>
          </cell>
          <cell r="GG44">
            <v>0</v>
          </cell>
          <cell r="GH44">
            <v>0</v>
          </cell>
          <cell r="GI44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1985-Q1</v>
          </cell>
          <cell r="C2">
            <v>30987</v>
          </cell>
          <cell r="D2">
            <v>31078</v>
          </cell>
          <cell r="E2" t="str">
            <v>A</v>
          </cell>
        </row>
        <row r="3">
          <cell r="B3" t="str">
            <v>1985-Q2</v>
          </cell>
          <cell r="C3">
            <v>31079</v>
          </cell>
          <cell r="D3">
            <v>31167</v>
          </cell>
          <cell r="E3" t="str">
            <v>A</v>
          </cell>
        </row>
        <row r="4">
          <cell r="B4" t="str">
            <v>1985-Q3</v>
          </cell>
          <cell r="C4">
            <v>31168</v>
          </cell>
          <cell r="D4">
            <v>31259</v>
          </cell>
          <cell r="E4" t="str">
            <v>A</v>
          </cell>
        </row>
        <row r="5">
          <cell r="B5" t="str">
            <v>1985-Q4</v>
          </cell>
          <cell r="C5">
            <v>31260</v>
          </cell>
          <cell r="D5">
            <v>31351</v>
          </cell>
          <cell r="E5" t="str">
            <v>A</v>
          </cell>
        </row>
        <row r="6">
          <cell r="B6" t="str">
            <v>1985-FY</v>
          </cell>
          <cell r="C6">
            <v>30987</v>
          </cell>
          <cell r="D6">
            <v>31351</v>
          </cell>
          <cell r="E6" t="str">
            <v>A</v>
          </cell>
        </row>
        <row r="7">
          <cell r="B7" t="str">
            <v>1986-Q1</v>
          </cell>
          <cell r="C7">
            <v>31352</v>
          </cell>
          <cell r="D7">
            <v>31443</v>
          </cell>
          <cell r="E7" t="str">
            <v>A</v>
          </cell>
        </row>
        <row r="8">
          <cell r="B8" t="str">
            <v>1986-Q2</v>
          </cell>
          <cell r="C8">
            <v>31444</v>
          </cell>
          <cell r="D8">
            <v>31532</v>
          </cell>
          <cell r="E8" t="str">
            <v>A</v>
          </cell>
        </row>
        <row r="9">
          <cell r="B9" t="str">
            <v>1986-Q3</v>
          </cell>
          <cell r="C9">
            <v>31533</v>
          </cell>
          <cell r="D9">
            <v>31624</v>
          </cell>
          <cell r="E9" t="str">
            <v>A</v>
          </cell>
        </row>
        <row r="10">
          <cell r="B10" t="str">
            <v>1986-Q4</v>
          </cell>
          <cell r="C10">
            <v>31625</v>
          </cell>
          <cell r="D10">
            <v>31716</v>
          </cell>
          <cell r="E10" t="str">
            <v>A</v>
          </cell>
        </row>
        <row r="11">
          <cell r="B11" t="str">
            <v>1986-FY</v>
          </cell>
          <cell r="C11">
            <v>31352</v>
          </cell>
          <cell r="D11">
            <v>31716</v>
          </cell>
          <cell r="E11" t="str">
            <v>A</v>
          </cell>
        </row>
        <row r="12">
          <cell r="B12" t="str">
            <v>1987-Q1</v>
          </cell>
          <cell r="C12">
            <v>31717</v>
          </cell>
          <cell r="D12">
            <v>31808</v>
          </cell>
          <cell r="E12" t="str">
            <v>A</v>
          </cell>
        </row>
        <row r="13">
          <cell r="B13" t="str">
            <v>1987-Q2</v>
          </cell>
          <cell r="C13">
            <v>31809</v>
          </cell>
          <cell r="D13">
            <v>31897</v>
          </cell>
          <cell r="E13" t="str">
            <v>A</v>
          </cell>
        </row>
        <row r="14">
          <cell r="B14" t="str">
            <v>1987-Q3</v>
          </cell>
          <cell r="C14">
            <v>31898</v>
          </cell>
          <cell r="D14">
            <v>31989</v>
          </cell>
          <cell r="E14" t="str">
            <v>A</v>
          </cell>
        </row>
        <row r="15">
          <cell r="B15" t="str">
            <v>1987-Q4</v>
          </cell>
          <cell r="C15">
            <v>31990</v>
          </cell>
          <cell r="D15">
            <v>32081</v>
          </cell>
          <cell r="E15" t="str">
            <v>A</v>
          </cell>
        </row>
        <row r="16">
          <cell r="B16" t="str">
            <v>1987-FY</v>
          </cell>
          <cell r="C16">
            <v>31717</v>
          </cell>
          <cell r="D16">
            <v>32081</v>
          </cell>
          <cell r="E16" t="str">
            <v>A</v>
          </cell>
        </row>
        <row r="17">
          <cell r="B17" t="str">
            <v>1988-Q1</v>
          </cell>
          <cell r="C17">
            <v>32082</v>
          </cell>
          <cell r="D17">
            <v>32173</v>
          </cell>
          <cell r="E17" t="str">
            <v>A</v>
          </cell>
        </row>
        <row r="18">
          <cell r="B18" t="str">
            <v>1988-Q2</v>
          </cell>
          <cell r="C18">
            <v>32174</v>
          </cell>
          <cell r="D18">
            <v>32263</v>
          </cell>
          <cell r="E18" t="str">
            <v>A</v>
          </cell>
        </row>
        <row r="19">
          <cell r="B19" t="str">
            <v>1988-Q3</v>
          </cell>
          <cell r="C19">
            <v>32264</v>
          </cell>
          <cell r="D19">
            <v>32355</v>
          </cell>
          <cell r="E19" t="str">
            <v>A</v>
          </cell>
        </row>
        <row r="20">
          <cell r="B20" t="str">
            <v>1988-Q4</v>
          </cell>
          <cell r="C20">
            <v>32356</v>
          </cell>
          <cell r="D20">
            <v>32447</v>
          </cell>
          <cell r="E20" t="str">
            <v>A</v>
          </cell>
        </row>
        <row r="21">
          <cell r="B21" t="str">
            <v>1988-FY</v>
          </cell>
          <cell r="C21">
            <v>32082</v>
          </cell>
          <cell r="D21">
            <v>32447</v>
          </cell>
          <cell r="E21" t="str">
            <v>A</v>
          </cell>
        </row>
        <row r="22">
          <cell r="B22" t="str">
            <v>1989-Q1</v>
          </cell>
          <cell r="C22">
            <v>32448</v>
          </cell>
          <cell r="D22">
            <v>32539</v>
          </cell>
          <cell r="E22" t="str">
            <v>A</v>
          </cell>
        </row>
        <row r="23">
          <cell r="B23" t="str">
            <v>1989-Q2</v>
          </cell>
          <cell r="C23">
            <v>32540</v>
          </cell>
          <cell r="D23">
            <v>32628</v>
          </cell>
          <cell r="E23" t="str">
            <v>A</v>
          </cell>
        </row>
        <row r="24">
          <cell r="B24" t="str">
            <v>1989-Q3</v>
          </cell>
          <cell r="C24">
            <v>32629</v>
          </cell>
          <cell r="D24">
            <v>32720</v>
          </cell>
          <cell r="E24" t="str">
            <v>A</v>
          </cell>
        </row>
        <row r="25">
          <cell r="B25" t="str">
            <v>1989-Q4</v>
          </cell>
          <cell r="C25">
            <v>32721</v>
          </cell>
          <cell r="D25">
            <v>32812</v>
          </cell>
          <cell r="E25" t="str">
            <v>A</v>
          </cell>
        </row>
        <row r="26">
          <cell r="B26" t="str">
            <v>1989-FY</v>
          </cell>
          <cell r="C26">
            <v>32448</v>
          </cell>
          <cell r="D26">
            <v>32812</v>
          </cell>
          <cell r="E26" t="str">
            <v>A</v>
          </cell>
        </row>
        <row r="27">
          <cell r="B27" t="str">
            <v>1990-Q1</v>
          </cell>
          <cell r="C27">
            <v>32813</v>
          </cell>
          <cell r="D27">
            <v>32904</v>
          </cell>
          <cell r="E27" t="str">
            <v>A</v>
          </cell>
        </row>
        <row r="28">
          <cell r="B28" t="str">
            <v>1990-Q2</v>
          </cell>
          <cell r="C28">
            <v>32905</v>
          </cell>
          <cell r="D28">
            <v>32993</v>
          </cell>
          <cell r="E28" t="str">
            <v>A</v>
          </cell>
        </row>
        <row r="29">
          <cell r="B29" t="str">
            <v>1990-Q3</v>
          </cell>
          <cell r="C29">
            <v>32994</v>
          </cell>
          <cell r="D29">
            <v>33085</v>
          </cell>
          <cell r="E29" t="str">
            <v>A</v>
          </cell>
        </row>
        <row r="30">
          <cell r="B30" t="str">
            <v>1990-Q4</v>
          </cell>
          <cell r="C30">
            <v>33086</v>
          </cell>
          <cell r="D30">
            <v>33177</v>
          </cell>
          <cell r="E30" t="str">
            <v>A</v>
          </cell>
        </row>
        <row r="31">
          <cell r="B31" t="str">
            <v>1990-FY</v>
          </cell>
          <cell r="C31">
            <v>32813</v>
          </cell>
          <cell r="D31">
            <v>33177</v>
          </cell>
          <cell r="E31" t="str">
            <v>A</v>
          </cell>
        </row>
        <row r="32">
          <cell r="B32" t="str">
            <v>1991-Q1</v>
          </cell>
          <cell r="C32">
            <v>33178</v>
          </cell>
          <cell r="D32">
            <v>33269</v>
          </cell>
          <cell r="E32" t="str">
            <v>A</v>
          </cell>
        </row>
        <row r="33">
          <cell r="B33" t="str">
            <v>1991-Q2</v>
          </cell>
          <cell r="C33">
            <v>33270</v>
          </cell>
          <cell r="D33">
            <v>33358</v>
          </cell>
          <cell r="E33" t="str">
            <v>A</v>
          </cell>
        </row>
        <row r="34">
          <cell r="B34" t="str">
            <v>1991-Q3</v>
          </cell>
          <cell r="C34">
            <v>33359</v>
          </cell>
          <cell r="D34">
            <v>33450</v>
          </cell>
          <cell r="E34" t="str">
            <v>A</v>
          </cell>
        </row>
        <row r="35">
          <cell r="B35" t="str">
            <v>1991-Q4</v>
          </cell>
          <cell r="C35">
            <v>33451</v>
          </cell>
          <cell r="D35">
            <v>33542</v>
          </cell>
          <cell r="E35" t="str">
            <v>A</v>
          </cell>
        </row>
        <row r="36">
          <cell r="B36" t="str">
            <v>1991-FY</v>
          </cell>
          <cell r="C36">
            <v>33178</v>
          </cell>
          <cell r="D36">
            <v>33542</v>
          </cell>
          <cell r="E36" t="str">
            <v>A</v>
          </cell>
        </row>
        <row r="37">
          <cell r="B37" t="str">
            <v>1992-Q1</v>
          </cell>
          <cell r="C37">
            <v>33543</v>
          </cell>
          <cell r="D37">
            <v>33634</v>
          </cell>
          <cell r="E37" t="str">
            <v>A</v>
          </cell>
        </row>
        <row r="38">
          <cell r="B38" t="str">
            <v>1992-Q2</v>
          </cell>
          <cell r="C38">
            <v>33635</v>
          </cell>
          <cell r="D38">
            <v>33724</v>
          </cell>
          <cell r="E38" t="str">
            <v>A</v>
          </cell>
        </row>
        <row r="39">
          <cell r="B39" t="str">
            <v>1992-Q3</v>
          </cell>
          <cell r="C39">
            <v>33725</v>
          </cell>
          <cell r="D39">
            <v>33816</v>
          </cell>
          <cell r="E39" t="str">
            <v>A</v>
          </cell>
        </row>
        <row r="40">
          <cell r="B40" t="str">
            <v>1992-Q4</v>
          </cell>
          <cell r="C40">
            <v>33817</v>
          </cell>
          <cell r="D40">
            <v>33908</v>
          </cell>
          <cell r="E40" t="str">
            <v>A</v>
          </cell>
        </row>
        <row r="41">
          <cell r="B41" t="str">
            <v>1992-FY</v>
          </cell>
          <cell r="C41">
            <v>33543</v>
          </cell>
          <cell r="D41">
            <v>33908</v>
          </cell>
          <cell r="E41" t="str">
            <v>A</v>
          </cell>
        </row>
        <row r="42">
          <cell r="B42" t="str">
            <v>1993-Q1</v>
          </cell>
          <cell r="C42">
            <v>33909</v>
          </cell>
          <cell r="D42">
            <v>34000</v>
          </cell>
          <cell r="E42" t="str">
            <v>A</v>
          </cell>
        </row>
        <row r="43">
          <cell r="B43" t="str">
            <v>1993-Q2</v>
          </cell>
          <cell r="C43">
            <v>34001</v>
          </cell>
          <cell r="D43">
            <v>34089</v>
          </cell>
          <cell r="E43" t="str">
            <v>A</v>
          </cell>
        </row>
        <row r="44">
          <cell r="B44" t="str">
            <v>1993-Q3</v>
          </cell>
          <cell r="C44">
            <v>34090</v>
          </cell>
          <cell r="D44">
            <v>34181</v>
          </cell>
          <cell r="E44" t="str">
            <v>A</v>
          </cell>
        </row>
        <row r="45">
          <cell r="B45" t="str">
            <v>1993-Q4</v>
          </cell>
          <cell r="C45">
            <v>34182</v>
          </cell>
          <cell r="D45">
            <v>34273</v>
          </cell>
          <cell r="E45" t="str">
            <v>A</v>
          </cell>
        </row>
        <row r="46">
          <cell r="B46" t="str">
            <v>1993-FY</v>
          </cell>
          <cell r="C46">
            <v>33909</v>
          </cell>
          <cell r="D46">
            <v>34273</v>
          </cell>
          <cell r="E46" t="str">
            <v>A</v>
          </cell>
        </row>
        <row r="47">
          <cell r="B47" t="str">
            <v>1994-Q1</v>
          </cell>
          <cell r="C47">
            <v>34274</v>
          </cell>
          <cell r="D47">
            <v>34365</v>
          </cell>
          <cell r="E47" t="str">
            <v>A</v>
          </cell>
        </row>
        <row r="48">
          <cell r="B48" t="str">
            <v>1994-Q2</v>
          </cell>
          <cell r="C48">
            <v>34366</v>
          </cell>
          <cell r="D48">
            <v>34454</v>
          </cell>
          <cell r="E48" t="str">
            <v>A</v>
          </cell>
        </row>
        <row r="49">
          <cell r="B49" t="str">
            <v>1994-Q3</v>
          </cell>
          <cell r="C49">
            <v>34455</v>
          </cell>
          <cell r="D49">
            <v>34546</v>
          </cell>
          <cell r="E49" t="str">
            <v>A</v>
          </cell>
        </row>
        <row r="50">
          <cell r="B50" t="str">
            <v>1994-Q4</v>
          </cell>
          <cell r="C50">
            <v>34547</v>
          </cell>
          <cell r="D50">
            <v>34638</v>
          </cell>
          <cell r="E50" t="str">
            <v>A</v>
          </cell>
        </row>
        <row r="51">
          <cell r="B51" t="str">
            <v>1994-FY</v>
          </cell>
          <cell r="C51">
            <v>34274</v>
          </cell>
          <cell r="D51">
            <v>34638</v>
          </cell>
          <cell r="E51" t="str">
            <v>A</v>
          </cell>
        </row>
        <row r="52">
          <cell r="B52" t="str">
            <v>1995-Q1</v>
          </cell>
          <cell r="C52">
            <v>34639</v>
          </cell>
          <cell r="D52">
            <v>34730</v>
          </cell>
          <cell r="E52" t="str">
            <v>A</v>
          </cell>
        </row>
        <row r="53">
          <cell r="B53" t="str">
            <v>1995-Q2</v>
          </cell>
          <cell r="C53">
            <v>34731</v>
          </cell>
          <cell r="D53">
            <v>34819</v>
          </cell>
          <cell r="E53" t="str">
            <v>A</v>
          </cell>
        </row>
        <row r="54">
          <cell r="B54" t="str">
            <v>1995-Q3</v>
          </cell>
          <cell r="C54">
            <v>34820</v>
          </cell>
          <cell r="D54">
            <v>34911</v>
          </cell>
          <cell r="E54" t="str">
            <v>A</v>
          </cell>
        </row>
        <row r="55">
          <cell r="B55" t="str">
            <v>1995-Q4</v>
          </cell>
          <cell r="C55">
            <v>34912</v>
          </cell>
          <cell r="D55">
            <v>35003</v>
          </cell>
          <cell r="E55" t="str">
            <v>A</v>
          </cell>
        </row>
        <row r="56">
          <cell r="B56" t="str">
            <v>1995-FY</v>
          </cell>
          <cell r="C56">
            <v>34639</v>
          </cell>
          <cell r="D56">
            <v>35003</v>
          </cell>
          <cell r="E56" t="str">
            <v>A</v>
          </cell>
        </row>
        <row r="57">
          <cell r="B57" t="str">
            <v>1996-Q1</v>
          </cell>
          <cell r="C57">
            <v>35004</v>
          </cell>
          <cell r="D57">
            <v>35095</v>
          </cell>
          <cell r="E57" t="str">
            <v>A</v>
          </cell>
        </row>
        <row r="58">
          <cell r="B58" t="str">
            <v>1996-Q2</v>
          </cell>
          <cell r="C58">
            <v>35096</v>
          </cell>
          <cell r="D58">
            <v>35185</v>
          </cell>
          <cell r="E58" t="str">
            <v>A</v>
          </cell>
        </row>
        <row r="59">
          <cell r="B59" t="str">
            <v>1996-Q3</v>
          </cell>
          <cell r="C59">
            <v>35186</v>
          </cell>
          <cell r="D59">
            <v>35277</v>
          </cell>
          <cell r="E59" t="str">
            <v>A</v>
          </cell>
        </row>
        <row r="60">
          <cell r="B60" t="str">
            <v>1996-Q4</v>
          </cell>
          <cell r="C60">
            <v>35278</v>
          </cell>
          <cell r="D60">
            <v>35369</v>
          </cell>
          <cell r="E60" t="str">
            <v>A</v>
          </cell>
        </row>
        <row r="61">
          <cell r="B61" t="str">
            <v>1996-FY</v>
          </cell>
          <cell r="C61">
            <v>35004</v>
          </cell>
          <cell r="D61">
            <v>35369</v>
          </cell>
          <cell r="E61" t="str">
            <v>A</v>
          </cell>
        </row>
        <row r="62">
          <cell r="B62" t="str">
            <v>1997-Q1</v>
          </cell>
          <cell r="C62">
            <v>35370</v>
          </cell>
          <cell r="D62">
            <v>35461</v>
          </cell>
          <cell r="E62" t="str">
            <v>A</v>
          </cell>
        </row>
        <row r="63">
          <cell r="B63" t="str">
            <v>1997-Q2</v>
          </cell>
          <cell r="C63">
            <v>35462</v>
          </cell>
          <cell r="D63">
            <v>35550</v>
          </cell>
          <cell r="E63" t="str">
            <v>A</v>
          </cell>
        </row>
        <row r="64">
          <cell r="B64" t="str">
            <v>1997-Q3</v>
          </cell>
          <cell r="C64">
            <v>35551</v>
          </cell>
          <cell r="D64">
            <v>35642</v>
          </cell>
          <cell r="E64" t="str">
            <v>A</v>
          </cell>
        </row>
        <row r="65">
          <cell r="B65" t="str">
            <v>1997-Q4</v>
          </cell>
          <cell r="C65">
            <v>35643</v>
          </cell>
          <cell r="D65">
            <v>35734</v>
          </cell>
          <cell r="E65" t="str">
            <v>A</v>
          </cell>
        </row>
        <row r="66">
          <cell r="B66" t="str">
            <v>1997-FY</v>
          </cell>
          <cell r="C66">
            <v>35370</v>
          </cell>
          <cell r="D66">
            <v>35734</v>
          </cell>
          <cell r="E66" t="str">
            <v>A</v>
          </cell>
        </row>
        <row r="67">
          <cell r="B67" t="str">
            <v>1998-Q1</v>
          </cell>
          <cell r="C67">
            <v>35735</v>
          </cell>
          <cell r="D67">
            <v>35826</v>
          </cell>
          <cell r="E67" t="str">
            <v>A</v>
          </cell>
        </row>
        <row r="68">
          <cell r="B68" t="str">
            <v>1998-Q2</v>
          </cell>
          <cell r="C68">
            <v>35827</v>
          </cell>
          <cell r="D68">
            <v>35915</v>
          </cell>
          <cell r="E68" t="str">
            <v>A</v>
          </cell>
        </row>
        <row r="69">
          <cell r="B69" t="str">
            <v>1998-Q3</v>
          </cell>
          <cell r="C69">
            <v>35916</v>
          </cell>
          <cell r="D69">
            <v>36007</v>
          </cell>
          <cell r="E69" t="str">
            <v>A</v>
          </cell>
        </row>
        <row r="70">
          <cell r="B70" t="str">
            <v>1998-Q4</v>
          </cell>
          <cell r="C70">
            <v>36008</v>
          </cell>
          <cell r="D70">
            <v>36099</v>
          </cell>
          <cell r="E70" t="str">
            <v>A</v>
          </cell>
        </row>
        <row r="71">
          <cell r="B71" t="str">
            <v>1998-FY</v>
          </cell>
          <cell r="C71">
            <v>35735</v>
          </cell>
          <cell r="D71">
            <v>36099</v>
          </cell>
          <cell r="E71" t="str">
            <v>A</v>
          </cell>
        </row>
        <row r="72">
          <cell r="B72" t="str">
            <v>1999-Q1</v>
          </cell>
          <cell r="C72">
            <v>36100</v>
          </cell>
          <cell r="D72">
            <v>36191</v>
          </cell>
          <cell r="E72" t="str">
            <v>A</v>
          </cell>
        </row>
        <row r="73">
          <cell r="B73" t="str">
            <v>1999-Q2</v>
          </cell>
          <cell r="C73">
            <v>36192</v>
          </cell>
          <cell r="D73">
            <v>36280</v>
          </cell>
          <cell r="E73" t="str">
            <v>A</v>
          </cell>
        </row>
        <row r="74">
          <cell r="B74" t="str">
            <v>1999-Q3</v>
          </cell>
          <cell r="C74">
            <v>36281</v>
          </cell>
          <cell r="D74">
            <v>36372</v>
          </cell>
          <cell r="E74" t="str">
            <v>A</v>
          </cell>
        </row>
        <row r="75">
          <cell r="B75" t="str">
            <v>1999-Q4</v>
          </cell>
          <cell r="C75">
            <v>36373</v>
          </cell>
          <cell r="D75">
            <v>36464</v>
          </cell>
          <cell r="E75" t="str">
            <v>A</v>
          </cell>
        </row>
        <row r="76">
          <cell r="B76" t="str">
            <v>1999-FY</v>
          </cell>
          <cell r="C76">
            <v>36100</v>
          </cell>
          <cell r="D76">
            <v>36464</v>
          </cell>
          <cell r="E76" t="str">
            <v>A</v>
          </cell>
        </row>
        <row r="77">
          <cell r="B77" t="str">
            <v>2000-Q1</v>
          </cell>
          <cell r="C77">
            <v>36465</v>
          </cell>
          <cell r="D77">
            <v>36556</v>
          </cell>
          <cell r="E77" t="str">
            <v>A</v>
          </cell>
        </row>
        <row r="78">
          <cell r="B78" t="str">
            <v>2000-Q2</v>
          </cell>
          <cell r="C78">
            <v>36557</v>
          </cell>
          <cell r="D78">
            <v>36646</v>
          </cell>
          <cell r="E78" t="str">
            <v>A</v>
          </cell>
        </row>
        <row r="79">
          <cell r="B79" t="str">
            <v>2000-Q3</v>
          </cell>
          <cell r="C79">
            <v>36647</v>
          </cell>
          <cell r="D79">
            <v>36738</v>
          </cell>
          <cell r="E79" t="str">
            <v>A</v>
          </cell>
        </row>
        <row r="80">
          <cell r="B80" t="str">
            <v>2000-Q4</v>
          </cell>
          <cell r="C80">
            <v>36739</v>
          </cell>
          <cell r="D80">
            <v>36830</v>
          </cell>
          <cell r="E80" t="str">
            <v>A</v>
          </cell>
        </row>
        <row r="81">
          <cell r="B81" t="str">
            <v>2000-FY</v>
          </cell>
          <cell r="C81">
            <v>36465</v>
          </cell>
          <cell r="D81">
            <v>36830</v>
          </cell>
          <cell r="E81" t="str">
            <v>A</v>
          </cell>
        </row>
        <row r="82">
          <cell r="B82" t="str">
            <v>2001-Q1</v>
          </cell>
          <cell r="C82">
            <v>36831</v>
          </cell>
          <cell r="D82">
            <v>36922</v>
          </cell>
          <cell r="E82" t="str">
            <v>A</v>
          </cell>
        </row>
        <row r="83">
          <cell r="B83" t="str">
            <v>2001-Q2</v>
          </cell>
          <cell r="C83">
            <v>36923</v>
          </cell>
          <cell r="D83">
            <v>37011</v>
          </cell>
          <cell r="E83" t="str">
            <v>A</v>
          </cell>
        </row>
        <row r="84">
          <cell r="B84" t="str">
            <v>2001-Q3</v>
          </cell>
          <cell r="C84">
            <v>37012</v>
          </cell>
          <cell r="D84">
            <v>37103</v>
          </cell>
          <cell r="E84" t="str">
            <v>A</v>
          </cell>
        </row>
        <row r="85">
          <cell r="B85" t="str">
            <v>2001-Q4</v>
          </cell>
          <cell r="C85">
            <v>37104</v>
          </cell>
          <cell r="D85">
            <v>37195</v>
          </cell>
          <cell r="E85" t="str">
            <v>A</v>
          </cell>
        </row>
        <row r="86">
          <cell r="B86" t="str">
            <v>2001-FY</v>
          </cell>
          <cell r="C86">
            <v>36831</v>
          </cell>
          <cell r="D86">
            <v>37195</v>
          </cell>
          <cell r="E86" t="str">
            <v>A</v>
          </cell>
        </row>
        <row r="87">
          <cell r="B87" t="str">
            <v>2002-Q1</v>
          </cell>
          <cell r="C87">
            <v>37196</v>
          </cell>
          <cell r="D87">
            <v>37287</v>
          </cell>
          <cell r="E87" t="str">
            <v>A</v>
          </cell>
        </row>
        <row r="88">
          <cell r="B88" t="str">
            <v>2002-Q2</v>
          </cell>
          <cell r="C88">
            <v>37288</v>
          </cell>
          <cell r="D88">
            <v>37376</v>
          </cell>
          <cell r="E88" t="str">
            <v>A</v>
          </cell>
        </row>
        <row r="89">
          <cell r="B89" t="str">
            <v>2002-Q3</v>
          </cell>
          <cell r="C89">
            <v>37377</v>
          </cell>
          <cell r="D89">
            <v>37468</v>
          </cell>
          <cell r="E89" t="str">
            <v>A</v>
          </cell>
        </row>
        <row r="90">
          <cell r="B90" t="str">
            <v>2002-Q4</v>
          </cell>
          <cell r="C90">
            <v>37469</v>
          </cell>
          <cell r="D90">
            <v>37560</v>
          </cell>
          <cell r="E90" t="str">
            <v>A</v>
          </cell>
        </row>
        <row r="91">
          <cell r="B91" t="str">
            <v>2002-FY</v>
          </cell>
          <cell r="C91">
            <v>37196</v>
          </cell>
          <cell r="D91">
            <v>37560</v>
          </cell>
          <cell r="E91" t="str">
            <v>A</v>
          </cell>
        </row>
        <row r="92">
          <cell r="B92" t="str">
            <v>2003-Q1</v>
          </cell>
          <cell r="C92">
            <v>37561</v>
          </cell>
          <cell r="D92">
            <v>37652</v>
          </cell>
          <cell r="E92" t="str">
            <v>A</v>
          </cell>
        </row>
        <row r="93">
          <cell r="B93" t="str">
            <v>2003-Q2</v>
          </cell>
          <cell r="C93">
            <v>37653</v>
          </cell>
          <cell r="D93">
            <v>37741</v>
          </cell>
          <cell r="E93" t="str">
            <v>A</v>
          </cell>
        </row>
        <row r="94">
          <cell r="B94" t="str">
            <v>2003-Q3</v>
          </cell>
          <cell r="C94">
            <v>37742</v>
          </cell>
          <cell r="D94">
            <v>37833</v>
          </cell>
          <cell r="E94" t="str">
            <v>A</v>
          </cell>
        </row>
        <row r="95">
          <cell r="B95" t="str">
            <v>2003-Q4</v>
          </cell>
          <cell r="C95">
            <v>37834</v>
          </cell>
          <cell r="D95">
            <v>37925</v>
          </cell>
          <cell r="E95" t="str">
            <v>A</v>
          </cell>
        </row>
        <row r="96">
          <cell r="B96" t="str">
            <v>2003-FY</v>
          </cell>
          <cell r="C96">
            <v>37561</v>
          </cell>
          <cell r="D96">
            <v>37925</v>
          </cell>
          <cell r="E96" t="str">
            <v>A</v>
          </cell>
        </row>
        <row r="97">
          <cell r="B97" t="str">
            <v>2004-Q1</v>
          </cell>
          <cell r="C97">
            <v>37926</v>
          </cell>
          <cell r="D97">
            <v>38017</v>
          </cell>
          <cell r="E97" t="str">
            <v>A</v>
          </cell>
        </row>
        <row r="98">
          <cell r="B98" t="str">
            <v>2004-Q2</v>
          </cell>
          <cell r="C98">
            <v>38018</v>
          </cell>
          <cell r="D98">
            <v>38107</v>
          </cell>
          <cell r="E98" t="str">
            <v>A</v>
          </cell>
        </row>
        <row r="99">
          <cell r="B99" t="str">
            <v>2004-Q3</v>
          </cell>
          <cell r="C99">
            <v>38108</v>
          </cell>
          <cell r="D99">
            <v>38199</v>
          </cell>
          <cell r="E99" t="str">
            <v>A</v>
          </cell>
        </row>
        <row r="100">
          <cell r="B100" t="str">
            <v>2004-Q4</v>
          </cell>
          <cell r="C100">
            <v>38200</v>
          </cell>
          <cell r="D100">
            <v>38291</v>
          </cell>
          <cell r="E100" t="str">
            <v>A</v>
          </cell>
        </row>
        <row r="101">
          <cell r="B101" t="str">
            <v>2004-FY</v>
          </cell>
          <cell r="C101">
            <v>37926</v>
          </cell>
          <cell r="D101">
            <v>38291</v>
          </cell>
          <cell r="E101" t="str">
            <v>A</v>
          </cell>
        </row>
        <row r="102">
          <cell r="B102" t="str">
            <v>2005-Q1</v>
          </cell>
          <cell r="C102">
            <v>38292</v>
          </cell>
          <cell r="D102">
            <v>38383</v>
          </cell>
          <cell r="E102" t="str">
            <v>A</v>
          </cell>
        </row>
        <row r="103">
          <cell r="B103" t="str">
            <v>2005-Q2</v>
          </cell>
          <cell r="C103">
            <v>38384</v>
          </cell>
          <cell r="D103">
            <v>38472</v>
          </cell>
          <cell r="E103" t="str">
            <v>A</v>
          </cell>
        </row>
        <row r="104">
          <cell r="B104" t="str">
            <v>2005-Q3</v>
          </cell>
          <cell r="C104">
            <v>38473</v>
          </cell>
          <cell r="D104">
            <v>38564</v>
          </cell>
          <cell r="E104" t="str">
            <v>A</v>
          </cell>
        </row>
        <row r="105">
          <cell r="B105" t="str">
            <v>2005-Q4</v>
          </cell>
          <cell r="C105">
            <v>38565</v>
          </cell>
          <cell r="D105">
            <v>38656</v>
          </cell>
          <cell r="E105" t="str">
            <v>A</v>
          </cell>
        </row>
        <row r="106">
          <cell r="B106" t="str">
            <v>2005-FY</v>
          </cell>
          <cell r="C106">
            <v>38292</v>
          </cell>
          <cell r="D106">
            <v>38656</v>
          </cell>
          <cell r="E106" t="str">
            <v>A</v>
          </cell>
        </row>
        <row r="107">
          <cell r="B107" t="str">
            <v>2006-Q1</v>
          </cell>
          <cell r="C107">
            <v>38657</v>
          </cell>
          <cell r="D107">
            <v>38748</v>
          </cell>
          <cell r="E107" t="str">
            <v>A</v>
          </cell>
        </row>
        <row r="108">
          <cell r="B108" t="str">
            <v>2006-Q2</v>
          </cell>
          <cell r="C108">
            <v>38749</v>
          </cell>
          <cell r="D108">
            <v>38837</v>
          </cell>
          <cell r="E108" t="str">
            <v>A</v>
          </cell>
        </row>
        <row r="109">
          <cell r="B109" t="str">
            <v>2006-Q3</v>
          </cell>
          <cell r="C109">
            <v>38838</v>
          </cell>
          <cell r="D109">
            <v>38929</v>
          </cell>
          <cell r="E109" t="str">
            <v>A</v>
          </cell>
        </row>
        <row r="110">
          <cell r="B110" t="str">
            <v>2006-Q4</v>
          </cell>
          <cell r="C110">
            <v>38930</v>
          </cell>
          <cell r="D110">
            <v>39021</v>
          </cell>
          <cell r="E110" t="str">
            <v>A</v>
          </cell>
        </row>
        <row r="111">
          <cell r="B111" t="str">
            <v>2006-FY</v>
          </cell>
          <cell r="C111">
            <v>38657</v>
          </cell>
          <cell r="D111">
            <v>39021</v>
          </cell>
          <cell r="E111" t="str">
            <v>A</v>
          </cell>
        </row>
        <row r="112">
          <cell r="B112" t="str">
            <v>2007-Q1</v>
          </cell>
          <cell r="C112">
            <v>39022</v>
          </cell>
          <cell r="D112">
            <v>39113</v>
          </cell>
          <cell r="E112" t="str">
            <v>A</v>
          </cell>
        </row>
        <row r="113">
          <cell r="B113" t="str">
            <v>2007-Q2</v>
          </cell>
          <cell r="C113">
            <v>39114</v>
          </cell>
          <cell r="D113">
            <v>39202</v>
          </cell>
          <cell r="E113" t="str">
            <v>A</v>
          </cell>
        </row>
        <row r="114">
          <cell r="B114" t="str">
            <v>2007-Q3</v>
          </cell>
          <cell r="C114">
            <v>39203</v>
          </cell>
          <cell r="D114">
            <v>39294</v>
          </cell>
          <cell r="E114" t="str">
            <v>A</v>
          </cell>
        </row>
        <row r="115">
          <cell r="B115" t="str">
            <v>2007-Q4</v>
          </cell>
          <cell r="C115">
            <v>39295</v>
          </cell>
          <cell r="D115">
            <v>39386</v>
          </cell>
          <cell r="E115" t="str">
            <v>A</v>
          </cell>
        </row>
        <row r="116">
          <cell r="B116" t="str">
            <v>2007-FY</v>
          </cell>
          <cell r="C116">
            <v>39022</v>
          </cell>
          <cell r="D116">
            <v>39386</v>
          </cell>
          <cell r="E116" t="str">
            <v>A</v>
          </cell>
        </row>
        <row r="117">
          <cell r="B117" t="str">
            <v>2008-Q1</v>
          </cell>
          <cell r="C117">
            <v>39387</v>
          </cell>
          <cell r="D117">
            <v>39478</v>
          </cell>
          <cell r="E117" t="str">
            <v>A</v>
          </cell>
        </row>
        <row r="118">
          <cell r="B118" t="str">
            <v>2008-Q2</v>
          </cell>
          <cell r="C118">
            <v>39479</v>
          </cell>
          <cell r="D118">
            <v>39568</v>
          </cell>
          <cell r="E118" t="str">
            <v>A</v>
          </cell>
        </row>
        <row r="119">
          <cell r="B119" t="str">
            <v>2008-Q3</v>
          </cell>
          <cell r="C119">
            <v>39569</v>
          </cell>
          <cell r="D119">
            <v>39660</v>
          </cell>
          <cell r="E119" t="str">
            <v>A</v>
          </cell>
        </row>
        <row r="120">
          <cell r="B120" t="str">
            <v>2008-Q4</v>
          </cell>
          <cell r="C120">
            <v>39661</v>
          </cell>
          <cell r="D120">
            <v>39752</v>
          </cell>
          <cell r="E120" t="str">
            <v>A</v>
          </cell>
        </row>
        <row r="121">
          <cell r="B121" t="str">
            <v>2008-FY</v>
          </cell>
          <cell r="C121">
            <v>39387</v>
          </cell>
          <cell r="D121">
            <v>39752</v>
          </cell>
          <cell r="E121" t="str">
            <v>A</v>
          </cell>
        </row>
        <row r="122">
          <cell r="B122" t="str">
            <v>2009-Q1</v>
          </cell>
          <cell r="C122">
            <v>39753</v>
          </cell>
          <cell r="D122">
            <v>39844</v>
          </cell>
          <cell r="E122" t="str">
            <v>A</v>
          </cell>
        </row>
        <row r="123">
          <cell r="B123" t="str">
            <v>2009-Q2</v>
          </cell>
          <cell r="C123">
            <v>39845</v>
          </cell>
          <cell r="D123">
            <v>39933</v>
          </cell>
          <cell r="E123" t="str">
            <v>A</v>
          </cell>
        </row>
        <row r="124">
          <cell r="B124" t="str">
            <v>2009-Q3</v>
          </cell>
          <cell r="C124">
            <v>39934</v>
          </cell>
          <cell r="D124">
            <v>40025</v>
          </cell>
          <cell r="E124" t="str">
            <v>A</v>
          </cell>
        </row>
        <row r="125">
          <cell r="B125" t="str">
            <v>2009-Q4</v>
          </cell>
          <cell r="C125">
            <v>40026</v>
          </cell>
          <cell r="D125">
            <v>40117</v>
          </cell>
          <cell r="E125" t="str">
            <v>A</v>
          </cell>
        </row>
        <row r="126">
          <cell r="B126" t="str">
            <v>2009-FY</v>
          </cell>
          <cell r="C126">
            <v>39753</v>
          </cell>
          <cell r="D126">
            <v>40117</v>
          </cell>
          <cell r="E126" t="str">
            <v>A</v>
          </cell>
        </row>
        <row r="127">
          <cell r="B127" t="str">
            <v>2010-Q1</v>
          </cell>
          <cell r="C127">
            <v>40118</v>
          </cell>
          <cell r="D127">
            <v>40209</v>
          </cell>
          <cell r="E127" t="str">
            <v>A</v>
          </cell>
        </row>
        <row r="128">
          <cell r="B128" t="str">
            <v>2010-Q2</v>
          </cell>
          <cell r="C128">
            <v>40210</v>
          </cell>
          <cell r="D128">
            <v>40298</v>
          </cell>
          <cell r="E128" t="str">
            <v>A</v>
          </cell>
        </row>
        <row r="129">
          <cell r="B129" t="str">
            <v>2010-Q3</v>
          </cell>
          <cell r="C129">
            <v>40299</v>
          </cell>
          <cell r="D129">
            <v>40390</v>
          </cell>
          <cell r="E129" t="str">
            <v>A</v>
          </cell>
        </row>
        <row r="130">
          <cell r="B130" t="str">
            <v>2010-Q4</v>
          </cell>
          <cell r="C130">
            <v>40391</v>
          </cell>
          <cell r="D130">
            <v>40482</v>
          </cell>
          <cell r="E130" t="str">
            <v>A</v>
          </cell>
        </row>
        <row r="131">
          <cell r="B131" t="str">
            <v>2010-FY</v>
          </cell>
          <cell r="C131">
            <v>40118</v>
          </cell>
          <cell r="D131">
            <v>40482</v>
          </cell>
          <cell r="E131" t="str">
            <v>A</v>
          </cell>
        </row>
        <row r="132">
          <cell r="B132" t="str">
            <v>2011-Q1</v>
          </cell>
          <cell r="C132">
            <v>40483</v>
          </cell>
          <cell r="D132">
            <v>40574</v>
          </cell>
          <cell r="E132" t="str">
            <v>A</v>
          </cell>
        </row>
        <row r="133">
          <cell r="B133" t="str">
            <v>2011-Q2</v>
          </cell>
          <cell r="C133">
            <v>40575</v>
          </cell>
          <cell r="D133">
            <v>40663</v>
          </cell>
          <cell r="E133" t="str">
            <v>A</v>
          </cell>
        </row>
        <row r="134">
          <cell r="B134" t="str">
            <v>2011-Q3</v>
          </cell>
          <cell r="C134">
            <v>40664</v>
          </cell>
          <cell r="D134">
            <v>40755</v>
          </cell>
          <cell r="E134" t="str">
            <v>A</v>
          </cell>
        </row>
        <row r="135">
          <cell r="B135" t="str">
            <v>2011-Q4</v>
          </cell>
          <cell r="C135">
            <v>40756</v>
          </cell>
          <cell r="D135">
            <v>40847</v>
          </cell>
          <cell r="E135" t="str">
            <v>A</v>
          </cell>
        </row>
        <row r="136">
          <cell r="B136" t="str">
            <v>2011-FY</v>
          </cell>
          <cell r="C136">
            <v>40483</v>
          </cell>
          <cell r="D136">
            <v>40847</v>
          </cell>
          <cell r="E136" t="str">
            <v>A</v>
          </cell>
        </row>
        <row r="137">
          <cell r="B137" t="str">
            <v>2012-Q1</v>
          </cell>
          <cell r="C137">
            <v>40848</v>
          </cell>
          <cell r="D137">
            <v>40939</v>
          </cell>
          <cell r="E137" t="str">
            <v>A</v>
          </cell>
        </row>
        <row r="138">
          <cell r="B138" t="str">
            <v>2012-Q2</v>
          </cell>
          <cell r="C138">
            <v>40940</v>
          </cell>
          <cell r="D138">
            <v>41029</v>
          </cell>
          <cell r="E138" t="str">
            <v>A</v>
          </cell>
        </row>
        <row r="139">
          <cell r="B139" t="str">
            <v>2012-Q3</v>
          </cell>
          <cell r="C139">
            <v>41030</v>
          </cell>
          <cell r="D139">
            <v>41121</v>
          </cell>
          <cell r="E139" t="str">
            <v>A</v>
          </cell>
        </row>
        <row r="140">
          <cell r="B140" t="str">
            <v>2012-Q4</v>
          </cell>
          <cell r="C140">
            <v>41122</v>
          </cell>
          <cell r="D140">
            <v>41213</v>
          </cell>
          <cell r="E140" t="str">
            <v>A</v>
          </cell>
        </row>
        <row r="141">
          <cell r="B141" t="str">
            <v>2012-FY</v>
          </cell>
          <cell r="C141">
            <v>40848</v>
          </cell>
          <cell r="D141">
            <v>41213</v>
          </cell>
          <cell r="E141" t="str">
            <v>A</v>
          </cell>
        </row>
        <row r="142">
          <cell r="B142" t="str">
            <v>2013-Q1</v>
          </cell>
          <cell r="C142">
            <v>41214</v>
          </cell>
          <cell r="D142">
            <v>41305</v>
          </cell>
          <cell r="E142" t="str">
            <v>A</v>
          </cell>
        </row>
        <row r="143">
          <cell r="B143" t="str">
            <v>2013-Q2</v>
          </cell>
          <cell r="C143">
            <v>41306</v>
          </cell>
          <cell r="D143">
            <v>41394</v>
          </cell>
          <cell r="E143" t="str">
            <v>A</v>
          </cell>
        </row>
        <row r="144">
          <cell r="B144" t="str">
            <v>2013-Q3</v>
          </cell>
          <cell r="C144">
            <v>41395</v>
          </cell>
          <cell r="D144">
            <v>41486</v>
          </cell>
          <cell r="E144" t="str">
            <v>A</v>
          </cell>
        </row>
        <row r="145">
          <cell r="B145" t="str">
            <v>2013-Q4</v>
          </cell>
          <cell r="C145">
            <v>41487</v>
          </cell>
          <cell r="D145">
            <v>41578</v>
          </cell>
          <cell r="E145" t="str">
            <v>A</v>
          </cell>
        </row>
        <row r="146">
          <cell r="B146" t="str">
            <v>2013-FY</v>
          </cell>
          <cell r="C146">
            <v>41214</v>
          </cell>
          <cell r="D146">
            <v>41578</v>
          </cell>
          <cell r="E146" t="str">
            <v>A</v>
          </cell>
        </row>
        <row r="147">
          <cell r="B147" t="str">
            <v>2014-Q1</v>
          </cell>
          <cell r="C147">
            <v>41579</v>
          </cell>
          <cell r="D147">
            <v>41670</v>
          </cell>
          <cell r="E147" t="str">
            <v>A</v>
          </cell>
        </row>
        <row r="148">
          <cell r="B148" t="str">
            <v>2014-Q2</v>
          </cell>
          <cell r="C148">
            <v>41671</v>
          </cell>
          <cell r="D148">
            <v>41759</v>
          </cell>
          <cell r="E148" t="str">
            <v>A</v>
          </cell>
        </row>
        <row r="149">
          <cell r="B149" t="str">
            <v>2014-Q3</v>
          </cell>
          <cell r="C149">
            <v>41760</v>
          </cell>
          <cell r="D149">
            <v>41851</v>
          </cell>
          <cell r="E149" t="str">
            <v>A</v>
          </cell>
        </row>
        <row r="150">
          <cell r="B150" t="str">
            <v>2014-Q4</v>
          </cell>
          <cell r="C150">
            <v>41852</v>
          </cell>
          <cell r="D150">
            <v>41943</v>
          </cell>
          <cell r="E150" t="str">
            <v>A</v>
          </cell>
        </row>
        <row r="151">
          <cell r="B151" t="str">
            <v>2014-FY</v>
          </cell>
          <cell r="C151">
            <v>41579</v>
          </cell>
          <cell r="D151">
            <v>41943</v>
          </cell>
          <cell r="E151" t="str">
            <v>E</v>
          </cell>
        </row>
        <row r="152">
          <cell r="B152" t="str">
            <v>2015-Q1</v>
          </cell>
          <cell r="C152">
            <v>41944</v>
          </cell>
          <cell r="D152">
            <v>42035</v>
          </cell>
          <cell r="E152" t="str">
            <v>E</v>
          </cell>
        </row>
        <row r="153">
          <cell r="B153" t="str">
            <v>2015-Q2</v>
          </cell>
          <cell r="C153">
            <v>42036</v>
          </cell>
          <cell r="D153">
            <v>42124</v>
          </cell>
          <cell r="E153" t="str">
            <v>E</v>
          </cell>
        </row>
        <row r="154">
          <cell r="B154" t="str">
            <v>2015-Q3</v>
          </cell>
          <cell r="C154">
            <v>42125</v>
          </cell>
          <cell r="D154">
            <v>42216</v>
          </cell>
          <cell r="E154" t="str">
            <v>E</v>
          </cell>
        </row>
        <row r="155">
          <cell r="B155" t="str">
            <v>2015-Q4</v>
          </cell>
          <cell r="C155">
            <v>42217</v>
          </cell>
          <cell r="D155">
            <v>42308</v>
          </cell>
          <cell r="E155" t="str">
            <v>E</v>
          </cell>
        </row>
        <row r="156">
          <cell r="B156" t="str">
            <v>2015-FY</v>
          </cell>
          <cell r="C156">
            <v>41944</v>
          </cell>
          <cell r="D156">
            <v>42308</v>
          </cell>
          <cell r="E156" t="str">
            <v>E</v>
          </cell>
        </row>
        <row r="157">
          <cell r="B157" t="str">
            <v>2016-Q1</v>
          </cell>
          <cell r="C157">
            <v>42309</v>
          </cell>
          <cell r="D157">
            <v>42400</v>
          </cell>
          <cell r="E157" t="str">
            <v>E</v>
          </cell>
        </row>
        <row r="158">
          <cell r="B158" t="str">
            <v>2016-Q2</v>
          </cell>
          <cell r="C158">
            <v>42401</v>
          </cell>
          <cell r="D158">
            <v>42490</v>
          </cell>
          <cell r="E158" t="str">
            <v>E</v>
          </cell>
        </row>
        <row r="159">
          <cell r="B159" t="str">
            <v>2016-Q3</v>
          </cell>
          <cell r="C159">
            <v>42491</v>
          </cell>
          <cell r="D159">
            <v>42582</v>
          </cell>
          <cell r="E159" t="str">
            <v>E</v>
          </cell>
        </row>
        <row r="160">
          <cell r="B160" t="str">
            <v>2016-Q4</v>
          </cell>
          <cell r="C160">
            <v>42583</v>
          </cell>
          <cell r="D160">
            <v>42674</v>
          </cell>
          <cell r="E160" t="str">
            <v>E</v>
          </cell>
        </row>
        <row r="161">
          <cell r="B161" t="str">
            <v>2016-FY</v>
          </cell>
          <cell r="C161">
            <v>42309</v>
          </cell>
          <cell r="D161">
            <v>42674</v>
          </cell>
          <cell r="E161" t="str">
            <v>E</v>
          </cell>
        </row>
        <row r="162">
          <cell r="B162" t="str">
            <v>2017-Q1</v>
          </cell>
          <cell r="C162">
            <v>42675</v>
          </cell>
          <cell r="D162">
            <v>42766</v>
          </cell>
          <cell r="E162" t="str">
            <v>E</v>
          </cell>
        </row>
        <row r="163">
          <cell r="B163" t="str">
            <v>2017-Q2</v>
          </cell>
          <cell r="C163">
            <v>42767</v>
          </cell>
          <cell r="D163">
            <v>42855</v>
          </cell>
          <cell r="E163" t="str">
            <v>E</v>
          </cell>
        </row>
        <row r="164">
          <cell r="B164" t="str">
            <v>2017-Q3</v>
          </cell>
          <cell r="C164">
            <v>42856</v>
          </cell>
          <cell r="D164">
            <v>42947</v>
          </cell>
          <cell r="E164" t="str">
            <v>E</v>
          </cell>
        </row>
        <row r="165">
          <cell r="B165" t="str">
            <v>2017-Q4</v>
          </cell>
          <cell r="C165">
            <v>42948</v>
          </cell>
          <cell r="D165">
            <v>43039</v>
          </cell>
          <cell r="E165" t="str">
            <v>E</v>
          </cell>
        </row>
        <row r="166">
          <cell r="B166" t="str">
            <v>2017-FY</v>
          </cell>
          <cell r="C166">
            <v>42675</v>
          </cell>
          <cell r="D166">
            <v>43039</v>
          </cell>
          <cell r="E166" t="str">
            <v>E</v>
          </cell>
        </row>
        <row r="167">
          <cell r="B167" t="str">
            <v>2018-Q1</v>
          </cell>
          <cell r="C167">
            <v>43040</v>
          </cell>
          <cell r="D167">
            <v>43131</v>
          </cell>
          <cell r="E167" t="str">
            <v>E</v>
          </cell>
        </row>
        <row r="168">
          <cell r="B168" t="str">
            <v>2018-Q2</v>
          </cell>
          <cell r="C168">
            <v>43132</v>
          </cell>
          <cell r="D168">
            <v>43220</v>
          </cell>
          <cell r="E168" t="str">
            <v>E</v>
          </cell>
        </row>
        <row r="169">
          <cell r="B169" t="str">
            <v>2018-Q3</v>
          </cell>
          <cell r="C169">
            <v>43221</v>
          </cell>
          <cell r="D169">
            <v>43312</v>
          </cell>
          <cell r="E169" t="str">
            <v>E</v>
          </cell>
        </row>
        <row r="170">
          <cell r="B170" t="str">
            <v>2018-Q4</v>
          </cell>
          <cell r="C170">
            <v>43313</v>
          </cell>
          <cell r="D170">
            <v>43404</v>
          </cell>
          <cell r="E170" t="str">
            <v>E</v>
          </cell>
        </row>
        <row r="171">
          <cell r="B171" t="str">
            <v>2018-FY</v>
          </cell>
          <cell r="C171">
            <v>43040</v>
          </cell>
          <cell r="D171">
            <v>43404</v>
          </cell>
          <cell r="E171" t="str">
            <v>E</v>
          </cell>
        </row>
        <row r="172">
          <cell r="B172" t="str">
            <v>2019-Q1</v>
          </cell>
          <cell r="C172">
            <v>43405</v>
          </cell>
          <cell r="D172">
            <v>43496</v>
          </cell>
          <cell r="E172" t="str">
            <v>E</v>
          </cell>
        </row>
        <row r="173">
          <cell r="B173" t="str">
            <v>2019-Q2</v>
          </cell>
          <cell r="C173">
            <v>43497</v>
          </cell>
          <cell r="D173">
            <v>43585</v>
          </cell>
          <cell r="E173" t="str">
            <v>E</v>
          </cell>
        </row>
        <row r="174">
          <cell r="B174" t="str">
            <v>2019-Q3</v>
          </cell>
          <cell r="C174">
            <v>43586</v>
          </cell>
          <cell r="D174">
            <v>43677</v>
          </cell>
          <cell r="E174" t="str">
            <v>E</v>
          </cell>
        </row>
        <row r="175">
          <cell r="B175" t="str">
            <v>2019-Q4</v>
          </cell>
          <cell r="C175">
            <v>43678</v>
          </cell>
          <cell r="D175">
            <v>43769</v>
          </cell>
          <cell r="E175" t="str">
            <v>E</v>
          </cell>
        </row>
        <row r="176">
          <cell r="B176" t="str">
            <v>2019-FY</v>
          </cell>
          <cell r="C176">
            <v>43405</v>
          </cell>
          <cell r="D176">
            <v>43769</v>
          </cell>
          <cell r="E176" t="str">
            <v>E</v>
          </cell>
        </row>
        <row r="177">
          <cell r="B177" t="str">
            <v>2020-Q1</v>
          </cell>
          <cell r="C177">
            <v>43770</v>
          </cell>
          <cell r="D177">
            <v>43861</v>
          </cell>
          <cell r="E177" t="str">
            <v>E</v>
          </cell>
        </row>
        <row r="178">
          <cell r="B178" t="str">
            <v>2020-Q2</v>
          </cell>
          <cell r="C178">
            <v>43862</v>
          </cell>
          <cell r="D178">
            <v>43951</v>
          </cell>
          <cell r="E178" t="str">
            <v>E</v>
          </cell>
        </row>
        <row r="179">
          <cell r="B179" t="str">
            <v>2020-Q3</v>
          </cell>
          <cell r="C179">
            <v>43952</v>
          </cell>
          <cell r="D179">
            <v>44043</v>
          </cell>
          <cell r="E179" t="str">
            <v>E</v>
          </cell>
        </row>
        <row r="180">
          <cell r="B180" t="str">
            <v>2020-Q4</v>
          </cell>
          <cell r="C180">
            <v>44044</v>
          </cell>
          <cell r="D180">
            <v>44135</v>
          </cell>
          <cell r="E180" t="str">
            <v>E</v>
          </cell>
        </row>
        <row r="181">
          <cell r="B181" t="str">
            <v>2020-FY</v>
          </cell>
          <cell r="C181">
            <v>43770</v>
          </cell>
          <cell r="D181">
            <v>44135</v>
          </cell>
          <cell r="E181" t="str">
            <v>E</v>
          </cell>
        </row>
      </sheetData>
      <sheetData sheetId="17"/>
      <sheetData sheetId="18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IS"/>
      <sheetName val="MW-Cache"/>
      <sheetName val="BS"/>
      <sheetName val="CFS"/>
      <sheetName val="BU Segment"/>
      <sheetName val="Exhibits"/>
      <sheetName val="Buybacks"/>
      <sheetName val="Snapshot"/>
      <sheetName val="Casco"/>
      <sheetName val="FCI"/>
      <sheetName val="MS vs. Cons."/>
      <sheetName val="Bull_Base_Bear"/>
      <sheetName val="M&amp;A History"/>
      <sheetName val="By Segm"/>
      <sheetName val="QoQ Comp"/>
      <sheetName val="Sheet1"/>
      <sheetName val="DCF"/>
      <sheetName val="mwareDates"/>
      <sheetName val="MacroForPub"/>
      <sheetName val="Earnings Exhibits"/>
      <sheetName val="MWA RR"/>
      <sheetName val="mwareSettings"/>
      <sheetName val="#REF"/>
    </sheetNames>
    <sheetDataSet>
      <sheetData sheetId="0"/>
      <sheetData sheetId="1"/>
      <sheetData sheetId="2"/>
      <sheetData sheetId="3">
        <row r="39">
          <cell r="B39" t="str">
            <v>Check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B2" t="str">
            <v>2003-Q1</v>
          </cell>
        </row>
      </sheetData>
      <sheetData sheetId="19"/>
      <sheetData sheetId="20">
        <row r="3">
          <cell r="D3" t="str">
            <v>C3Q04A</v>
          </cell>
          <cell r="E3" t="str">
            <v>C4Q04A</v>
          </cell>
          <cell r="F3" t="str">
            <v>C1Q05A</v>
          </cell>
          <cell r="G3" t="str">
            <v>C2Q05A</v>
          </cell>
          <cell r="H3" t="str">
            <v>C3Q05A</v>
          </cell>
          <cell r="I3" t="str">
            <v>C4Q05A</v>
          </cell>
          <cell r="J3" t="str">
            <v>C1Q06A</v>
          </cell>
          <cell r="K3" t="str">
            <v>C2Q06A</v>
          </cell>
          <cell r="L3" t="str">
            <v>C3Q06A</v>
          </cell>
          <cell r="M3" t="str">
            <v>C4Q06A</v>
          </cell>
          <cell r="N3" t="str">
            <v>C1Q07A</v>
          </cell>
          <cell r="O3" t="str">
            <v>C2Q07A</v>
          </cell>
          <cell r="P3" t="str">
            <v>C3Q07A</v>
          </cell>
          <cell r="Q3" t="str">
            <v>C4Q07A</v>
          </cell>
          <cell r="R3" t="str">
            <v>C1Q08A</v>
          </cell>
          <cell r="S3" t="str">
            <v>C2Q08A</v>
          </cell>
          <cell r="T3" t="str">
            <v>C3Q08A</v>
          </cell>
          <cell r="U3" t="str">
            <v>C4Q08A</v>
          </cell>
          <cell r="V3" t="str">
            <v>C1Q09A</v>
          </cell>
          <cell r="W3" t="str">
            <v>C2Q09A</v>
          </cell>
          <cell r="X3" t="str">
            <v>C3Q09A</v>
          </cell>
          <cell r="Y3" t="str">
            <v>C4Q09A</v>
          </cell>
          <cell r="Z3" t="str">
            <v>C1Q10A</v>
          </cell>
          <cell r="AA3" t="str">
            <v>C2Q10A</v>
          </cell>
          <cell r="AB3" t="str">
            <v>C3Q10A</v>
          </cell>
          <cell r="AC3" t="str">
            <v>C4Q10A</v>
          </cell>
          <cell r="AD3" t="str">
            <v>C1Q11A</v>
          </cell>
          <cell r="AE3" t="str">
            <v>C2Q11A</v>
          </cell>
          <cell r="AF3" t="str">
            <v>C3Q11A</v>
          </cell>
          <cell r="AG3" t="str">
            <v>C4Q11A</v>
          </cell>
          <cell r="AH3" t="str">
            <v>C1Q12A</v>
          </cell>
          <cell r="AI3" t="str">
            <v>C2Q12A</v>
          </cell>
          <cell r="AJ3" t="str">
            <v>C3Q12A</v>
          </cell>
          <cell r="AK3" t="str">
            <v>C4Q12A</v>
          </cell>
          <cell r="AL3" t="str">
            <v>C1Q13A</v>
          </cell>
          <cell r="AM3" t="str">
            <v>C2Q13A</v>
          </cell>
          <cell r="AN3" t="str">
            <v>C3Q13</v>
          </cell>
          <cell r="AO3" t="str">
            <v>C4Q13</v>
          </cell>
          <cell r="AP3" t="str">
            <v>C1Q14E</v>
          </cell>
          <cell r="AQ3" t="str">
            <v>C2Q14A</v>
          </cell>
          <cell r="AR3" t="str">
            <v>C3Q14A</v>
          </cell>
          <cell r="AS3" t="str">
            <v>C4Q14E</v>
          </cell>
        </row>
        <row r="5">
          <cell r="B5" t="str">
            <v>YoY</v>
          </cell>
          <cell r="C5" t="str">
            <v>-</v>
          </cell>
          <cell r="D5" t="str">
            <v>-</v>
          </cell>
          <cell r="E5" t="str">
            <v>-</v>
          </cell>
          <cell r="F5" t="str">
            <v>-</v>
          </cell>
          <cell r="G5" t="str">
            <v>-</v>
          </cell>
          <cell r="H5">
            <v>0.16373733087218789</v>
          </cell>
          <cell r="I5">
            <v>0.25782559293796781</v>
          </cell>
          <cell r="J5">
            <v>0.38983377911308148</v>
          </cell>
          <cell r="K5">
            <v>0.36731418576239383</v>
          </cell>
          <cell r="L5">
            <v>0.42376984082596003</v>
          </cell>
          <cell r="M5">
            <v>0.29778298219891131</v>
          </cell>
          <cell r="N5">
            <v>0.14427820475192044</v>
          </cell>
          <cell r="O5">
            <v>0.13557248787500131</v>
          </cell>
          <cell r="P5">
            <v>0.15309592123415738</v>
          </cell>
          <cell r="Q5">
            <v>0.1787122984791254</v>
          </cell>
          <cell r="R5">
            <v>0.18373973250763354</v>
          </cell>
          <cell r="S5">
            <v>0.22934486583163483</v>
          </cell>
          <cell r="T5">
            <v>0.17688468095022025</v>
          </cell>
          <cell r="U5">
            <v>-2.828875422954702E-2</v>
          </cell>
          <cell r="V5">
            <v>-0.14363564175556709</v>
          </cell>
          <cell r="W5">
            <v>-0.19087122719548621</v>
          </cell>
          <cell r="X5">
            <v>-0.1703046807879971</v>
          </cell>
          <cell r="Y5">
            <v>3.9905624654106298E-3</v>
          </cell>
          <cell r="Z5">
            <v>0.16809088319606302</v>
          </cell>
          <cell r="AA5">
            <v>0.2913290444610499</v>
          </cell>
          <cell r="AB5">
            <v>0.32360973690049732</v>
          </cell>
          <cell r="AC5">
            <v>0.25265859242301114</v>
          </cell>
          <cell r="AD5">
            <v>0.22002739463054888</v>
          </cell>
          <cell r="AE5">
            <v>0.15024898338377812</v>
          </cell>
          <cell r="AF5">
            <v>8.8871152591086799E-2</v>
          </cell>
          <cell r="AG5">
            <v>-1.2390960599480971E-3</v>
          </cell>
          <cell r="AH5">
            <v>4.361009371827107E-2</v>
          </cell>
          <cell r="AI5">
            <v>4.2613128329687999E-2</v>
          </cell>
          <cell r="AJ5">
            <v>6.8382209122404891E-2</v>
          </cell>
          <cell r="AK5">
            <v>0.20793415051401354</v>
          </cell>
          <cell r="AL5">
            <v>0.10004136087464999</v>
          </cell>
          <cell r="AM5">
            <v>7.0643205633362127E-2</v>
          </cell>
          <cell r="AN5">
            <v>4.5030887023099986E-2</v>
          </cell>
          <cell r="AO5">
            <v>8.7049664129678295E-2</v>
          </cell>
          <cell r="AP5">
            <v>0.15398057982691316</v>
          </cell>
          <cell r="AQ5">
            <v>0.1567733241085254</v>
          </cell>
          <cell r="AR5">
            <v>0.17837722516222021</v>
          </cell>
          <cell r="AS5">
            <v>0.14510710544377425</v>
          </cell>
        </row>
        <row r="6">
          <cell r="B6" t="str">
            <v>QoQ</v>
          </cell>
          <cell r="C6" t="str">
            <v>-</v>
          </cell>
          <cell r="D6" t="str">
            <v>-</v>
          </cell>
          <cell r="E6">
            <v>5.1704881242791156E-2</v>
          </cell>
          <cell r="F6">
            <v>1.3446776066125432E-2</v>
          </cell>
          <cell r="G6">
            <v>8.3652707043319952E-2</v>
          </cell>
          <cell r="H6">
            <v>7.5578957808322134E-3</v>
          </cell>
          <cell r="I6">
            <v>0.13673531023836949</v>
          </cell>
          <cell r="J6">
            <v>0.11980752388730886</v>
          </cell>
          <cell r="K6">
            <v>6.6094191296523164E-2</v>
          </cell>
          <cell r="L6">
            <v>4.9159410350841926E-2</v>
          </cell>
          <cell r="M6">
            <v>3.6147626245643272E-2</v>
          </cell>
          <cell r="N6">
            <v>-1.264590407067967E-2</v>
          </cell>
          <cell r="O6">
            <v>5.7983301693790734E-2</v>
          </cell>
          <cell r="P6">
            <v>6.5349371984042559E-2</v>
          </cell>
          <cell r="Q6">
            <v>5.9165961482644525E-2</v>
          </cell>
          <cell r="R6">
            <v>-8.4346494783023029E-3</v>
          </cell>
          <cell r="S6">
            <v>9.8743502777943526E-2</v>
          </cell>
          <cell r="T6">
            <v>1.9887413691505929E-2</v>
          </cell>
          <cell r="U6">
            <v>-0.12548485627412698</v>
          </cell>
          <cell r="V6">
            <v>-0.12613831654931551</v>
          </cell>
          <cell r="W6">
            <v>3.8138700508475676E-2</v>
          </cell>
          <cell r="X6">
            <v>4.5811052213711845E-2</v>
          </cell>
          <cell r="Y6">
            <v>5.8225749504935642E-2</v>
          </cell>
          <cell r="Z6">
            <v>1.6692689925833282E-2</v>
          </cell>
          <cell r="AA6">
            <v>0.14766639773579238</v>
          </cell>
          <cell r="AB6">
            <v>7.195427656934128E-2</v>
          </cell>
          <cell r="AC6">
            <v>1.5003221000713385E-3</v>
          </cell>
          <cell r="AD6">
            <v>-9.7917013199477765E-3</v>
          </cell>
          <cell r="AE6">
            <v>8.202661109841225E-2</v>
          </cell>
          <cell r="AF6">
            <v>1.4754288431796603E-2</v>
          </cell>
          <cell r="AG6">
            <v>-8.1379495988395889E-2</v>
          </cell>
          <cell r="AH6">
            <v>3.4673435162942523E-2</v>
          </cell>
          <cell r="AI6">
            <v>8.0992946239012875E-2</v>
          </cell>
          <cell r="AJ6">
            <v>3.9834814019698239E-2</v>
          </cell>
          <cell r="AK6">
            <v>3.8610591493742241E-2</v>
          </cell>
          <cell r="AL6">
            <v>-5.7743691414668841E-2</v>
          </cell>
          <cell r="AM6">
            <v>5.2103852084404156E-2</v>
          </cell>
          <cell r="AN6">
            <v>1.4959505029192632E-2</v>
          </cell>
          <cell r="AO6">
            <v>8.0371220281303168E-2</v>
          </cell>
          <cell r="AP6">
            <v>2.7212850245050824E-4</v>
          </cell>
          <cell r="AQ6">
            <v>5.4650044860899083E-2</v>
          </cell>
          <cell r="AR6">
            <v>3.3914890897081884E-2</v>
          </cell>
          <cell r="AS6">
            <v>4.9868186896408595E-2</v>
          </cell>
        </row>
        <row r="10">
          <cell r="B10" t="str">
            <v>GM</v>
          </cell>
          <cell r="D10">
            <v>0.32269990080785621</v>
          </cell>
          <cell r="E10">
            <v>0.33560251805239572</v>
          </cell>
          <cell r="F10">
            <v>0.33013593229033072</v>
          </cell>
          <cell r="G10">
            <v>0.33477894338227671</v>
          </cell>
          <cell r="H10">
            <v>0.33224308996744922</v>
          </cell>
          <cell r="I10">
            <v>0.33115534869074931</v>
          </cell>
          <cell r="J10">
            <v>0.31602433078906345</v>
          </cell>
          <cell r="K10">
            <v>0.31767331906798235</v>
          </cell>
          <cell r="L10">
            <v>0.31698349198168496</v>
          </cell>
          <cell r="M10">
            <v>0.32442150182811308</v>
          </cell>
          <cell r="N10">
            <v>0.32341141849592364</v>
          </cell>
          <cell r="O10">
            <v>0.327543856592861</v>
          </cell>
          <cell r="P10">
            <v>0.32587269077782821</v>
          </cell>
          <cell r="Q10">
            <v>0.32782302160124549</v>
          </cell>
          <cell r="R10">
            <v>0.32555007434664485</v>
          </cell>
          <cell r="S10">
            <v>0.3266231074718623</v>
          </cell>
          <cell r="T10">
            <v>0.32565089421970267</v>
          </cell>
          <cell r="U10">
            <v>0.31829965496331147</v>
          </cell>
          <cell r="V10">
            <v>0.31268976927692221</v>
          </cell>
          <cell r="W10">
            <v>0.31254378385951803</v>
          </cell>
          <cell r="X10">
            <v>0.31314743926996969</v>
          </cell>
          <cell r="Y10">
            <v>0.31865129184381852</v>
          </cell>
          <cell r="Z10">
            <v>0.32322551021202306</v>
          </cell>
          <cell r="AA10">
            <v>0.32696615498678794</v>
          </cell>
          <cell r="AB10">
            <v>0.32654621213479068</v>
          </cell>
          <cell r="AC10">
            <v>0.3263760072261303</v>
          </cell>
          <cell r="AD10">
            <v>0.32333494580500433</v>
          </cell>
          <cell r="AE10">
            <v>0.3156234708736434</v>
          </cell>
          <cell r="AF10">
            <v>0.3132178621433564</v>
          </cell>
          <cell r="AG10">
            <v>0.31077706651881659</v>
          </cell>
          <cell r="AH10">
            <v>0.315066972017229</v>
          </cell>
          <cell r="AI10">
            <v>0.31491734575306729</v>
          </cell>
          <cell r="AJ10">
            <v>0.31206859674308662</v>
          </cell>
          <cell r="AK10">
            <v>0.31017262111489002</v>
          </cell>
          <cell r="AL10">
            <v>0.31291946231032458</v>
          </cell>
          <cell r="AM10">
            <v>0.31669611035264644</v>
          </cell>
          <cell r="AN10">
            <v>0.31554938069245181</v>
          </cell>
          <cell r="AO10">
            <v>0.31251108783168158</v>
          </cell>
          <cell r="AP10">
            <v>0.3120649335432728</v>
          </cell>
          <cell r="AQ10">
            <v>0.31713276496531662</v>
          </cell>
          <cell r="AR10">
            <v>0.31768724305276497</v>
          </cell>
          <cell r="AS10">
            <v>0.32015422362425522</v>
          </cell>
        </row>
        <row r="13">
          <cell r="B13" t="str">
            <v>OM</v>
          </cell>
          <cell r="D13">
            <v>0.18303163474380568</v>
          </cell>
          <cell r="E13">
            <v>0.18814594405923282</v>
          </cell>
          <cell r="F13">
            <v>0.18889580967036712</v>
          </cell>
          <cell r="G13">
            <v>0.19395368337533414</v>
          </cell>
          <cell r="H13">
            <v>0.19259499546974793</v>
          </cell>
          <cell r="I13">
            <v>0.18471999448943663</v>
          </cell>
          <cell r="J13">
            <v>0.17292189155891743</v>
          </cell>
          <cell r="K13">
            <v>0.17805861542570192</v>
          </cell>
          <cell r="L13">
            <v>0.17960522801052134</v>
          </cell>
          <cell r="M13">
            <v>0.18900462980514754</v>
          </cell>
          <cell r="N13">
            <v>0.18829674819224546</v>
          </cell>
          <cell r="O13">
            <v>0.19367890179955752</v>
          </cell>
          <cell r="P13">
            <v>0.19533938088249522</v>
          </cell>
          <cell r="Q13">
            <v>0.19748349994210523</v>
          </cell>
          <cell r="R13">
            <v>0.19500878406257061</v>
          </cell>
          <cell r="S13">
            <v>0.19865330998314867</v>
          </cell>
          <cell r="T13">
            <v>0.19836555673657857</v>
          </cell>
          <cell r="U13">
            <v>0.18853885038965559</v>
          </cell>
          <cell r="V13">
            <v>0.16770149633643019</v>
          </cell>
          <cell r="W13">
            <v>0.16853575098075843</v>
          </cell>
          <cell r="X13">
            <v>0.17345057656372762</v>
          </cell>
          <cell r="Y13">
            <v>0.18259360460822716</v>
          </cell>
          <cell r="Z13">
            <v>0.18813573831901775</v>
          </cell>
          <cell r="AA13">
            <v>0.19849163311851967</v>
          </cell>
          <cell r="AB13">
            <v>0.19941104713626151</v>
          </cell>
          <cell r="AC13">
            <v>0.20060723076242831</v>
          </cell>
          <cell r="AD13">
            <v>0.19783964235023951</v>
          </cell>
          <cell r="AE13">
            <v>0.19362645395966357</v>
          </cell>
          <cell r="AF13">
            <v>0.19258216380667603</v>
          </cell>
          <cell r="AG13">
            <v>0.18478585108816295</v>
          </cell>
          <cell r="AH13">
            <v>0.18875126833223993</v>
          </cell>
          <cell r="AI13">
            <v>0.19430274232476077</v>
          </cell>
          <cell r="AJ13">
            <v>0.19546374037499453</v>
          </cell>
          <cell r="AK13">
            <v>0.19478558925214917</v>
          </cell>
          <cell r="AL13">
            <v>0.19166145739277002</v>
          </cell>
          <cell r="AM13">
            <v>0.19718291262751228</v>
          </cell>
          <cell r="AN13">
            <v>0.19688446935203818</v>
          </cell>
          <cell r="AO13">
            <v>0.19651531023853369</v>
          </cell>
          <cell r="AP13">
            <v>0.18791420092225672</v>
          </cell>
          <cell r="AQ13">
            <v>0.19465488535747227</v>
          </cell>
          <cell r="AR13">
            <v>0.19898406025573651</v>
          </cell>
          <cell r="AS13">
            <v>0.20224325271643886</v>
          </cell>
        </row>
      </sheetData>
      <sheetData sheetId="21"/>
      <sheetData sheetId="22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quityTemplate"/>
      <sheetName val="EquityTemplate_BK"/>
      <sheetName val="EconTemplate"/>
      <sheetName val="RowName"/>
      <sheetName val="AbsMandatory"/>
      <sheetName val="RowName_BK"/>
      <sheetName val="EqDDic_BK"/>
      <sheetName val="EqDDic"/>
      <sheetName val="EconDDic"/>
      <sheetName val="SectorRange"/>
      <sheetName val="Upg3Dialog"/>
      <sheetName val="ReplaceNameDlg"/>
      <sheetName val="ReplaceFormulaDlg"/>
      <sheetName val="NewItemDlg"/>
      <sheetName val="UpdateDlg"/>
      <sheetName val="UpgdDlg"/>
      <sheetName val="ErrorListDlg"/>
      <sheetName val="UtilMod"/>
      <sheetName val="InsItemMod"/>
      <sheetName val="GlobalMod"/>
      <sheetName val="ValidateMod"/>
      <sheetName val="MaintenanceMod"/>
      <sheetName val="DDIC"/>
      <sheetName val="#REF"/>
      <sheetName val="EV to Ebitda"/>
      <sheetName val="P to OCF(form)"/>
      <sheetName val="P"/>
    </sheetNames>
    <definedNames>
      <definedName name="validate_Equity_Dat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1"/>
  <sheetViews>
    <sheetView showGridLines="0" tabSelected="1" workbookViewId="0">
      <selection activeCell="Z1" sqref="Z1"/>
    </sheetView>
  </sheetViews>
  <sheetFormatPr defaultRowHeight="12.75"/>
  <cols>
    <col min="1" max="1" width="25.7109375" style="839" customWidth="1"/>
    <col min="2" max="5" width="9.140625" style="839"/>
    <col min="6" max="6" width="18.7109375" style="839" customWidth="1"/>
    <col min="7" max="256" width="9.140625" style="839"/>
    <col min="257" max="257" width="100.7109375" style="839" customWidth="1"/>
    <col min="258" max="512" width="9.140625" style="839"/>
    <col min="513" max="513" width="100.7109375" style="839" customWidth="1"/>
    <col min="514" max="768" width="9.140625" style="839"/>
    <col min="769" max="769" width="100.7109375" style="839" customWidth="1"/>
    <col min="770" max="1024" width="9.140625" style="839"/>
    <col min="1025" max="1025" width="100.7109375" style="839" customWidth="1"/>
    <col min="1026" max="1280" width="9.140625" style="839"/>
    <col min="1281" max="1281" width="100.7109375" style="839" customWidth="1"/>
    <col min="1282" max="1536" width="9.140625" style="839"/>
    <col min="1537" max="1537" width="100.7109375" style="839" customWidth="1"/>
    <col min="1538" max="1792" width="9.140625" style="839"/>
    <col min="1793" max="1793" width="100.7109375" style="839" customWidth="1"/>
    <col min="1794" max="2048" width="9.140625" style="839"/>
    <col min="2049" max="2049" width="100.7109375" style="839" customWidth="1"/>
    <col min="2050" max="2304" width="9.140625" style="839"/>
    <col min="2305" max="2305" width="100.7109375" style="839" customWidth="1"/>
    <col min="2306" max="2560" width="9.140625" style="839"/>
    <col min="2561" max="2561" width="100.7109375" style="839" customWidth="1"/>
    <col min="2562" max="2816" width="9.140625" style="839"/>
    <col min="2817" max="2817" width="100.7109375" style="839" customWidth="1"/>
    <col min="2818" max="3072" width="9.140625" style="839"/>
    <col min="3073" max="3073" width="100.7109375" style="839" customWidth="1"/>
    <col min="3074" max="3328" width="9.140625" style="839"/>
    <col min="3329" max="3329" width="100.7109375" style="839" customWidth="1"/>
    <col min="3330" max="3584" width="9.140625" style="839"/>
    <col min="3585" max="3585" width="100.7109375" style="839" customWidth="1"/>
    <col min="3586" max="3840" width="9.140625" style="839"/>
    <col min="3841" max="3841" width="100.7109375" style="839" customWidth="1"/>
    <col min="3842" max="4096" width="9.140625" style="839"/>
    <col min="4097" max="4097" width="100.7109375" style="839" customWidth="1"/>
    <col min="4098" max="4352" width="9.140625" style="839"/>
    <col min="4353" max="4353" width="100.7109375" style="839" customWidth="1"/>
    <col min="4354" max="4608" width="9.140625" style="839"/>
    <col min="4609" max="4609" width="100.7109375" style="839" customWidth="1"/>
    <col min="4610" max="4864" width="9.140625" style="839"/>
    <col min="4865" max="4865" width="100.7109375" style="839" customWidth="1"/>
    <col min="4866" max="5120" width="9.140625" style="839"/>
    <col min="5121" max="5121" width="100.7109375" style="839" customWidth="1"/>
    <col min="5122" max="5376" width="9.140625" style="839"/>
    <col min="5377" max="5377" width="100.7109375" style="839" customWidth="1"/>
    <col min="5378" max="5632" width="9.140625" style="839"/>
    <col min="5633" max="5633" width="100.7109375" style="839" customWidth="1"/>
    <col min="5634" max="5888" width="9.140625" style="839"/>
    <col min="5889" max="5889" width="100.7109375" style="839" customWidth="1"/>
    <col min="5890" max="6144" width="9.140625" style="839"/>
    <col min="6145" max="6145" width="100.7109375" style="839" customWidth="1"/>
    <col min="6146" max="6400" width="9.140625" style="839"/>
    <col min="6401" max="6401" width="100.7109375" style="839" customWidth="1"/>
    <col min="6402" max="6656" width="9.140625" style="839"/>
    <col min="6657" max="6657" width="100.7109375" style="839" customWidth="1"/>
    <col min="6658" max="6912" width="9.140625" style="839"/>
    <col min="6913" max="6913" width="100.7109375" style="839" customWidth="1"/>
    <col min="6914" max="7168" width="9.140625" style="839"/>
    <col min="7169" max="7169" width="100.7109375" style="839" customWidth="1"/>
    <col min="7170" max="7424" width="9.140625" style="839"/>
    <col min="7425" max="7425" width="100.7109375" style="839" customWidth="1"/>
    <col min="7426" max="7680" width="9.140625" style="839"/>
    <col min="7681" max="7681" width="100.7109375" style="839" customWidth="1"/>
    <col min="7682" max="7936" width="9.140625" style="839"/>
    <col min="7937" max="7937" width="100.7109375" style="839" customWidth="1"/>
    <col min="7938" max="8192" width="9.140625" style="839"/>
    <col min="8193" max="8193" width="100.7109375" style="839" customWidth="1"/>
    <col min="8194" max="8448" width="9.140625" style="839"/>
    <col min="8449" max="8449" width="100.7109375" style="839" customWidth="1"/>
    <col min="8450" max="8704" width="9.140625" style="839"/>
    <col min="8705" max="8705" width="100.7109375" style="839" customWidth="1"/>
    <col min="8706" max="8960" width="9.140625" style="839"/>
    <col min="8961" max="8961" width="100.7109375" style="839" customWidth="1"/>
    <col min="8962" max="9216" width="9.140625" style="839"/>
    <col min="9217" max="9217" width="100.7109375" style="839" customWidth="1"/>
    <col min="9218" max="9472" width="9.140625" style="839"/>
    <col min="9473" max="9473" width="100.7109375" style="839" customWidth="1"/>
    <col min="9474" max="9728" width="9.140625" style="839"/>
    <col min="9729" max="9729" width="100.7109375" style="839" customWidth="1"/>
    <col min="9730" max="9984" width="9.140625" style="839"/>
    <col min="9985" max="9985" width="100.7109375" style="839" customWidth="1"/>
    <col min="9986" max="10240" width="9.140625" style="839"/>
    <col min="10241" max="10241" width="100.7109375" style="839" customWidth="1"/>
    <col min="10242" max="10496" width="9.140625" style="839"/>
    <col min="10497" max="10497" width="100.7109375" style="839" customWidth="1"/>
    <col min="10498" max="10752" width="9.140625" style="839"/>
    <col min="10753" max="10753" width="100.7109375" style="839" customWidth="1"/>
    <col min="10754" max="11008" width="9.140625" style="839"/>
    <col min="11009" max="11009" width="100.7109375" style="839" customWidth="1"/>
    <col min="11010" max="11264" width="9.140625" style="839"/>
    <col min="11265" max="11265" width="100.7109375" style="839" customWidth="1"/>
    <col min="11266" max="11520" width="9.140625" style="839"/>
    <col min="11521" max="11521" width="100.7109375" style="839" customWidth="1"/>
    <col min="11522" max="11776" width="9.140625" style="839"/>
    <col min="11777" max="11777" width="100.7109375" style="839" customWidth="1"/>
    <col min="11778" max="12032" width="9.140625" style="839"/>
    <col min="12033" max="12033" width="100.7109375" style="839" customWidth="1"/>
    <col min="12034" max="12288" width="9.140625" style="839"/>
    <col min="12289" max="12289" width="100.7109375" style="839" customWidth="1"/>
    <col min="12290" max="12544" width="9.140625" style="839"/>
    <col min="12545" max="12545" width="100.7109375" style="839" customWidth="1"/>
    <col min="12546" max="12800" width="9.140625" style="839"/>
    <col min="12801" max="12801" width="100.7109375" style="839" customWidth="1"/>
    <col min="12802" max="13056" width="9.140625" style="839"/>
    <col min="13057" max="13057" width="100.7109375" style="839" customWidth="1"/>
    <col min="13058" max="13312" width="9.140625" style="839"/>
    <col min="13313" max="13313" width="100.7109375" style="839" customWidth="1"/>
    <col min="13314" max="13568" width="9.140625" style="839"/>
    <col min="13569" max="13569" width="100.7109375" style="839" customWidth="1"/>
    <col min="13570" max="13824" width="9.140625" style="839"/>
    <col min="13825" max="13825" width="100.7109375" style="839" customWidth="1"/>
    <col min="13826" max="14080" width="9.140625" style="839"/>
    <col min="14081" max="14081" width="100.7109375" style="839" customWidth="1"/>
    <col min="14082" max="14336" width="9.140625" style="839"/>
    <col min="14337" max="14337" width="100.7109375" style="839" customWidth="1"/>
    <col min="14338" max="14592" width="9.140625" style="839"/>
    <col min="14593" max="14593" width="100.7109375" style="839" customWidth="1"/>
    <col min="14594" max="14848" width="9.140625" style="839"/>
    <col min="14849" max="14849" width="100.7109375" style="839" customWidth="1"/>
    <col min="14850" max="15104" width="9.140625" style="839"/>
    <col min="15105" max="15105" width="100.7109375" style="839" customWidth="1"/>
    <col min="15106" max="15360" width="9.140625" style="839"/>
    <col min="15361" max="15361" width="100.7109375" style="839" customWidth="1"/>
    <col min="15362" max="15616" width="9.140625" style="839"/>
    <col min="15617" max="15617" width="100.7109375" style="839" customWidth="1"/>
    <col min="15618" max="15872" width="9.140625" style="839"/>
    <col min="15873" max="15873" width="100.7109375" style="839" customWidth="1"/>
    <col min="15874" max="16128" width="9.140625" style="839"/>
    <col min="16129" max="16129" width="100.7109375" style="839" customWidth="1"/>
    <col min="16130" max="16384" width="9.140625" style="839"/>
  </cols>
  <sheetData>
    <row r="1" spans="1:8" ht="30" customHeight="1">
      <c r="A1" s="837"/>
      <c r="B1" s="838"/>
      <c r="C1" s="838"/>
      <c r="D1" s="838"/>
      <c r="E1" s="838"/>
      <c r="F1" s="838"/>
      <c r="G1" s="838"/>
      <c r="H1" s="838"/>
    </row>
    <row r="2" spans="1:8" ht="14.25">
      <c r="A2" s="840" t="s">
        <v>473</v>
      </c>
      <c r="B2" s="838"/>
      <c r="C2" s="838"/>
      <c r="D2" s="838"/>
      <c r="E2" s="838"/>
      <c r="F2" s="838"/>
      <c r="G2" s="838"/>
      <c r="H2" s="838"/>
    </row>
    <row r="3" spans="1:8" ht="14.25">
      <c r="A3" s="840" t="s">
        <v>474</v>
      </c>
      <c r="B3" s="838"/>
      <c r="C3" s="838"/>
      <c r="D3" s="838"/>
      <c r="E3" s="838"/>
      <c r="F3" s="838"/>
      <c r="G3" s="838"/>
      <c r="H3" s="838"/>
    </row>
    <row r="4" spans="1:8" ht="14.25">
      <c r="A4" s="840" t="s">
        <v>475</v>
      </c>
      <c r="B4" s="838"/>
      <c r="C4" s="838"/>
      <c r="D4" s="838"/>
      <c r="E4" s="838"/>
      <c r="F4" s="838"/>
      <c r="G4" s="838"/>
      <c r="H4" s="838"/>
    </row>
    <row r="5" spans="1:8" ht="14.25">
      <c r="A5" s="840" t="s">
        <v>476</v>
      </c>
      <c r="B5" s="838"/>
      <c r="C5" s="838"/>
      <c r="D5" s="838"/>
      <c r="E5" s="838"/>
      <c r="F5" s="838"/>
      <c r="G5" s="838"/>
      <c r="H5" s="838"/>
    </row>
    <row r="6" spans="1:8" ht="14.25">
      <c r="A6" s="840"/>
      <c r="B6" s="838"/>
      <c r="C6" s="838"/>
      <c r="D6" s="838"/>
      <c r="E6" s="838"/>
      <c r="F6" s="838"/>
      <c r="G6" s="838"/>
      <c r="H6" s="838"/>
    </row>
    <row r="7" spans="1:8">
      <c r="A7" s="837" t="s">
        <v>477</v>
      </c>
      <c r="B7" s="838"/>
      <c r="C7" s="838"/>
      <c r="D7" s="838"/>
      <c r="E7" s="838"/>
      <c r="F7" s="838"/>
      <c r="G7" s="838"/>
      <c r="H7" s="838"/>
    </row>
    <row r="8" spans="1:8">
      <c r="A8" s="837" t="s">
        <v>478</v>
      </c>
      <c r="B8" s="838"/>
      <c r="C8" s="838"/>
      <c r="D8" s="838"/>
      <c r="E8" s="838"/>
      <c r="F8" s="838"/>
      <c r="G8" s="838"/>
      <c r="H8" s="838"/>
    </row>
    <row r="9" spans="1:8">
      <c r="A9" s="837"/>
      <c r="B9" s="838"/>
      <c r="C9" s="838"/>
      <c r="D9" s="838"/>
      <c r="E9" s="838"/>
      <c r="F9" s="838"/>
      <c r="G9" s="838"/>
      <c r="H9" s="838"/>
    </row>
    <row r="10" spans="1:8">
      <c r="A10" s="841" t="s">
        <v>479</v>
      </c>
      <c r="B10" s="838"/>
      <c r="C10" s="838"/>
      <c r="D10" s="838"/>
      <c r="E10" s="838"/>
      <c r="F10" s="838"/>
      <c r="G10" s="838"/>
      <c r="H10" s="838"/>
    </row>
    <row r="11" spans="1:8">
      <c r="A11" s="841" t="s">
        <v>480</v>
      </c>
      <c r="B11" s="838"/>
      <c r="C11" s="838"/>
      <c r="D11" s="838"/>
      <c r="E11" s="838"/>
      <c r="F11" s="838"/>
      <c r="G11" s="838"/>
      <c r="H11" s="838"/>
    </row>
    <row r="12" spans="1:8">
      <c r="A12" s="841" t="s">
        <v>481</v>
      </c>
      <c r="B12" s="838"/>
      <c r="C12" s="838"/>
      <c r="D12" s="838"/>
      <c r="E12" s="838"/>
      <c r="F12" s="838"/>
      <c r="G12" s="838"/>
      <c r="H12" s="838"/>
    </row>
    <row r="13" spans="1:8">
      <c r="A13" s="841" t="s">
        <v>482</v>
      </c>
      <c r="B13" s="838"/>
      <c r="C13" s="838"/>
      <c r="D13" s="838"/>
      <c r="E13" s="838"/>
      <c r="F13" s="838"/>
      <c r="G13" s="838"/>
      <c r="H13" s="838"/>
    </row>
    <row r="14" spans="1:8">
      <c r="A14" s="841" t="s">
        <v>483</v>
      </c>
      <c r="B14" s="838"/>
      <c r="C14" s="838"/>
      <c r="D14" s="838"/>
      <c r="E14" s="838"/>
      <c r="F14" s="838"/>
      <c r="G14" s="838"/>
      <c r="H14" s="838"/>
    </row>
    <row r="15" spans="1:8">
      <c r="A15" s="841" t="s">
        <v>484</v>
      </c>
      <c r="B15" s="838"/>
      <c r="C15" s="838"/>
      <c r="D15" s="838"/>
      <c r="E15" s="838"/>
      <c r="F15" s="838"/>
      <c r="G15" s="838"/>
      <c r="H15" s="838"/>
    </row>
    <row r="16" spans="1:8">
      <c r="A16" s="841"/>
      <c r="B16" s="838"/>
      <c r="C16" s="838"/>
      <c r="D16" s="838"/>
      <c r="E16" s="838"/>
      <c r="F16" s="838"/>
      <c r="G16" s="838"/>
      <c r="H16" s="838"/>
    </row>
    <row r="17" spans="1:8">
      <c r="A17" s="841" t="s">
        <v>470</v>
      </c>
      <c r="B17" s="838"/>
      <c r="C17" s="838"/>
      <c r="D17" s="838"/>
      <c r="E17" s="838"/>
      <c r="F17" s="838"/>
      <c r="G17" s="838"/>
      <c r="H17" s="838"/>
    </row>
    <row r="18" spans="1:8">
      <c r="A18" s="841"/>
      <c r="B18" s="838"/>
      <c r="C18" s="838"/>
      <c r="D18" s="838"/>
      <c r="E18" s="838"/>
      <c r="F18" s="838"/>
      <c r="G18" s="838"/>
      <c r="H18" s="838"/>
    </row>
    <row r="19" spans="1:8">
      <c r="A19" s="841" t="s">
        <v>471</v>
      </c>
      <c r="B19" s="838"/>
      <c r="C19" s="838"/>
      <c r="D19" s="838"/>
      <c r="E19" s="838"/>
      <c r="F19" s="838"/>
      <c r="G19" s="838"/>
      <c r="H19" s="838"/>
    </row>
    <row r="20" spans="1:8">
      <c r="A20" s="837"/>
      <c r="B20" s="838"/>
      <c r="C20" s="838"/>
      <c r="D20" s="838"/>
      <c r="E20" s="838"/>
      <c r="F20" s="838"/>
      <c r="G20" s="838"/>
      <c r="H20" s="838"/>
    </row>
    <row r="21" spans="1:8">
      <c r="A21" s="842" t="s">
        <v>472</v>
      </c>
      <c r="B21" s="838"/>
      <c r="C21" s="838"/>
      <c r="D21" s="838"/>
      <c r="E21" s="838"/>
      <c r="F21" s="838"/>
      <c r="G21" s="838"/>
      <c r="H21" s="838"/>
    </row>
    <row r="22" spans="1:8" ht="15">
      <c r="A22" s="843"/>
      <c r="B22" s="843"/>
      <c r="C22" s="843"/>
      <c r="D22" s="843"/>
      <c r="E22" s="843"/>
      <c r="F22" s="843"/>
      <c r="G22" s="843"/>
      <c r="H22" s="843"/>
    </row>
    <row r="23" spans="1:8" ht="15">
      <c r="A23" s="844" t="s">
        <v>763</v>
      </c>
      <c r="B23" s="843"/>
      <c r="C23" s="843"/>
      <c r="D23" s="843"/>
      <c r="E23" s="843"/>
      <c r="F23" s="843"/>
      <c r="G23" s="843"/>
      <c r="H23" s="843"/>
    </row>
    <row r="24" spans="1:8" ht="15">
      <c r="A24" s="844" t="s">
        <v>764</v>
      </c>
      <c r="B24" s="843"/>
      <c r="C24" s="843"/>
      <c r="D24" s="843"/>
      <c r="E24" s="843"/>
      <c r="F24" s="843"/>
      <c r="G24" s="843"/>
      <c r="H24" s="843"/>
    </row>
    <row r="25" spans="1:8" ht="15">
      <c r="A25" s="844" t="s">
        <v>765</v>
      </c>
      <c r="B25" s="843"/>
      <c r="C25" s="843"/>
      <c r="D25" s="843"/>
      <c r="E25" s="843"/>
      <c r="F25" s="843"/>
      <c r="G25" s="843"/>
      <c r="H25" s="843"/>
    </row>
    <row r="26" spans="1:8" ht="15">
      <c r="A26" s="844" t="s">
        <v>766</v>
      </c>
      <c r="B26" s="843"/>
      <c r="C26" s="843"/>
      <c r="D26" s="843"/>
      <c r="E26" s="843"/>
      <c r="F26" s="843"/>
      <c r="G26" s="843"/>
      <c r="H26" s="843"/>
    </row>
    <row r="27" spans="1:8" ht="15">
      <c r="A27" s="843"/>
      <c r="B27" s="843"/>
      <c r="C27" s="843"/>
      <c r="D27" s="843"/>
      <c r="E27" s="843"/>
      <c r="F27" s="843"/>
      <c r="G27" s="843"/>
      <c r="H27" s="843"/>
    </row>
    <row r="28" spans="1:8" ht="15">
      <c r="A28" s="843"/>
      <c r="B28" s="843"/>
      <c r="C28" s="843"/>
      <c r="D28" s="843"/>
      <c r="E28" s="843"/>
      <c r="F28" s="843"/>
      <c r="G28" s="843"/>
      <c r="H28" s="843"/>
    </row>
    <row r="29" spans="1:8" ht="15">
      <c r="A29" s="844" t="s">
        <v>758</v>
      </c>
      <c r="B29" s="843"/>
      <c r="C29" s="843"/>
      <c r="D29" s="843"/>
      <c r="E29" s="843"/>
      <c r="F29" s="843"/>
      <c r="G29" s="843"/>
      <c r="H29" s="843"/>
    </row>
    <row r="30" spans="1:8" ht="15">
      <c r="A30" s="844" t="s">
        <v>759</v>
      </c>
      <c r="B30" s="843"/>
      <c r="C30" s="843"/>
      <c r="D30" s="843"/>
      <c r="E30" s="843"/>
      <c r="F30" s="843"/>
      <c r="G30" s="843"/>
      <c r="H30" s="843"/>
    </row>
    <row r="31" spans="1:8" ht="15">
      <c r="A31" s="844" t="s">
        <v>760</v>
      </c>
      <c r="B31" s="843"/>
      <c r="C31" s="843"/>
      <c r="D31" s="843"/>
      <c r="E31" s="843"/>
      <c r="F31" s="843"/>
      <c r="G31" s="843"/>
      <c r="H31" s="843"/>
    </row>
    <row r="32" spans="1:8" ht="15">
      <c r="A32" s="844" t="s">
        <v>761</v>
      </c>
      <c r="B32" s="843"/>
      <c r="C32" s="843"/>
      <c r="D32" s="843"/>
      <c r="E32" s="843"/>
      <c r="F32" s="843"/>
      <c r="G32" s="843"/>
      <c r="H32" s="843"/>
    </row>
    <row r="33" spans="1:8" ht="15">
      <c r="A33" s="844" t="s">
        <v>762</v>
      </c>
      <c r="B33" s="843"/>
      <c r="C33" s="843"/>
      <c r="D33" s="843"/>
      <c r="E33" s="843"/>
      <c r="F33" s="843"/>
      <c r="G33" s="843"/>
      <c r="H33" s="843"/>
    </row>
    <row r="34" spans="1:8" ht="15">
      <c r="A34" s="843"/>
      <c r="B34" s="843"/>
      <c r="C34" s="843"/>
      <c r="D34" s="843"/>
      <c r="E34" s="843"/>
      <c r="F34" s="843"/>
      <c r="G34" s="843"/>
      <c r="H34" s="843"/>
    </row>
    <row r="35" spans="1:8" ht="15">
      <c r="A35" s="844" t="s">
        <v>754</v>
      </c>
      <c r="B35" s="843"/>
      <c r="C35" s="843"/>
      <c r="D35" s="843"/>
      <c r="E35" s="843"/>
      <c r="F35" s="843"/>
      <c r="G35" s="843"/>
      <c r="H35" s="843"/>
    </row>
    <row r="36" spans="1:8" ht="15">
      <c r="A36" s="844" t="s">
        <v>755</v>
      </c>
      <c r="B36" s="843"/>
      <c r="C36" s="843"/>
      <c r="D36" s="843"/>
      <c r="E36" s="843"/>
      <c r="F36" s="843"/>
      <c r="G36" s="843"/>
      <c r="H36" s="843"/>
    </row>
    <row r="37" spans="1:8" ht="15">
      <c r="A37" s="844" t="s">
        <v>756</v>
      </c>
      <c r="B37" s="843"/>
      <c r="C37" s="843"/>
      <c r="D37" s="843"/>
      <c r="E37" s="843"/>
      <c r="F37" s="843"/>
      <c r="G37" s="843"/>
      <c r="H37" s="843"/>
    </row>
    <row r="38" spans="1:8" ht="15">
      <c r="A38" s="844" t="s">
        <v>757</v>
      </c>
      <c r="B38" s="843"/>
      <c r="C38" s="843"/>
      <c r="D38" s="843"/>
      <c r="E38" s="843"/>
      <c r="F38" s="843"/>
      <c r="G38" s="843"/>
      <c r="H38" s="843"/>
    </row>
    <row r="39" spans="1:8" ht="15">
      <c r="A39" s="843"/>
      <c r="B39" s="843"/>
      <c r="C39" s="843"/>
      <c r="D39" s="843"/>
      <c r="E39" s="843"/>
      <c r="F39" s="843"/>
      <c r="G39" s="843"/>
      <c r="H39" s="843"/>
    </row>
    <row r="40" spans="1:8" ht="15">
      <c r="A40" s="844" t="s">
        <v>748</v>
      </c>
      <c r="B40" s="843"/>
      <c r="C40" s="843"/>
      <c r="D40" s="843"/>
      <c r="E40" s="843"/>
      <c r="F40" s="843"/>
      <c r="G40" s="843"/>
      <c r="H40" s="843"/>
    </row>
    <row r="41" spans="1:8" ht="15">
      <c r="A41" s="844" t="s">
        <v>749</v>
      </c>
      <c r="B41" s="843"/>
      <c r="C41" s="843"/>
      <c r="D41" s="843"/>
      <c r="E41" s="843"/>
      <c r="F41" s="843"/>
      <c r="G41" s="843"/>
      <c r="H41" s="843"/>
    </row>
    <row r="42" spans="1:8" ht="15">
      <c r="A42" s="844" t="s">
        <v>750</v>
      </c>
      <c r="B42" s="843"/>
      <c r="C42" s="843"/>
      <c r="D42" s="843"/>
      <c r="E42" s="843"/>
      <c r="F42" s="843"/>
      <c r="G42" s="843"/>
      <c r="H42" s="843"/>
    </row>
    <row r="43" spans="1:8" ht="15">
      <c r="A43" s="844" t="s">
        <v>751</v>
      </c>
      <c r="B43" s="843"/>
      <c r="C43" s="843"/>
      <c r="D43" s="843"/>
      <c r="E43" s="843"/>
      <c r="F43" s="843"/>
      <c r="G43" s="843"/>
      <c r="H43" s="843"/>
    </row>
    <row r="44" spans="1:8" ht="15">
      <c r="A44" s="844" t="s">
        <v>752</v>
      </c>
      <c r="B44" s="843"/>
      <c r="C44" s="843"/>
      <c r="D44" s="843"/>
      <c r="E44" s="843"/>
      <c r="F44" s="843"/>
      <c r="G44" s="843"/>
      <c r="H44" s="843"/>
    </row>
    <row r="45" spans="1:8" ht="15">
      <c r="A45" s="844" t="s">
        <v>753</v>
      </c>
      <c r="B45" s="843"/>
      <c r="C45" s="843"/>
      <c r="D45" s="843"/>
      <c r="E45" s="843"/>
      <c r="F45" s="843"/>
      <c r="G45" s="843"/>
      <c r="H45" s="843"/>
    </row>
    <row r="46" spans="1:8" ht="15">
      <c r="A46" s="843"/>
      <c r="B46" s="843"/>
      <c r="C46" s="843"/>
      <c r="D46" s="843"/>
      <c r="E46" s="843"/>
      <c r="F46" s="843"/>
      <c r="G46" s="843"/>
      <c r="H46" s="843"/>
    </row>
    <row r="47" spans="1:8" ht="15.75">
      <c r="A47" s="845" t="s">
        <v>485</v>
      </c>
      <c r="B47" s="843"/>
      <c r="C47" s="843"/>
      <c r="D47" s="843"/>
      <c r="E47" s="843"/>
      <c r="F47" s="843"/>
      <c r="G47" s="843"/>
      <c r="H47" s="843"/>
    </row>
    <row r="48" spans="1:8" ht="15">
      <c r="A48" s="843"/>
      <c r="B48" s="843"/>
      <c r="C48" s="843"/>
      <c r="D48" s="843"/>
      <c r="E48" s="843"/>
      <c r="F48" s="843"/>
      <c r="G48" s="843"/>
      <c r="H48" s="843"/>
    </row>
    <row r="49" spans="1:8" ht="15">
      <c r="A49" s="844" t="s">
        <v>744</v>
      </c>
      <c r="B49" s="843"/>
      <c r="C49" s="843"/>
      <c r="D49" s="843"/>
      <c r="E49" s="843"/>
      <c r="F49" s="843"/>
      <c r="G49" s="843"/>
      <c r="H49" s="843"/>
    </row>
    <row r="50" spans="1:8" ht="15">
      <c r="A50" s="844" t="s">
        <v>745</v>
      </c>
      <c r="B50" s="843"/>
      <c r="C50" s="843"/>
      <c r="D50" s="843"/>
      <c r="E50" s="843"/>
      <c r="F50" s="843"/>
      <c r="G50" s="843"/>
      <c r="H50" s="843"/>
    </row>
    <row r="51" spans="1:8" ht="15">
      <c r="A51" s="844" t="s">
        <v>746</v>
      </c>
      <c r="B51" s="843"/>
      <c r="C51" s="843"/>
      <c r="D51" s="843"/>
      <c r="E51" s="843"/>
      <c r="F51" s="843"/>
      <c r="G51" s="843"/>
      <c r="H51" s="843"/>
    </row>
    <row r="52" spans="1:8" ht="15">
      <c r="A52" s="844" t="s">
        <v>747</v>
      </c>
      <c r="B52" s="843"/>
      <c r="C52" s="843"/>
      <c r="D52" s="843"/>
      <c r="E52" s="843"/>
      <c r="F52" s="843"/>
      <c r="G52" s="843"/>
      <c r="H52" s="843"/>
    </row>
    <row r="53" spans="1:8" ht="15">
      <c r="A53" s="843"/>
      <c r="B53" s="843"/>
      <c r="C53" s="843"/>
      <c r="D53" s="843"/>
      <c r="E53" s="843"/>
      <c r="F53" s="843"/>
      <c r="G53" s="843"/>
      <c r="H53" s="843"/>
    </row>
    <row r="54" spans="1:8" ht="15">
      <c r="A54" s="844" t="s">
        <v>486</v>
      </c>
      <c r="B54" s="843"/>
      <c r="C54" s="843"/>
      <c r="D54" s="843"/>
      <c r="E54" s="843"/>
      <c r="F54" s="843"/>
      <c r="G54" s="843"/>
      <c r="H54" s="843"/>
    </row>
    <row r="55" spans="1:8" ht="15">
      <c r="A55" s="843"/>
      <c r="B55" s="843"/>
      <c r="C55" s="843"/>
      <c r="D55" s="843"/>
      <c r="E55" s="843"/>
      <c r="F55" s="843"/>
      <c r="G55" s="843"/>
      <c r="H55" s="843"/>
    </row>
    <row r="56" spans="1:8" ht="15.75">
      <c r="A56" s="845" t="s">
        <v>487</v>
      </c>
      <c r="B56" s="843"/>
      <c r="C56" s="843"/>
      <c r="D56" s="843"/>
      <c r="E56" s="843"/>
      <c r="F56" s="843"/>
      <c r="G56" s="843"/>
      <c r="H56" s="843"/>
    </row>
    <row r="57" spans="1:8" ht="15">
      <c r="A57" s="843"/>
      <c r="B57" s="843"/>
      <c r="C57" s="843"/>
      <c r="D57" s="843"/>
      <c r="E57" s="843"/>
      <c r="F57" s="843"/>
      <c r="G57" s="843"/>
      <c r="H57" s="843"/>
    </row>
    <row r="58" spans="1:8" ht="15">
      <c r="A58" s="844" t="s">
        <v>742</v>
      </c>
      <c r="B58" s="843"/>
      <c r="C58" s="843"/>
      <c r="D58" s="843"/>
      <c r="E58" s="843"/>
      <c r="F58" s="843"/>
      <c r="G58" s="843"/>
      <c r="H58" s="843"/>
    </row>
    <row r="59" spans="1:8" ht="15">
      <c r="A59" s="844" t="s">
        <v>743</v>
      </c>
      <c r="B59" s="843"/>
      <c r="C59" s="843"/>
      <c r="D59" s="843"/>
      <c r="E59" s="843"/>
      <c r="F59" s="843"/>
      <c r="G59" s="843"/>
      <c r="H59" s="843"/>
    </row>
    <row r="60" spans="1:8" ht="15">
      <c r="A60" s="843"/>
      <c r="B60" s="843"/>
      <c r="C60" s="843"/>
      <c r="D60" s="843"/>
      <c r="E60" s="843"/>
      <c r="F60" s="843"/>
      <c r="G60" s="843"/>
      <c r="H60" s="843"/>
    </row>
    <row r="61" spans="1:8" ht="15.75">
      <c r="A61" s="845" t="s">
        <v>488</v>
      </c>
      <c r="B61" s="843"/>
      <c r="C61" s="843"/>
      <c r="D61" s="843"/>
      <c r="E61" s="843"/>
      <c r="F61" s="843"/>
      <c r="G61" s="843"/>
      <c r="H61" s="843"/>
    </row>
    <row r="62" spans="1:8" ht="15">
      <c r="A62" s="843"/>
      <c r="B62" s="843"/>
      <c r="C62" s="843"/>
      <c r="D62" s="843"/>
      <c r="E62" s="843"/>
      <c r="F62" s="843"/>
      <c r="G62" s="843"/>
      <c r="H62" s="843"/>
    </row>
    <row r="63" spans="1:8" ht="15">
      <c r="A63" s="844" t="s">
        <v>740</v>
      </c>
      <c r="B63" s="843"/>
      <c r="C63" s="843"/>
      <c r="D63" s="843"/>
      <c r="E63" s="843"/>
      <c r="F63" s="843"/>
      <c r="G63" s="843"/>
      <c r="H63" s="843"/>
    </row>
    <row r="64" spans="1:8" ht="15">
      <c r="A64" s="844" t="s">
        <v>741</v>
      </c>
      <c r="B64" s="843"/>
      <c r="C64" s="843"/>
      <c r="D64" s="843"/>
      <c r="E64" s="843"/>
      <c r="F64" s="843"/>
      <c r="G64" s="843"/>
      <c r="H64" s="843"/>
    </row>
    <row r="65" spans="1:8" ht="15">
      <c r="A65" s="843"/>
      <c r="B65" s="843"/>
      <c r="C65" s="843"/>
      <c r="D65" s="843"/>
      <c r="E65" s="843"/>
      <c r="F65" s="843"/>
      <c r="G65" s="843"/>
      <c r="H65" s="843"/>
    </row>
    <row r="66" spans="1:8" ht="15">
      <c r="A66" s="844" t="s">
        <v>738</v>
      </c>
      <c r="B66" s="843"/>
      <c r="C66" s="843"/>
      <c r="D66" s="843"/>
      <c r="E66" s="843"/>
      <c r="F66" s="843"/>
      <c r="G66" s="843"/>
      <c r="H66" s="843"/>
    </row>
    <row r="67" spans="1:8" ht="15">
      <c r="A67" s="844" t="s">
        <v>739</v>
      </c>
      <c r="B67" s="843"/>
      <c r="C67" s="843"/>
      <c r="D67" s="843"/>
      <c r="E67" s="843"/>
      <c r="F67" s="843"/>
      <c r="G67" s="843"/>
      <c r="H67" s="843"/>
    </row>
    <row r="68" spans="1:8" ht="15">
      <c r="A68" s="843"/>
      <c r="B68" s="843"/>
      <c r="C68" s="843"/>
      <c r="D68" s="843"/>
      <c r="E68" s="843"/>
      <c r="F68" s="843"/>
      <c r="G68" s="843"/>
      <c r="H68" s="843"/>
    </row>
    <row r="69" spans="1:8" ht="15">
      <c r="A69" s="844" t="s">
        <v>736</v>
      </c>
      <c r="B69" s="843"/>
      <c r="C69" s="843"/>
      <c r="D69" s="843"/>
      <c r="E69" s="843"/>
      <c r="F69" s="843"/>
      <c r="G69" s="843"/>
      <c r="H69" s="843"/>
    </row>
    <row r="70" spans="1:8" ht="15">
      <c r="A70" s="844" t="s">
        <v>737</v>
      </c>
      <c r="B70" s="843"/>
      <c r="C70" s="843"/>
      <c r="D70" s="843"/>
      <c r="E70" s="843"/>
      <c r="F70" s="843"/>
      <c r="G70" s="843"/>
      <c r="H70" s="843"/>
    </row>
    <row r="71" spans="1:8" ht="15">
      <c r="A71" s="843"/>
      <c r="B71" s="843"/>
      <c r="C71" s="843"/>
      <c r="D71" s="843"/>
      <c r="E71" s="843"/>
      <c r="F71" s="843"/>
      <c r="G71" s="843"/>
      <c r="H71" s="843"/>
    </row>
    <row r="72" spans="1:8" ht="15">
      <c r="A72" s="844" t="s">
        <v>733</v>
      </c>
      <c r="B72" s="843"/>
      <c r="C72" s="843"/>
      <c r="D72" s="843"/>
      <c r="E72" s="843"/>
      <c r="F72" s="843"/>
      <c r="G72" s="843"/>
      <c r="H72" s="843"/>
    </row>
    <row r="73" spans="1:8" ht="15">
      <c r="A73" s="844" t="s">
        <v>734</v>
      </c>
      <c r="B73" s="843"/>
      <c r="C73" s="843"/>
      <c r="D73" s="843"/>
      <c r="E73" s="843"/>
      <c r="F73" s="843"/>
      <c r="G73" s="843"/>
      <c r="H73" s="843"/>
    </row>
    <row r="74" spans="1:8" ht="15">
      <c r="A74" s="844" t="s">
        <v>735</v>
      </c>
      <c r="B74" s="843"/>
      <c r="C74" s="843"/>
      <c r="D74" s="843"/>
      <c r="E74" s="843"/>
      <c r="F74" s="843"/>
      <c r="G74" s="843"/>
      <c r="H74" s="843"/>
    </row>
    <row r="75" spans="1:8" ht="15">
      <c r="A75" s="843"/>
      <c r="B75" s="843"/>
      <c r="C75" s="843"/>
      <c r="D75" s="843"/>
      <c r="E75" s="843"/>
      <c r="F75" s="843"/>
      <c r="G75" s="843"/>
      <c r="H75" s="843"/>
    </row>
    <row r="76" spans="1:8" ht="15">
      <c r="A76" s="844" t="s">
        <v>489</v>
      </c>
      <c r="B76" s="843"/>
      <c r="C76" s="843"/>
      <c r="D76" s="843"/>
      <c r="E76" s="843"/>
      <c r="F76" s="843"/>
      <c r="G76" s="843"/>
      <c r="H76" s="843"/>
    </row>
    <row r="77" spans="1:8" ht="15">
      <c r="A77" s="843"/>
      <c r="B77" s="843"/>
      <c r="C77" s="843"/>
      <c r="D77" s="843"/>
      <c r="E77" s="843"/>
      <c r="F77" s="843"/>
      <c r="G77" s="843"/>
      <c r="H77" s="843"/>
    </row>
    <row r="78" spans="1:8" ht="15">
      <c r="A78" s="844" t="s">
        <v>728</v>
      </c>
      <c r="B78" s="843"/>
      <c r="C78" s="843"/>
      <c r="D78" s="843"/>
      <c r="E78" s="843"/>
      <c r="F78" s="843"/>
      <c r="G78" s="843"/>
      <c r="H78" s="843"/>
    </row>
    <row r="79" spans="1:8" ht="15">
      <c r="A79" s="844" t="s">
        <v>729</v>
      </c>
      <c r="B79" s="843"/>
      <c r="C79" s="843"/>
      <c r="D79" s="843"/>
      <c r="E79" s="843"/>
      <c r="F79" s="843"/>
      <c r="G79" s="843"/>
      <c r="H79" s="843"/>
    </row>
    <row r="80" spans="1:8" ht="15">
      <c r="A80" s="844" t="s">
        <v>730</v>
      </c>
      <c r="B80" s="843"/>
      <c r="C80" s="843"/>
      <c r="D80" s="843"/>
      <c r="E80" s="843"/>
      <c r="F80" s="843"/>
      <c r="G80" s="843"/>
      <c r="H80" s="843"/>
    </row>
    <row r="81" spans="1:8" ht="15">
      <c r="A81" s="844" t="s">
        <v>731</v>
      </c>
      <c r="B81" s="843"/>
      <c r="C81" s="843"/>
      <c r="D81" s="843"/>
      <c r="E81" s="843"/>
      <c r="F81" s="843"/>
      <c r="G81" s="843"/>
      <c r="H81" s="843"/>
    </row>
    <row r="82" spans="1:8" ht="15">
      <c r="A82" s="844" t="s">
        <v>732</v>
      </c>
      <c r="B82" s="843"/>
      <c r="C82" s="843"/>
      <c r="D82" s="843"/>
      <c r="E82" s="843"/>
      <c r="F82" s="843"/>
      <c r="G82" s="843"/>
      <c r="H82" s="843"/>
    </row>
    <row r="83" spans="1:8" ht="15">
      <c r="A83" s="844" t="s">
        <v>615</v>
      </c>
      <c r="B83" s="843"/>
      <c r="C83" s="843"/>
      <c r="D83" s="843"/>
      <c r="E83" s="843"/>
      <c r="F83" s="843"/>
      <c r="G83" s="843"/>
      <c r="H83" s="843"/>
    </row>
    <row r="84" spans="1:8" ht="15">
      <c r="A84" s="843"/>
      <c r="B84" s="843"/>
      <c r="C84" s="843"/>
      <c r="D84" s="843"/>
      <c r="E84" s="843"/>
      <c r="F84" s="843"/>
      <c r="G84" s="843"/>
      <c r="H84" s="843"/>
    </row>
    <row r="85" spans="1:8" ht="15">
      <c r="A85" s="844" t="s">
        <v>721</v>
      </c>
      <c r="B85" s="843"/>
      <c r="C85" s="843"/>
      <c r="D85" s="843"/>
      <c r="E85" s="843"/>
      <c r="F85" s="843"/>
      <c r="G85" s="843"/>
      <c r="H85" s="843"/>
    </row>
    <row r="86" spans="1:8" ht="15">
      <c r="A86" s="844" t="s">
        <v>722</v>
      </c>
      <c r="B86" s="843"/>
      <c r="C86" s="843"/>
      <c r="D86" s="843"/>
      <c r="E86" s="843"/>
      <c r="F86" s="843"/>
      <c r="G86" s="843"/>
      <c r="H86" s="843"/>
    </row>
    <row r="87" spans="1:8" ht="15">
      <c r="A87" s="844" t="s">
        <v>723</v>
      </c>
      <c r="B87" s="843"/>
      <c r="C87" s="843"/>
      <c r="D87" s="843"/>
      <c r="E87" s="843"/>
      <c r="F87" s="843"/>
      <c r="G87" s="843"/>
      <c r="H87" s="843"/>
    </row>
    <row r="88" spans="1:8" ht="15">
      <c r="A88" s="844" t="s">
        <v>724</v>
      </c>
      <c r="B88" s="843"/>
      <c r="C88" s="843"/>
      <c r="D88" s="843"/>
      <c r="E88" s="843"/>
      <c r="F88" s="843"/>
      <c r="G88" s="843"/>
      <c r="H88" s="843"/>
    </row>
    <row r="89" spans="1:8" ht="15">
      <c r="A89" s="844" t="s">
        <v>725</v>
      </c>
      <c r="B89" s="843"/>
      <c r="C89" s="843"/>
      <c r="D89" s="843"/>
      <c r="E89" s="843"/>
      <c r="F89" s="843"/>
      <c r="G89" s="843"/>
      <c r="H89" s="843"/>
    </row>
    <row r="90" spans="1:8" ht="15">
      <c r="A90" s="844" t="s">
        <v>726</v>
      </c>
      <c r="B90" s="843"/>
      <c r="C90" s="843"/>
      <c r="D90" s="843"/>
      <c r="E90" s="843"/>
      <c r="F90" s="843"/>
      <c r="G90" s="843"/>
      <c r="H90" s="843"/>
    </row>
    <row r="91" spans="1:8" ht="15">
      <c r="A91" s="844" t="s">
        <v>727</v>
      </c>
      <c r="B91" s="843"/>
      <c r="C91" s="843"/>
      <c r="D91" s="843"/>
      <c r="E91" s="843"/>
      <c r="F91" s="843"/>
      <c r="G91" s="843"/>
      <c r="H91" s="843"/>
    </row>
    <row r="92" spans="1:8" ht="15">
      <c r="A92" s="843"/>
      <c r="B92" s="843"/>
      <c r="C92" s="843"/>
      <c r="D92" s="843"/>
      <c r="E92" s="843"/>
      <c r="F92" s="843"/>
      <c r="G92" s="843"/>
      <c r="H92" s="843"/>
    </row>
    <row r="93" spans="1:8" ht="15">
      <c r="A93" s="844" t="s">
        <v>719</v>
      </c>
      <c r="B93" s="843"/>
      <c r="C93" s="843"/>
      <c r="D93" s="843"/>
      <c r="E93" s="843"/>
      <c r="F93" s="843"/>
      <c r="G93" s="843"/>
      <c r="H93" s="843"/>
    </row>
    <row r="94" spans="1:8" ht="15">
      <c r="A94" s="844" t="s">
        <v>720</v>
      </c>
      <c r="B94" s="843"/>
      <c r="C94" s="843"/>
      <c r="D94" s="843"/>
      <c r="E94" s="843"/>
      <c r="F94" s="843"/>
      <c r="G94" s="843"/>
      <c r="H94" s="843"/>
    </row>
    <row r="95" spans="1:8" ht="15">
      <c r="A95" s="843"/>
      <c r="B95" s="843"/>
      <c r="C95" s="843"/>
      <c r="D95" s="843"/>
      <c r="E95" s="843"/>
      <c r="F95" s="843"/>
      <c r="G95" s="843"/>
      <c r="H95" s="843"/>
    </row>
    <row r="96" spans="1:8" ht="15.75">
      <c r="A96" s="845" t="s">
        <v>490</v>
      </c>
      <c r="B96" s="843"/>
      <c r="C96" s="843"/>
      <c r="D96" s="843"/>
      <c r="E96" s="843"/>
      <c r="F96" s="843"/>
      <c r="G96" s="843"/>
      <c r="H96" s="843"/>
    </row>
    <row r="97" spans="1:8" ht="15">
      <c r="A97" s="843"/>
      <c r="B97" s="843"/>
      <c r="C97" s="843"/>
      <c r="D97" s="843"/>
      <c r="E97" s="843"/>
      <c r="F97" s="843"/>
      <c r="G97" s="843"/>
      <c r="H97" s="843"/>
    </row>
    <row r="98" spans="1:8" ht="15">
      <c r="A98" s="844" t="s">
        <v>710</v>
      </c>
      <c r="B98" s="843"/>
      <c r="C98" s="843"/>
      <c r="D98" s="843"/>
      <c r="E98" s="843"/>
      <c r="F98" s="843"/>
      <c r="G98" s="843"/>
      <c r="H98" s="843"/>
    </row>
    <row r="99" spans="1:8" ht="15">
      <c r="A99" s="844" t="s">
        <v>711</v>
      </c>
      <c r="B99" s="843"/>
      <c r="C99" s="843"/>
      <c r="D99" s="843"/>
      <c r="E99" s="843"/>
      <c r="F99" s="843"/>
      <c r="G99" s="843"/>
      <c r="H99" s="843"/>
    </row>
    <row r="100" spans="1:8" ht="15">
      <c r="A100" s="844" t="s">
        <v>712</v>
      </c>
      <c r="B100" s="843"/>
      <c r="C100" s="843"/>
      <c r="D100" s="843"/>
      <c r="E100" s="843"/>
      <c r="F100" s="843"/>
      <c r="G100" s="843"/>
      <c r="H100" s="843"/>
    </row>
    <row r="101" spans="1:8" ht="15">
      <c r="A101" s="844" t="s">
        <v>713</v>
      </c>
      <c r="B101" s="843"/>
      <c r="C101" s="843"/>
      <c r="D101" s="843"/>
      <c r="E101" s="843"/>
      <c r="F101" s="843"/>
      <c r="G101" s="843"/>
      <c r="H101" s="843"/>
    </row>
    <row r="102" spans="1:8" ht="15">
      <c r="A102" s="844" t="s">
        <v>714</v>
      </c>
      <c r="B102" s="843"/>
      <c r="C102" s="843"/>
      <c r="D102" s="843"/>
      <c r="E102" s="843"/>
      <c r="F102" s="843"/>
      <c r="G102" s="843"/>
      <c r="H102" s="843"/>
    </row>
    <row r="103" spans="1:8" ht="15">
      <c r="A103" s="844" t="s">
        <v>715</v>
      </c>
      <c r="B103" s="843"/>
      <c r="C103" s="843"/>
      <c r="D103" s="843"/>
      <c r="E103" s="843"/>
      <c r="F103" s="843"/>
      <c r="G103" s="843"/>
      <c r="H103" s="843"/>
    </row>
    <row r="104" spans="1:8" ht="15">
      <c r="A104" s="844" t="s">
        <v>716</v>
      </c>
      <c r="B104" s="843"/>
      <c r="C104" s="843"/>
      <c r="D104" s="843"/>
      <c r="E104" s="843"/>
      <c r="F104" s="843"/>
      <c r="G104" s="843"/>
      <c r="H104" s="843"/>
    </row>
    <row r="105" spans="1:8" ht="15">
      <c r="A105" s="844" t="s">
        <v>717</v>
      </c>
      <c r="B105" s="843"/>
      <c r="C105" s="843"/>
      <c r="D105" s="843"/>
      <c r="E105" s="843"/>
      <c r="F105" s="843"/>
      <c r="G105" s="843"/>
      <c r="H105" s="843"/>
    </row>
    <row r="106" spans="1:8" ht="15">
      <c r="A106" s="844" t="s">
        <v>718</v>
      </c>
      <c r="B106" s="843"/>
      <c r="C106" s="843"/>
      <c r="D106" s="843"/>
      <c r="E106" s="843"/>
      <c r="F106" s="843"/>
      <c r="G106" s="843"/>
      <c r="H106" s="843"/>
    </row>
    <row r="107" spans="1:8" ht="15">
      <c r="A107" s="843"/>
      <c r="B107" s="843"/>
      <c r="C107" s="843"/>
      <c r="D107" s="843"/>
      <c r="E107" s="843"/>
      <c r="F107" s="843"/>
      <c r="G107" s="843"/>
      <c r="H107" s="843"/>
    </row>
    <row r="108" spans="1:8" ht="15.75">
      <c r="A108" s="846" t="s">
        <v>491</v>
      </c>
      <c r="B108" s="846"/>
      <c r="C108" s="846"/>
      <c r="D108" s="846"/>
      <c r="E108" s="846"/>
      <c r="F108" s="846"/>
      <c r="G108" s="846"/>
      <c r="H108" s="846"/>
    </row>
    <row r="109" spans="1:8">
      <c r="A109" s="847" t="s">
        <v>492</v>
      </c>
      <c r="B109" s="847"/>
      <c r="C109" s="847"/>
      <c r="D109" s="847"/>
      <c r="E109" s="847"/>
      <c r="F109" s="847"/>
      <c r="G109" s="847"/>
      <c r="H109" s="847"/>
    </row>
    <row r="110" spans="1:8" ht="15">
      <c r="A110" s="848"/>
      <c r="B110" s="848"/>
      <c r="C110" s="848"/>
      <c r="D110" s="848"/>
      <c r="E110" s="848"/>
      <c r="F110" s="848"/>
      <c r="G110" s="848"/>
      <c r="H110" s="848"/>
    </row>
    <row r="111" spans="1:8">
      <c r="A111" s="847" t="s">
        <v>708</v>
      </c>
      <c r="B111" s="847"/>
      <c r="C111" s="847"/>
      <c r="D111" s="847"/>
      <c r="E111" s="847"/>
      <c r="F111" s="847"/>
      <c r="G111" s="847"/>
      <c r="H111" s="847"/>
    </row>
    <row r="112" spans="1:8">
      <c r="A112" s="844" t="s">
        <v>709</v>
      </c>
      <c r="B112" s="844"/>
      <c r="C112" s="844"/>
      <c r="D112" s="844"/>
      <c r="E112" s="844"/>
      <c r="F112" s="844"/>
      <c r="G112" s="844"/>
      <c r="H112" s="844"/>
    </row>
    <row r="113" spans="1:8" ht="15">
      <c r="A113" s="848"/>
      <c r="B113" s="848"/>
      <c r="C113" s="848"/>
      <c r="D113" s="848"/>
      <c r="E113" s="848"/>
      <c r="F113" s="848"/>
      <c r="G113" s="848"/>
      <c r="H113" s="848"/>
    </row>
    <row r="114" spans="1:8">
      <c r="A114" s="847" t="s">
        <v>701</v>
      </c>
      <c r="B114" s="847"/>
      <c r="C114" s="847"/>
      <c r="D114" s="847"/>
      <c r="E114" s="847"/>
      <c r="F114" s="847"/>
      <c r="G114" s="847"/>
      <c r="H114" s="847"/>
    </row>
    <row r="115" spans="1:8">
      <c r="A115" s="844" t="s">
        <v>702</v>
      </c>
      <c r="B115" s="844"/>
      <c r="C115" s="844"/>
      <c r="D115" s="844"/>
      <c r="E115" s="844"/>
      <c r="F115" s="844"/>
      <c r="G115" s="844"/>
      <c r="H115" s="844"/>
    </row>
    <row r="116" spans="1:8">
      <c r="A116" s="844" t="s">
        <v>703</v>
      </c>
      <c r="B116" s="844"/>
      <c r="C116" s="844"/>
      <c r="D116" s="844"/>
      <c r="E116" s="844"/>
      <c r="F116" s="844"/>
      <c r="G116" s="844"/>
      <c r="H116" s="844"/>
    </row>
    <row r="117" spans="1:8">
      <c r="A117" s="844" t="s">
        <v>704</v>
      </c>
      <c r="B117" s="844"/>
      <c r="C117" s="844"/>
      <c r="D117" s="844"/>
      <c r="E117" s="844"/>
      <c r="F117" s="844"/>
      <c r="G117" s="844"/>
      <c r="H117" s="844"/>
    </row>
    <row r="118" spans="1:8">
      <c r="A118" s="844" t="s">
        <v>705</v>
      </c>
      <c r="B118" s="844"/>
      <c r="C118" s="844"/>
      <c r="D118" s="844"/>
      <c r="E118" s="844"/>
      <c r="F118" s="844"/>
      <c r="G118" s="844"/>
      <c r="H118" s="844"/>
    </row>
    <row r="119" spans="1:8">
      <c r="A119" s="844" t="s">
        <v>706</v>
      </c>
      <c r="B119" s="844"/>
      <c r="C119" s="844"/>
      <c r="D119" s="844"/>
      <c r="E119" s="844"/>
      <c r="F119" s="844"/>
      <c r="G119" s="844"/>
      <c r="H119" s="844"/>
    </row>
    <row r="120" spans="1:8">
      <c r="A120" s="844" t="s">
        <v>707</v>
      </c>
      <c r="B120" s="844"/>
      <c r="C120" s="844"/>
      <c r="D120" s="844"/>
      <c r="E120" s="844"/>
      <c r="F120" s="844"/>
      <c r="G120" s="844"/>
      <c r="H120" s="844"/>
    </row>
    <row r="121" spans="1:8" ht="15">
      <c r="A121" s="849"/>
      <c r="B121" s="849"/>
      <c r="C121" s="849"/>
      <c r="D121" s="849"/>
      <c r="E121" s="849"/>
      <c r="F121" s="849"/>
      <c r="G121" s="849"/>
      <c r="H121" s="849"/>
    </row>
    <row r="122" spans="1:8">
      <c r="A122" s="850"/>
      <c r="B122" s="851" t="s">
        <v>493</v>
      </c>
      <c r="C122" s="852"/>
      <c r="D122" s="851" t="s">
        <v>494</v>
      </c>
      <c r="E122" s="853"/>
      <c r="F122" s="852"/>
      <c r="G122" s="851" t="s">
        <v>495</v>
      </c>
      <c r="H122" s="852"/>
    </row>
    <row r="123" spans="1:8">
      <c r="A123" s="850" t="s">
        <v>496</v>
      </c>
      <c r="B123" s="850" t="s">
        <v>131</v>
      </c>
      <c r="C123" s="850" t="s">
        <v>497</v>
      </c>
      <c r="D123" s="850" t="s">
        <v>131</v>
      </c>
      <c r="E123" s="850" t="s">
        <v>498</v>
      </c>
      <c r="F123" s="850" t="s">
        <v>499</v>
      </c>
      <c r="G123" s="850" t="s">
        <v>131</v>
      </c>
      <c r="H123" s="850" t="s">
        <v>500</v>
      </c>
    </row>
    <row r="124" spans="1:8">
      <c r="A124" s="850" t="s">
        <v>501</v>
      </c>
      <c r="B124" s="850">
        <v>1173</v>
      </c>
      <c r="C124" s="854">
        <v>0.37</v>
      </c>
      <c r="D124" s="850">
        <v>318</v>
      </c>
      <c r="E124" s="854">
        <v>0.41</v>
      </c>
      <c r="F124" s="854">
        <v>0.27</v>
      </c>
      <c r="G124" s="850">
        <v>571</v>
      </c>
      <c r="H124" s="854">
        <v>0.39</v>
      </c>
    </row>
    <row r="125" spans="1:8">
      <c r="A125" s="850" t="s">
        <v>502</v>
      </c>
      <c r="B125" s="850">
        <v>1390</v>
      </c>
      <c r="C125" s="854">
        <v>0.44</v>
      </c>
      <c r="D125" s="850">
        <v>359</v>
      </c>
      <c r="E125" s="854">
        <v>0.47</v>
      </c>
      <c r="F125" s="854">
        <v>0.26</v>
      </c>
      <c r="G125" s="850">
        <v>653</v>
      </c>
      <c r="H125" s="854">
        <v>0.45</v>
      </c>
    </row>
    <row r="126" spans="1:8">
      <c r="A126" s="850" t="s">
        <v>503</v>
      </c>
      <c r="B126" s="850">
        <v>53</v>
      </c>
      <c r="C126" s="854">
        <v>0.02</v>
      </c>
      <c r="D126" s="850">
        <v>5</v>
      </c>
      <c r="E126" s="854">
        <v>0.01</v>
      </c>
      <c r="F126" s="854">
        <v>0.09</v>
      </c>
      <c r="G126" s="850">
        <v>8</v>
      </c>
      <c r="H126" s="854">
        <v>0.01</v>
      </c>
    </row>
    <row r="127" spans="1:8">
      <c r="A127" s="850" t="s">
        <v>504</v>
      </c>
      <c r="B127" s="850">
        <v>564</v>
      </c>
      <c r="C127" s="854">
        <v>0.18</v>
      </c>
      <c r="D127" s="850">
        <v>90</v>
      </c>
      <c r="E127" s="854">
        <v>0.12</v>
      </c>
      <c r="F127" s="854">
        <v>0.16</v>
      </c>
      <c r="G127" s="850">
        <v>219</v>
      </c>
      <c r="H127" s="854">
        <v>0.15</v>
      </c>
    </row>
    <row r="128" spans="1:8">
      <c r="A128" s="850" t="s">
        <v>505</v>
      </c>
      <c r="B128" s="855">
        <v>3180</v>
      </c>
      <c r="C128" s="850"/>
      <c r="D128" s="850">
        <v>772</v>
      </c>
      <c r="E128" s="850"/>
      <c r="F128" s="850"/>
      <c r="G128" s="850">
        <v>1451</v>
      </c>
      <c r="H128" s="850"/>
    </row>
    <row r="129" spans="1:8" ht="15">
      <c r="A129" s="856"/>
      <c r="B129" s="856"/>
      <c r="C129" s="856"/>
      <c r="D129" s="856"/>
      <c r="E129" s="856"/>
      <c r="F129" s="856"/>
      <c r="G129" s="856"/>
      <c r="H129" s="856"/>
    </row>
    <row r="130" spans="1:8">
      <c r="A130" s="847" t="s">
        <v>697</v>
      </c>
      <c r="B130" s="847"/>
      <c r="C130" s="847"/>
      <c r="D130" s="847"/>
      <c r="E130" s="847"/>
      <c r="F130" s="847"/>
      <c r="G130" s="847"/>
      <c r="H130" s="847"/>
    </row>
    <row r="131" spans="1:8">
      <c r="A131" s="844" t="s">
        <v>698</v>
      </c>
      <c r="B131" s="844"/>
      <c r="C131" s="844"/>
      <c r="D131" s="844"/>
      <c r="E131" s="844"/>
      <c r="F131" s="844"/>
      <c r="G131" s="844"/>
      <c r="H131" s="844"/>
    </row>
    <row r="132" spans="1:8">
      <c r="A132" s="844" t="s">
        <v>699</v>
      </c>
      <c r="B132" s="844"/>
      <c r="C132" s="844"/>
      <c r="D132" s="844"/>
      <c r="E132" s="844"/>
      <c r="F132" s="844"/>
      <c r="G132" s="844"/>
      <c r="H132" s="844"/>
    </row>
    <row r="133" spans="1:8">
      <c r="A133" s="844" t="s">
        <v>700</v>
      </c>
      <c r="B133" s="844"/>
      <c r="C133" s="844"/>
      <c r="D133" s="844"/>
      <c r="E133" s="844"/>
      <c r="F133" s="844"/>
      <c r="G133" s="844"/>
      <c r="H133" s="844"/>
    </row>
    <row r="134" spans="1:8" ht="15">
      <c r="A134" s="843"/>
      <c r="B134" s="843"/>
      <c r="C134" s="843"/>
      <c r="D134" s="843"/>
      <c r="E134" s="843"/>
      <c r="F134" s="843"/>
      <c r="G134" s="843"/>
      <c r="H134" s="843"/>
    </row>
    <row r="135" spans="1:8" ht="15.75">
      <c r="A135" s="845" t="s">
        <v>506</v>
      </c>
      <c r="B135" s="843"/>
      <c r="C135" s="843"/>
      <c r="D135" s="843"/>
      <c r="E135" s="843"/>
      <c r="F135" s="843"/>
      <c r="G135" s="843"/>
      <c r="H135" s="843"/>
    </row>
    <row r="136" spans="1:8" ht="15">
      <c r="A136" s="843"/>
      <c r="B136" s="843"/>
      <c r="C136" s="843"/>
      <c r="D136" s="843"/>
      <c r="E136" s="843"/>
      <c r="F136" s="843"/>
      <c r="G136" s="843"/>
      <c r="H136" s="843"/>
    </row>
    <row r="137" spans="1:8" ht="15">
      <c r="A137" s="844" t="s">
        <v>695</v>
      </c>
      <c r="B137" s="843"/>
      <c r="C137" s="843"/>
      <c r="D137" s="843"/>
      <c r="E137" s="843"/>
      <c r="F137" s="843"/>
      <c r="G137" s="843"/>
      <c r="H137" s="843"/>
    </row>
    <row r="138" spans="1:8" ht="15">
      <c r="A138" s="844" t="s">
        <v>696</v>
      </c>
      <c r="B138" s="843"/>
      <c r="C138" s="843"/>
      <c r="D138" s="843"/>
      <c r="E138" s="843"/>
      <c r="F138" s="843"/>
      <c r="G138" s="843"/>
      <c r="H138" s="843"/>
    </row>
    <row r="139" spans="1:8" ht="15">
      <c r="A139" s="843"/>
      <c r="B139" s="843"/>
      <c r="C139" s="843"/>
      <c r="D139" s="843"/>
      <c r="E139" s="843"/>
      <c r="F139" s="843"/>
      <c r="G139" s="843"/>
      <c r="H139" s="843"/>
    </row>
    <row r="140" spans="1:8" ht="15">
      <c r="A140" s="844" t="s">
        <v>692</v>
      </c>
      <c r="B140" s="843"/>
      <c r="C140" s="843"/>
      <c r="D140" s="843"/>
      <c r="E140" s="843"/>
      <c r="F140" s="843"/>
      <c r="G140" s="843"/>
      <c r="H140" s="843"/>
    </row>
    <row r="141" spans="1:8" ht="15">
      <c r="A141" s="844" t="s">
        <v>693</v>
      </c>
      <c r="B141" s="843"/>
      <c r="C141" s="843"/>
      <c r="D141" s="843"/>
      <c r="E141" s="843"/>
      <c r="F141" s="843"/>
      <c r="G141" s="843"/>
      <c r="H141" s="843"/>
    </row>
    <row r="142" spans="1:8" ht="15">
      <c r="A142" s="844" t="s">
        <v>694</v>
      </c>
      <c r="B142" s="843"/>
      <c r="C142" s="843"/>
      <c r="D142" s="843"/>
      <c r="E142" s="843"/>
      <c r="F142" s="843"/>
      <c r="G142" s="843"/>
      <c r="H142" s="843"/>
    </row>
    <row r="143" spans="1:8" ht="15">
      <c r="A143" s="843"/>
      <c r="B143" s="843"/>
      <c r="C143" s="843"/>
      <c r="D143" s="843"/>
      <c r="E143" s="843"/>
      <c r="F143" s="843"/>
      <c r="G143" s="843"/>
      <c r="H143" s="843"/>
    </row>
    <row r="144" spans="1:8" ht="15">
      <c r="A144" s="844" t="s">
        <v>689</v>
      </c>
      <c r="B144" s="843"/>
      <c r="C144" s="843"/>
      <c r="D144" s="843"/>
      <c r="E144" s="843"/>
      <c r="F144" s="843"/>
      <c r="G144" s="843"/>
      <c r="H144" s="843"/>
    </row>
    <row r="145" spans="1:8" ht="15">
      <c r="A145" s="844" t="s">
        <v>690</v>
      </c>
      <c r="B145" s="843"/>
      <c r="C145" s="843"/>
      <c r="D145" s="843"/>
      <c r="E145" s="843"/>
      <c r="F145" s="843"/>
      <c r="G145" s="843"/>
      <c r="H145" s="843"/>
    </row>
    <row r="146" spans="1:8" ht="15">
      <c r="A146" s="844" t="s">
        <v>691</v>
      </c>
      <c r="B146" s="843"/>
      <c r="C146" s="843"/>
      <c r="D146" s="843"/>
      <c r="E146" s="843"/>
      <c r="F146" s="843"/>
      <c r="G146" s="843"/>
      <c r="H146" s="843"/>
    </row>
    <row r="147" spans="1:8" ht="15">
      <c r="A147" s="843"/>
      <c r="B147" s="843"/>
      <c r="C147" s="843"/>
      <c r="D147" s="843"/>
      <c r="E147" s="843"/>
      <c r="F147" s="843"/>
      <c r="G147" s="843"/>
      <c r="H147" s="843"/>
    </row>
    <row r="148" spans="1:8" ht="15">
      <c r="A148" s="844" t="s">
        <v>686</v>
      </c>
      <c r="B148" s="843"/>
      <c r="C148" s="843"/>
      <c r="D148" s="843"/>
      <c r="E148" s="843"/>
      <c r="F148" s="843"/>
      <c r="G148" s="843"/>
      <c r="H148" s="843"/>
    </row>
    <row r="149" spans="1:8" ht="15">
      <c r="A149" s="844" t="s">
        <v>687</v>
      </c>
      <c r="B149" s="843"/>
      <c r="C149" s="843"/>
      <c r="D149" s="843"/>
      <c r="E149" s="843"/>
      <c r="F149" s="843"/>
      <c r="G149" s="843"/>
      <c r="H149" s="843"/>
    </row>
    <row r="150" spans="1:8" ht="15">
      <c r="A150" s="844" t="s">
        <v>688</v>
      </c>
      <c r="B150" s="843"/>
      <c r="C150" s="843"/>
      <c r="D150" s="843"/>
      <c r="E150" s="843"/>
      <c r="F150" s="843"/>
      <c r="G150" s="843"/>
      <c r="H150" s="843"/>
    </row>
    <row r="151" spans="1:8" ht="15">
      <c r="A151" s="843"/>
      <c r="B151" s="843"/>
      <c r="C151" s="843"/>
      <c r="D151" s="843"/>
      <c r="E151" s="843"/>
      <c r="F151" s="843"/>
      <c r="G151" s="843"/>
      <c r="H151" s="843"/>
    </row>
    <row r="152" spans="1:8" ht="15">
      <c r="A152" s="844" t="s">
        <v>684</v>
      </c>
      <c r="B152" s="843"/>
      <c r="C152" s="843"/>
      <c r="D152" s="843"/>
      <c r="E152" s="843"/>
      <c r="F152" s="843"/>
      <c r="G152" s="843"/>
      <c r="H152" s="843"/>
    </row>
    <row r="153" spans="1:8" ht="15">
      <c r="A153" s="844" t="s">
        <v>685</v>
      </c>
      <c r="B153" s="843"/>
      <c r="C153" s="843"/>
      <c r="D153" s="843"/>
      <c r="E153" s="843"/>
      <c r="F153" s="843"/>
      <c r="G153" s="843"/>
      <c r="H153" s="843"/>
    </row>
    <row r="154" spans="1:8" ht="15">
      <c r="A154" s="843"/>
      <c r="B154" s="843"/>
      <c r="C154" s="843"/>
      <c r="D154" s="843"/>
      <c r="E154" s="843"/>
      <c r="F154" s="843"/>
      <c r="G154" s="843"/>
      <c r="H154" s="843"/>
    </row>
    <row r="155" spans="1:8" ht="15.75">
      <c r="A155" s="845" t="s">
        <v>507</v>
      </c>
      <c r="B155" s="843"/>
      <c r="C155" s="843"/>
      <c r="D155" s="843"/>
      <c r="E155" s="843"/>
      <c r="F155" s="843"/>
      <c r="G155" s="843"/>
      <c r="H155" s="843"/>
    </row>
    <row r="156" spans="1:8" ht="15">
      <c r="A156" s="843"/>
      <c r="B156" s="843"/>
      <c r="C156" s="843"/>
      <c r="D156" s="843"/>
      <c r="E156" s="843"/>
      <c r="F156" s="843"/>
      <c r="G156" s="843"/>
      <c r="H156" s="843"/>
    </row>
    <row r="157" spans="1:8" ht="15">
      <c r="A157" s="844" t="s">
        <v>682</v>
      </c>
      <c r="B157" s="843"/>
      <c r="C157" s="843"/>
      <c r="D157" s="843"/>
      <c r="E157" s="843"/>
      <c r="F157" s="843"/>
      <c r="G157" s="843"/>
      <c r="H157" s="843"/>
    </row>
    <row r="158" spans="1:8" ht="15">
      <c r="A158" s="844" t="s">
        <v>683</v>
      </c>
      <c r="B158" s="843"/>
      <c r="C158" s="843"/>
      <c r="D158" s="843"/>
      <c r="E158" s="843"/>
      <c r="F158" s="843"/>
      <c r="G158" s="843"/>
      <c r="H158" s="843"/>
    </row>
    <row r="159" spans="1:8" ht="15">
      <c r="A159" s="843"/>
      <c r="B159" s="843"/>
      <c r="C159" s="843"/>
      <c r="D159" s="843"/>
      <c r="E159" s="843"/>
      <c r="F159" s="843"/>
      <c r="G159" s="843"/>
      <c r="H159" s="843"/>
    </row>
    <row r="160" spans="1:8" ht="15">
      <c r="A160" s="844" t="s">
        <v>680</v>
      </c>
      <c r="B160" s="843"/>
      <c r="C160" s="843"/>
      <c r="D160" s="843"/>
      <c r="E160" s="843"/>
      <c r="F160" s="843"/>
      <c r="G160" s="843"/>
      <c r="H160" s="843"/>
    </row>
    <row r="161" spans="1:8" ht="15">
      <c r="A161" s="844" t="s">
        <v>681</v>
      </c>
      <c r="B161" s="843"/>
      <c r="C161" s="843"/>
      <c r="D161" s="843"/>
      <c r="E161" s="843"/>
      <c r="F161" s="843"/>
      <c r="G161" s="843"/>
      <c r="H161" s="843"/>
    </row>
    <row r="162" spans="1:8" ht="15">
      <c r="A162" s="843"/>
      <c r="B162" s="843"/>
      <c r="C162" s="843"/>
      <c r="D162" s="843"/>
      <c r="E162" s="843"/>
      <c r="F162" s="843"/>
      <c r="G162" s="843"/>
      <c r="H162" s="843"/>
    </row>
    <row r="163" spans="1:8" ht="15">
      <c r="A163" s="844" t="s">
        <v>678</v>
      </c>
      <c r="B163" s="843"/>
      <c r="C163" s="843"/>
      <c r="D163" s="843"/>
      <c r="E163" s="843"/>
      <c r="F163" s="843"/>
      <c r="G163" s="843"/>
      <c r="H163" s="843"/>
    </row>
    <row r="164" spans="1:8" ht="15">
      <c r="A164" s="844" t="s">
        <v>679</v>
      </c>
      <c r="B164" s="843"/>
      <c r="C164" s="843"/>
      <c r="D164" s="843"/>
      <c r="E164" s="843"/>
      <c r="F164" s="843"/>
      <c r="G164" s="843"/>
      <c r="H164" s="843"/>
    </row>
    <row r="165" spans="1:8" ht="15">
      <c r="A165" s="843"/>
      <c r="B165" s="843"/>
      <c r="C165" s="843"/>
      <c r="D165" s="843"/>
      <c r="E165" s="843"/>
      <c r="F165" s="843"/>
      <c r="G165" s="843"/>
      <c r="H165" s="843"/>
    </row>
    <row r="166" spans="1:8" ht="15">
      <c r="A166" s="844" t="s">
        <v>675</v>
      </c>
      <c r="B166" s="843"/>
      <c r="C166" s="843"/>
      <c r="D166" s="843"/>
      <c r="E166" s="843"/>
      <c r="F166" s="843"/>
      <c r="G166" s="843"/>
      <c r="H166" s="843"/>
    </row>
    <row r="167" spans="1:8" ht="15">
      <c r="A167" s="844" t="s">
        <v>676</v>
      </c>
      <c r="B167" s="843"/>
      <c r="C167" s="843"/>
      <c r="D167" s="843"/>
      <c r="E167" s="843"/>
      <c r="F167" s="843"/>
      <c r="G167" s="843"/>
      <c r="H167" s="843"/>
    </row>
    <row r="168" spans="1:8" ht="15">
      <c r="A168" s="844" t="s">
        <v>677</v>
      </c>
      <c r="B168" s="843"/>
      <c r="C168" s="843"/>
      <c r="D168" s="843"/>
      <c r="E168" s="843"/>
      <c r="F168" s="843"/>
      <c r="G168" s="843"/>
      <c r="H168" s="843"/>
    </row>
    <row r="169" spans="1:8" ht="15">
      <c r="A169" s="843"/>
      <c r="B169" s="843"/>
      <c r="C169" s="843"/>
      <c r="D169" s="843"/>
      <c r="E169" s="843"/>
      <c r="F169" s="843"/>
      <c r="G169" s="843"/>
      <c r="H169" s="843"/>
    </row>
    <row r="170" spans="1:8" ht="15">
      <c r="A170" s="843"/>
      <c r="B170" s="843"/>
      <c r="C170" s="843"/>
      <c r="D170" s="843"/>
      <c r="E170" s="843"/>
      <c r="F170" s="843"/>
      <c r="G170" s="843"/>
      <c r="H170" s="843"/>
    </row>
    <row r="171" spans="1:8" ht="15">
      <c r="A171" s="844" t="s">
        <v>396</v>
      </c>
      <c r="B171" s="843"/>
      <c r="C171" s="843"/>
      <c r="D171" s="843"/>
      <c r="E171" s="843"/>
      <c r="F171" s="843"/>
      <c r="G171" s="843"/>
      <c r="H171" s="843"/>
    </row>
    <row r="172" spans="1:8" ht="15">
      <c r="A172" s="843"/>
      <c r="B172" s="843"/>
      <c r="C172" s="843"/>
      <c r="D172" s="843"/>
      <c r="E172" s="843"/>
      <c r="F172" s="843"/>
      <c r="G172" s="843"/>
      <c r="H172" s="843"/>
    </row>
    <row r="173" spans="1:8" ht="15.75">
      <c r="A173" s="845" t="s">
        <v>508</v>
      </c>
      <c r="B173" s="843"/>
      <c r="C173" s="843"/>
      <c r="D173" s="843"/>
      <c r="E173" s="843"/>
      <c r="F173" s="843"/>
      <c r="G173" s="843"/>
      <c r="H173" s="843"/>
    </row>
    <row r="174" spans="1:8" ht="15">
      <c r="A174" s="843"/>
      <c r="B174" s="843"/>
      <c r="C174" s="843"/>
      <c r="D174" s="843"/>
      <c r="E174" s="843"/>
      <c r="F174" s="843"/>
      <c r="G174" s="843"/>
      <c r="H174" s="843"/>
    </row>
    <row r="175" spans="1:8" ht="15">
      <c r="A175" s="843"/>
      <c r="B175" s="843"/>
      <c r="C175" s="843"/>
      <c r="D175" s="843"/>
      <c r="E175" s="843"/>
      <c r="F175" s="843"/>
      <c r="G175" s="843"/>
      <c r="H175" s="843"/>
    </row>
    <row r="176" spans="1:8" ht="15">
      <c r="A176" s="843"/>
      <c r="B176" s="843"/>
      <c r="C176" s="843"/>
      <c r="D176" s="843"/>
      <c r="E176" s="843"/>
      <c r="F176" s="843"/>
      <c r="G176" s="843"/>
      <c r="H176" s="843"/>
    </row>
    <row r="177" spans="1:8" ht="15">
      <c r="A177" s="843"/>
      <c r="B177" s="843"/>
      <c r="C177" s="843"/>
      <c r="D177" s="843"/>
      <c r="E177" s="843"/>
      <c r="F177" s="843"/>
      <c r="G177" s="843"/>
      <c r="H177" s="843"/>
    </row>
    <row r="178" spans="1:8" ht="15">
      <c r="A178" s="843"/>
      <c r="B178" s="843"/>
      <c r="C178" s="843"/>
      <c r="D178" s="843"/>
      <c r="E178" s="843"/>
      <c r="F178" s="843"/>
      <c r="G178" s="843"/>
      <c r="H178" s="843"/>
    </row>
    <row r="179" spans="1:8" ht="15">
      <c r="A179" s="843"/>
      <c r="B179" s="843"/>
      <c r="C179" s="843"/>
      <c r="D179" s="843"/>
      <c r="E179" s="843"/>
      <c r="F179" s="843"/>
      <c r="G179" s="843"/>
      <c r="H179" s="843"/>
    </row>
    <row r="180" spans="1:8" ht="15">
      <c r="A180" s="843"/>
      <c r="B180" s="843"/>
      <c r="C180" s="843"/>
      <c r="D180" s="843"/>
      <c r="E180" s="843"/>
      <c r="F180" s="843"/>
      <c r="G180" s="843"/>
      <c r="H180" s="843"/>
    </row>
    <row r="181" spans="1:8" ht="15">
      <c r="A181" s="843"/>
      <c r="B181" s="843"/>
      <c r="C181" s="843"/>
      <c r="D181" s="843"/>
      <c r="E181" s="843"/>
      <c r="F181" s="843"/>
      <c r="G181" s="843"/>
      <c r="H181" s="843"/>
    </row>
    <row r="182" spans="1:8" ht="15">
      <c r="A182" s="843"/>
      <c r="B182" s="843"/>
      <c r="C182" s="843"/>
      <c r="D182" s="843"/>
      <c r="E182" s="843"/>
      <c r="F182" s="843"/>
      <c r="G182" s="843"/>
      <c r="H182" s="843"/>
    </row>
    <row r="183" spans="1:8" ht="15">
      <c r="A183" s="843"/>
      <c r="B183" s="843"/>
      <c r="C183" s="843"/>
      <c r="D183" s="843"/>
      <c r="E183" s="843"/>
      <c r="F183" s="843"/>
      <c r="G183" s="843"/>
      <c r="H183" s="843"/>
    </row>
    <row r="184" spans="1:8" ht="15">
      <c r="A184" s="843"/>
      <c r="B184" s="843"/>
      <c r="C184" s="843"/>
      <c r="D184" s="843"/>
      <c r="E184" s="843"/>
      <c r="F184" s="843"/>
      <c r="G184" s="843"/>
      <c r="H184" s="843"/>
    </row>
    <row r="185" spans="1:8" ht="15">
      <c r="A185" s="843"/>
      <c r="B185" s="843"/>
      <c r="C185" s="843"/>
      <c r="D185" s="843"/>
      <c r="E185" s="843"/>
      <c r="F185" s="843"/>
      <c r="G185" s="843"/>
      <c r="H185" s="843"/>
    </row>
    <row r="186" spans="1:8" ht="15">
      <c r="A186" s="843"/>
      <c r="B186" s="843"/>
      <c r="C186" s="843"/>
      <c r="D186" s="843"/>
      <c r="E186" s="843"/>
      <c r="F186" s="843"/>
      <c r="G186" s="843"/>
      <c r="H186" s="843"/>
    </row>
    <row r="187" spans="1:8" ht="15">
      <c r="A187" s="843"/>
      <c r="B187" s="843"/>
      <c r="C187" s="843"/>
      <c r="D187" s="843"/>
      <c r="E187" s="843"/>
      <c r="F187" s="843"/>
      <c r="G187" s="843"/>
      <c r="H187" s="843"/>
    </row>
    <row r="188" spans="1:8" ht="15">
      <c r="A188" s="843"/>
      <c r="B188" s="843"/>
      <c r="C188" s="843"/>
      <c r="D188" s="843"/>
      <c r="E188" s="843"/>
      <c r="F188" s="843"/>
      <c r="G188" s="843"/>
      <c r="H188" s="843"/>
    </row>
    <row r="189" spans="1:8" ht="15">
      <c r="A189" s="843"/>
      <c r="B189" s="843"/>
      <c r="C189" s="843"/>
      <c r="D189" s="843"/>
      <c r="E189" s="843"/>
      <c r="F189" s="843"/>
      <c r="G189" s="843"/>
      <c r="H189" s="843"/>
    </row>
    <row r="190" spans="1:8" ht="15">
      <c r="A190" s="843"/>
      <c r="B190" s="843"/>
      <c r="C190" s="843"/>
      <c r="D190" s="843"/>
      <c r="E190" s="843"/>
      <c r="F190" s="843"/>
      <c r="G190" s="843"/>
      <c r="H190" s="843"/>
    </row>
    <row r="191" spans="1:8" ht="15">
      <c r="A191" s="843"/>
      <c r="B191" s="843"/>
      <c r="C191" s="843"/>
      <c r="D191" s="843"/>
      <c r="E191" s="843"/>
      <c r="F191" s="843"/>
      <c r="G191" s="843"/>
      <c r="H191" s="843"/>
    </row>
    <row r="192" spans="1:8" ht="15">
      <c r="A192" s="843"/>
      <c r="B192" s="843"/>
      <c r="C192" s="843"/>
      <c r="D192" s="843"/>
      <c r="E192" s="843"/>
      <c r="F192" s="843"/>
      <c r="G192" s="843"/>
      <c r="H192" s="843"/>
    </row>
    <row r="193" spans="1:8" ht="15">
      <c r="A193" s="843"/>
      <c r="B193" s="843"/>
      <c r="C193" s="843"/>
      <c r="D193" s="843"/>
      <c r="E193" s="843"/>
      <c r="F193" s="843"/>
      <c r="G193" s="843"/>
      <c r="H193" s="843"/>
    </row>
    <row r="194" spans="1:8" ht="15">
      <c r="A194" s="843"/>
      <c r="B194" s="843"/>
      <c r="C194" s="843"/>
      <c r="D194" s="843"/>
      <c r="E194" s="843"/>
      <c r="F194" s="843"/>
      <c r="G194" s="843"/>
      <c r="H194" s="843"/>
    </row>
    <row r="195" spans="1:8" ht="15">
      <c r="A195" s="843"/>
      <c r="B195" s="843"/>
      <c r="C195" s="843"/>
      <c r="D195" s="843"/>
      <c r="E195" s="843"/>
      <c r="F195" s="843"/>
      <c r="G195" s="843"/>
      <c r="H195" s="843"/>
    </row>
    <row r="196" spans="1:8" ht="15">
      <c r="A196" s="843"/>
      <c r="B196" s="843"/>
      <c r="C196" s="843"/>
      <c r="D196" s="843"/>
      <c r="E196" s="843"/>
      <c r="F196" s="843"/>
      <c r="G196" s="843"/>
      <c r="H196" s="843"/>
    </row>
    <row r="197" spans="1:8" ht="15">
      <c r="A197" s="843"/>
      <c r="B197" s="843"/>
      <c r="C197" s="843"/>
      <c r="D197" s="843"/>
      <c r="E197" s="843"/>
      <c r="F197" s="843"/>
      <c r="G197" s="843"/>
      <c r="H197" s="843"/>
    </row>
    <row r="198" spans="1:8" ht="15">
      <c r="A198" s="843"/>
      <c r="B198" s="843"/>
      <c r="C198" s="843"/>
      <c r="D198" s="843"/>
      <c r="E198" s="843"/>
      <c r="F198" s="843"/>
      <c r="G198" s="843"/>
      <c r="H198" s="843"/>
    </row>
    <row r="199" spans="1:8" ht="15">
      <c r="A199" s="843"/>
      <c r="B199" s="843"/>
      <c r="C199" s="843"/>
      <c r="D199" s="843"/>
      <c r="E199" s="843"/>
      <c r="F199" s="843"/>
      <c r="G199" s="843"/>
      <c r="H199" s="843"/>
    </row>
    <row r="200" spans="1:8" ht="15.75">
      <c r="A200" s="845" t="s">
        <v>509</v>
      </c>
      <c r="B200" s="843"/>
      <c r="C200" s="843"/>
      <c r="D200" s="843"/>
      <c r="E200" s="843"/>
      <c r="F200" s="843"/>
      <c r="G200" s="843"/>
      <c r="H200" s="843"/>
    </row>
    <row r="201" spans="1:8" ht="15">
      <c r="A201" s="843"/>
      <c r="B201" s="843"/>
      <c r="C201" s="843"/>
      <c r="D201" s="843"/>
      <c r="E201" s="843"/>
      <c r="F201" s="843"/>
      <c r="G201" s="843"/>
      <c r="H201" s="843"/>
    </row>
    <row r="202" spans="1:8" ht="15">
      <c r="A202" s="844" t="s">
        <v>670</v>
      </c>
      <c r="B202" s="843"/>
      <c r="C202" s="843"/>
      <c r="D202" s="843"/>
      <c r="E202" s="843"/>
      <c r="F202" s="843"/>
      <c r="G202" s="843"/>
      <c r="H202" s="843"/>
    </row>
    <row r="203" spans="1:8" ht="15">
      <c r="A203" s="844" t="s">
        <v>671</v>
      </c>
      <c r="B203" s="843"/>
      <c r="C203" s="843"/>
      <c r="D203" s="843"/>
      <c r="E203" s="843"/>
      <c r="F203" s="843"/>
      <c r="G203" s="843"/>
      <c r="H203" s="843"/>
    </row>
    <row r="204" spans="1:8" ht="15">
      <c r="A204" s="844" t="s">
        <v>672</v>
      </c>
      <c r="B204" s="843"/>
      <c r="C204" s="843"/>
      <c r="D204" s="843"/>
      <c r="E204" s="843"/>
      <c r="F204" s="843"/>
      <c r="G204" s="843"/>
      <c r="H204" s="843"/>
    </row>
    <row r="205" spans="1:8" ht="15">
      <c r="A205" s="844" t="s">
        <v>673</v>
      </c>
      <c r="B205" s="843"/>
      <c r="C205" s="843"/>
      <c r="D205" s="843"/>
      <c r="E205" s="843"/>
      <c r="F205" s="843"/>
      <c r="G205" s="843"/>
      <c r="H205" s="843"/>
    </row>
    <row r="206" spans="1:8" ht="15">
      <c r="A206" s="844" t="s">
        <v>674</v>
      </c>
      <c r="B206" s="843"/>
      <c r="C206" s="843"/>
      <c r="D206" s="843"/>
      <c r="E206" s="843"/>
      <c r="F206" s="843"/>
      <c r="G206" s="843"/>
      <c r="H206" s="843"/>
    </row>
    <row r="207" spans="1:8" ht="15">
      <c r="A207" s="843"/>
      <c r="B207" s="843"/>
      <c r="C207" s="843"/>
      <c r="D207" s="843"/>
      <c r="E207" s="843"/>
      <c r="F207" s="843"/>
      <c r="G207" s="843"/>
      <c r="H207" s="843"/>
    </row>
    <row r="208" spans="1:8" ht="15">
      <c r="A208" s="844" t="s">
        <v>667</v>
      </c>
      <c r="B208" s="843"/>
      <c r="C208" s="843"/>
      <c r="D208" s="843"/>
      <c r="E208" s="843"/>
      <c r="F208" s="843"/>
      <c r="G208" s="843"/>
      <c r="H208" s="843"/>
    </row>
    <row r="209" spans="1:8" ht="15">
      <c r="A209" s="844" t="s">
        <v>668</v>
      </c>
      <c r="B209" s="843"/>
      <c r="C209" s="843"/>
      <c r="D209" s="843"/>
      <c r="E209" s="843"/>
      <c r="F209" s="843"/>
      <c r="G209" s="843"/>
      <c r="H209" s="843"/>
    </row>
    <row r="210" spans="1:8" ht="15">
      <c r="A210" s="844" t="s">
        <v>669</v>
      </c>
      <c r="B210" s="843"/>
      <c r="C210" s="843"/>
      <c r="D210" s="843"/>
      <c r="E210" s="843"/>
      <c r="F210" s="843"/>
      <c r="G210" s="843"/>
      <c r="H210" s="843"/>
    </row>
    <row r="211" spans="1:8" ht="15.75">
      <c r="A211" s="845" t="s">
        <v>510</v>
      </c>
      <c r="B211" s="843"/>
      <c r="C211" s="843"/>
      <c r="D211" s="843"/>
      <c r="E211" s="843"/>
      <c r="F211" s="843"/>
      <c r="G211" s="843"/>
      <c r="H211" s="843"/>
    </row>
    <row r="212" spans="1:8" ht="15">
      <c r="A212" s="843"/>
      <c r="B212" s="843"/>
      <c r="C212" s="843"/>
      <c r="D212" s="843"/>
      <c r="E212" s="843"/>
      <c r="F212" s="843"/>
      <c r="G212" s="843"/>
      <c r="H212" s="843"/>
    </row>
    <row r="213" spans="1:8" ht="15">
      <c r="A213" s="844" t="s">
        <v>665</v>
      </c>
      <c r="B213" s="843"/>
      <c r="C213" s="843"/>
      <c r="D213" s="843"/>
      <c r="E213" s="843"/>
      <c r="F213" s="843"/>
      <c r="G213" s="843"/>
      <c r="H213" s="843"/>
    </row>
    <row r="214" spans="1:8" ht="15">
      <c r="A214" s="844" t="s">
        <v>666</v>
      </c>
      <c r="B214" s="843"/>
      <c r="C214" s="843"/>
      <c r="D214" s="843"/>
      <c r="E214" s="843"/>
      <c r="F214" s="843"/>
      <c r="G214" s="843"/>
      <c r="H214" s="843"/>
    </row>
    <row r="215" spans="1:8" ht="15">
      <c r="A215" s="843"/>
      <c r="B215" s="843"/>
      <c r="C215" s="843"/>
      <c r="D215" s="843"/>
      <c r="E215" s="843"/>
      <c r="F215" s="843"/>
      <c r="G215" s="843"/>
      <c r="H215" s="843"/>
    </row>
    <row r="216" spans="1:8" ht="15">
      <c r="A216" s="844" t="s">
        <v>658</v>
      </c>
      <c r="B216" s="843"/>
      <c r="C216" s="843"/>
      <c r="D216" s="843"/>
      <c r="E216" s="843"/>
      <c r="F216" s="843"/>
      <c r="G216" s="843"/>
      <c r="H216" s="843"/>
    </row>
    <row r="217" spans="1:8" ht="15">
      <c r="A217" s="844" t="s">
        <v>659</v>
      </c>
      <c r="B217" s="843"/>
      <c r="C217" s="843"/>
      <c r="D217" s="843"/>
      <c r="E217" s="843"/>
      <c r="F217" s="843"/>
      <c r="G217" s="843"/>
      <c r="H217" s="843"/>
    </row>
    <row r="218" spans="1:8" ht="15">
      <c r="A218" s="844" t="s">
        <v>660</v>
      </c>
      <c r="B218" s="843"/>
      <c r="C218" s="843"/>
      <c r="D218" s="843"/>
      <c r="E218" s="843"/>
      <c r="F218" s="843"/>
      <c r="G218" s="843"/>
      <c r="H218" s="843"/>
    </row>
    <row r="219" spans="1:8" ht="15">
      <c r="A219" s="844" t="s">
        <v>661</v>
      </c>
      <c r="B219" s="843"/>
      <c r="C219" s="843"/>
      <c r="D219" s="843"/>
      <c r="E219" s="843"/>
      <c r="F219" s="843"/>
      <c r="G219" s="843"/>
      <c r="H219" s="843"/>
    </row>
    <row r="220" spans="1:8" ht="15">
      <c r="A220" s="844" t="s">
        <v>662</v>
      </c>
      <c r="B220" s="843"/>
      <c r="C220" s="843"/>
      <c r="D220" s="843"/>
      <c r="E220" s="843"/>
      <c r="F220" s="843"/>
      <c r="G220" s="843"/>
      <c r="H220" s="843"/>
    </row>
    <row r="221" spans="1:8" ht="15">
      <c r="A221" s="844" t="s">
        <v>663</v>
      </c>
      <c r="B221" s="843"/>
      <c r="C221" s="843"/>
      <c r="D221" s="843"/>
      <c r="E221" s="843"/>
      <c r="F221" s="843"/>
      <c r="G221" s="843"/>
      <c r="H221" s="843"/>
    </row>
    <row r="222" spans="1:8" ht="15">
      <c r="A222" s="844" t="s">
        <v>664</v>
      </c>
      <c r="B222" s="843"/>
      <c r="C222" s="843"/>
      <c r="D222" s="843"/>
      <c r="E222" s="843"/>
      <c r="F222" s="843"/>
      <c r="G222" s="843"/>
      <c r="H222" s="843"/>
    </row>
    <row r="223" spans="1:8" ht="15">
      <c r="A223" s="843"/>
      <c r="B223" s="843"/>
      <c r="C223" s="843"/>
      <c r="D223" s="843"/>
      <c r="E223" s="843"/>
      <c r="F223" s="843"/>
      <c r="G223" s="843"/>
      <c r="H223" s="843"/>
    </row>
    <row r="224" spans="1:8" ht="15">
      <c r="A224" s="844" t="s">
        <v>655</v>
      </c>
      <c r="B224" s="843"/>
      <c r="C224" s="843"/>
      <c r="D224" s="843"/>
      <c r="E224" s="843"/>
      <c r="F224" s="843"/>
      <c r="G224" s="843"/>
      <c r="H224" s="843"/>
    </row>
    <row r="225" spans="1:8" ht="15">
      <c r="A225" s="844" t="s">
        <v>656</v>
      </c>
      <c r="B225" s="843"/>
      <c r="C225" s="843"/>
      <c r="D225" s="843"/>
      <c r="E225" s="843"/>
      <c r="F225" s="843"/>
      <c r="G225" s="843"/>
      <c r="H225" s="843"/>
    </row>
    <row r="226" spans="1:8" ht="15">
      <c r="A226" s="844" t="s">
        <v>657</v>
      </c>
      <c r="B226" s="843"/>
      <c r="C226" s="843"/>
      <c r="D226" s="843"/>
      <c r="E226" s="843"/>
      <c r="F226" s="843"/>
      <c r="G226" s="843"/>
      <c r="H226" s="843"/>
    </row>
    <row r="227" spans="1:8" ht="15">
      <c r="A227" s="843"/>
      <c r="B227" s="843"/>
      <c r="C227" s="843"/>
      <c r="D227" s="843"/>
      <c r="E227" s="843"/>
      <c r="F227" s="843"/>
      <c r="G227" s="843"/>
      <c r="H227" s="843"/>
    </row>
    <row r="228" spans="1:8" ht="15">
      <c r="A228" s="844" t="s">
        <v>650</v>
      </c>
      <c r="B228" s="843"/>
      <c r="C228" s="843"/>
      <c r="D228" s="843"/>
      <c r="E228" s="843"/>
      <c r="F228" s="843"/>
      <c r="G228" s="843"/>
      <c r="H228" s="843"/>
    </row>
    <row r="229" spans="1:8" ht="15">
      <c r="A229" s="844" t="s">
        <v>651</v>
      </c>
      <c r="B229" s="843"/>
      <c r="C229" s="843"/>
      <c r="D229" s="843"/>
      <c r="E229" s="843"/>
      <c r="F229" s="843"/>
      <c r="G229" s="843"/>
      <c r="H229" s="843"/>
    </row>
    <row r="230" spans="1:8" ht="15">
      <c r="A230" s="844" t="s">
        <v>652</v>
      </c>
      <c r="B230" s="843"/>
      <c r="C230" s="843"/>
      <c r="D230" s="843"/>
      <c r="E230" s="843"/>
      <c r="F230" s="843"/>
      <c r="G230" s="843"/>
      <c r="H230" s="843"/>
    </row>
    <row r="231" spans="1:8" ht="15">
      <c r="A231" s="844" t="s">
        <v>653</v>
      </c>
      <c r="B231" s="843"/>
      <c r="C231" s="843"/>
      <c r="D231" s="843"/>
      <c r="E231" s="843"/>
      <c r="F231" s="843"/>
      <c r="G231" s="843"/>
      <c r="H231" s="843"/>
    </row>
    <row r="232" spans="1:8" ht="15">
      <c r="A232" s="844" t="s">
        <v>654</v>
      </c>
      <c r="B232" s="843"/>
      <c r="C232" s="843"/>
      <c r="D232" s="843"/>
      <c r="E232" s="843"/>
      <c r="F232" s="843"/>
      <c r="G232" s="843"/>
      <c r="H232" s="843"/>
    </row>
    <row r="233" spans="1:8" ht="15">
      <c r="A233" s="843"/>
      <c r="B233" s="843"/>
      <c r="C233" s="843"/>
      <c r="D233" s="843"/>
      <c r="E233" s="843"/>
      <c r="F233" s="843"/>
      <c r="G233" s="843"/>
      <c r="H233" s="843"/>
    </row>
    <row r="234" spans="1:8" ht="15">
      <c r="A234" s="844" t="s">
        <v>644</v>
      </c>
      <c r="B234" s="843"/>
      <c r="C234" s="843"/>
      <c r="D234" s="843"/>
      <c r="E234" s="843"/>
      <c r="F234" s="843"/>
      <c r="G234" s="843"/>
      <c r="H234" s="843"/>
    </row>
    <row r="235" spans="1:8" ht="15">
      <c r="A235" s="844" t="s">
        <v>645</v>
      </c>
      <c r="B235" s="843"/>
      <c r="C235" s="843"/>
      <c r="D235" s="843"/>
      <c r="E235" s="843"/>
      <c r="F235" s="843"/>
      <c r="G235" s="843"/>
      <c r="H235" s="843"/>
    </row>
    <row r="236" spans="1:8" ht="15">
      <c r="A236" s="844" t="s">
        <v>646</v>
      </c>
      <c r="B236" s="843"/>
      <c r="C236" s="843"/>
      <c r="D236" s="843"/>
      <c r="E236" s="843"/>
      <c r="F236" s="843"/>
      <c r="G236" s="843"/>
      <c r="H236" s="843"/>
    </row>
    <row r="237" spans="1:8" ht="15">
      <c r="A237" s="844" t="s">
        <v>647</v>
      </c>
      <c r="B237" s="843"/>
      <c r="C237" s="843"/>
      <c r="D237" s="843"/>
      <c r="E237" s="843"/>
      <c r="F237" s="843"/>
      <c r="G237" s="843"/>
      <c r="H237" s="843"/>
    </row>
    <row r="238" spans="1:8" ht="15">
      <c r="A238" s="844" t="s">
        <v>648</v>
      </c>
      <c r="B238" s="843"/>
      <c r="C238" s="843"/>
      <c r="D238" s="843"/>
      <c r="E238" s="843"/>
      <c r="F238" s="843"/>
      <c r="G238" s="843"/>
      <c r="H238" s="843"/>
    </row>
    <row r="239" spans="1:8" ht="15">
      <c r="A239" s="844" t="s">
        <v>649</v>
      </c>
      <c r="B239" s="843"/>
      <c r="C239" s="843"/>
      <c r="D239" s="843"/>
      <c r="E239" s="843"/>
      <c r="F239" s="843"/>
      <c r="G239" s="843"/>
      <c r="H239" s="843"/>
    </row>
    <row r="240" spans="1:8" ht="15">
      <c r="A240" s="843"/>
      <c r="B240" s="843"/>
      <c r="C240" s="843"/>
      <c r="D240" s="843"/>
      <c r="E240" s="843"/>
      <c r="F240" s="843"/>
      <c r="G240" s="843"/>
      <c r="H240" s="843"/>
    </row>
    <row r="241" spans="1:8" ht="15">
      <c r="A241" s="844" t="s">
        <v>634</v>
      </c>
      <c r="B241" s="843"/>
      <c r="C241" s="843"/>
      <c r="D241" s="843"/>
      <c r="E241" s="843"/>
      <c r="F241" s="843"/>
      <c r="G241" s="843"/>
      <c r="H241" s="843"/>
    </row>
    <row r="242" spans="1:8" ht="15">
      <c r="A242" s="844" t="s">
        <v>635</v>
      </c>
      <c r="B242" s="843"/>
      <c r="C242" s="843"/>
      <c r="D242" s="843"/>
      <c r="E242" s="843"/>
      <c r="F242" s="843"/>
      <c r="G242" s="843"/>
      <c r="H242" s="843"/>
    </row>
    <row r="243" spans="1:8" ht="15">
      <c r="A243" s="844" t="s">
        <v>636</v>
      </c>
      <c r="B243" s="843"/>
      <c r="C243" s="843"/>
      <c r="D243" s="843"/>
      <c r="E243" s="843"/>
      <c r="F243" s="843"/>
      <c r="G243" s="843"/>
      <c r="H243" s="843"/>
    </row>
    <row r="244" spans="1:8" ht="15">
      <c r="A244" s="844" t="s">
        <v>637</v>
      </c>
      <c r="B244" s="843"/>
      <c r="C244" s="843"/>
      <c r="D244" s="843"/>
      <c r="E244" s="843"/>
      <c r="F244" s="843"/>
      <c r="G244" s="843"/>
      <c r="H244" s="843"/>
    </row>
    <row r="245" spans="1:8" ht="15">
      <c r="A245" s="844" t="s">
        <v>638</v>
      </c>
      <c r="B245" s="843"/>
      <c r="C245" s="843"/>
      <c r="D245" s="843"/>
      <c r="E245" s="843"/>
      <c r="F245" s="843"/>
      <c r="G245" s="843"/>
      <c r="H245" s="843"/>
    </row>
    <row r="246" spans="1:8" ht="15">
      <c r="A246" s="844" t="s">
        <v>639</v>
      </c>
      <c r="B246" s="843"/>
      <c r="C246" s="843"/>
      <c r="D246" s="843"/>
      <c r="E246" s="843"/>
      <c r="F246" s="843"/>
      <c r="G246" s="843"/>
      <c r="H246" s="843"/>
    </row>
    <row r="247" spans="1:8" ht="15">
      <c r="A247" s="844" t="s">
        <v>640</v>
      </c>
      <c r="B247" s="843"/>
      <c r="C247" s="843"/>
      <c r="D247" s="843"/>
      <c r="E247" s="843"/>
      <c r="F247" s="843"/>
      <c r="G247" s="843"/>
      <c r="H247" s="843"/>
    </row>
    <row r="248" spans="1:8" ht="15">
      <c r="A248" s="844" t="s">
        <v>641</v>
      </c>
      <c r="B248" s="843"/>
      <c r="C248" s="843"/>
      <c r="D248" s="843"/>
      <c r="E248" s="843"/>
      <c r="F248" s="843"/>
      <c r="G248" s="843"/>
      <c r="H248" s="843"/>
    </row>
    <row r="249" spans="1:8" ht="15">
      <c r="A249" s="844" t="s">
        <v>642</v>
      </c>
      <c r="B249" s="843"/>
      <c r="C249" s="843"/>
      <c r="D249" s="843"/>
      <c r="E249" s="843"/>
      <c r="F249" s="843"/>
      <c r="G249" s="843"/>
      <c r="H249" s="843"/>
    </row>
    <row r="250" spans="1:8" ht="15">
      <c r="A250" s="844" t="s">
        <v>643</v>
      </c>
      <c r="B250" s="843"/>
      <c r="C250" s="843"/>
      <c r="D250" s="843"/>
      <c r="E250" s="843"/>
      <c r="F250" s="843"/>
      <c r="G250" s="843"/>
      <c r="H250" s="843"/>
    </row>
    <row r="251" spans="1:8" ht="15">
      <c r="A251" s="843"/>
      <c r="B251" s="843"/>
      <c r="C251" s="843"/>
      <c r="D251" s="843"/>
      <c r="E251" s="843"/>
      <c r="F251" s="843"/>
      <c r="G251" s="843"/>
      <c r="H251" s="843"/>
    </row>
    <row r="252" spans="1:8" ht="15">
      <c r="A252" s="844" t="s">
        <v>632</v>
      </c>
      <c r="B252" s="843"/>
      <c r="C252" s="843"/>
      <c r="D252" s="843"/>
      <c r="E252" s="843"/>
      <c r="F252" s="843"/>
      <c r="G252" s="843"/>
      <c r="H252" s="843"/>
    </row>
    <row r="253" spans="1:8" ht="15">
      <c r="A253" s="844" t="s">
        <v>633</v>
      </c>
      <c r="B253" s="843"/>
      <c r="C253" s="843"/>
      <c r="D253" s="843"/>
      <c r="E253" s="843"/>
      <c r="F253" s="843"/>
      <c r="G253" s="843"/>
      <c r="H253" s="843"/>
    </row>
    <row r="254" spans="1:8" ht="15">
      <c r="A254" s="843"/>
      <c r="B254" s="843"/>
      <c r="C254" s="843"/>
      <c r="D254" s="843"/>
      <c r="E254" s="843"/>
      <c r="F254" s="843"/>
      <c r="G254" s="843"/>
      <c r="H254" s="843"/>
    </row>
    <row r="255" spans="1:8" ht="15">
      <c r="A255" s="844" t="s">
        <v>616</v>
      </c>
      <c r="B255" s="843"/>
      <c r="C255" s="843"/>
      <c r="D255" s="843"/>
      <c r="E255" s="843"/>
      <c r="F255" s="843"/>
      <c r="G255" s="843"/>
      <c r="H255" s="843"/>
    </row>
    <row r="256" spans="1:8" ht="15">
      <c r="A256" s="844" t="s">
        <v>617</v>
      </c>
      <c r="B256" s="843"/>
      <c r="C256" s="843"/>
      <c r="D256" s="843"/>
      <c r="E256" s="843"/>
      <c r="F256" s="843"/>
      <c r="G256" s="843"/>
      <c r="H256" s="843"/>
    </row>
    <row r="257" spans="1:8" ht="15">
      <c r="A257" s="844" t="s">
        <v>618</v>
      </c>
      <c r="B257" s="843"/>
      <c r="C257" s="843"/>
      <c r="D257" s="843"/>
      <c r="E257" s="843"/>
      <c r="F257" s="843"/>
      <c r="G257" s="843"/>
      <c r="H257" s="843"/>
    </row>
    <row r="258" spans="1:8" ht="15">
      <c r="A258" s="844" t="s">
        <v>619</v>
      </c>
      <c r="B258" s="843"/>
      <c r="C258" s="843"/>
      <c r="D258" s="843"/>
      <c r="E258" s="843"/>
      <c r="F258" s="843"/>
      <c r="G258" s="843"/>
      <c r="H258" s="843"/>
    </row>
    <row r="259" spans="1:8" ht="15">
      <c r="A259" s="844" t="s">
        <v>620</v>
      </c>
      <c r="B259" s="843"/>
      <c r="C259" s="843"/>
      <c r="D259" s="843"/>
      <c r="E259" s="843"/>
      <c r="F259" s="843"/>
      <c r="G259" s="843"/>
      <c r="H259" s="843"/>
    </row>
    <row r="260" spans="1:8" ht="15">
      <c r="A260" s="844" t="s">
        <v>621</v>
      </c>
      <c r="B260" s="843"/>
      <c r="C260" s="843"/>
      <c r="D260" s="843"/>
      <c r="E260" s="843"/>
      <c r="F260" s="843"/>
      <c r="G260" s="843"/>
      <c r="H260" s="843"/>
    </row>
    <row r="261" spans="1:8" ht="15">
      <c r="A261" s="844" t="s">
        <v>622</v>
      </c>
      <c r="B261" s="843"/>
      <c r="C261" s="843"/>
      <c r="D261" s="843"/>
      <c r="E261" s="843"/>
      <c r="F261" s="843"/>
      <c r="G261" s="843"/>
      <c r="H261" s="843"/>
    </row>
    <row r="262" spans="1:8" ht="15">
      <c r="A262" s="844" t="s">
        <v>623</v>
      </c>
      <c r="B262" s="843"/>
      <c r="C262" s="843"/>
      <c r="D262" s="843"/>
      <c r="E262" s="843"/>
      <c r="F262" s="843"/>
      <c r="G262" s="843"/>
      <c r="H262" s="843"/>
    </row>
    <row r="263" spans="1:8" ht="15">
      <c r="A263" s="844" t="s">
        <v>624</v>
      </c>
      <c r="B263" s="843"/>
      <c r="C263" s="843"/>
      <c r="D263" s="843"/>
      <c r="E263" s="843"/>
      <c r="F263" s="843"/>
      <c r="G263" s="843"/>
      <c r="H263" s="843"/>
    </row>
    <row r="264" spans="1:8" ht="15">
      <c r="A264" s="844" t="s">
        <v>625</v>
      </c>
      <c r="B264" s="843"/>
      <c r="C264" s="843"/>
      <c r="D264" s="843"/>
      <c r="E264" s="843"/>
      <c r="F264" s="843"/>
      <c r="G264" s="843"/>
      <c r="H264" s="843"/>
    </row>
    <row r="265" spans="1:8" ht="15">
      <c r="A265" s="844" t="s">
        <v>626</v>
      </c>
      <c r="B265" s="843"/>
      <c r="C265" s="843"/>
      <c r="D265" s="843"/>
      <c r="E265" s="843"/>
      <c r="F265" s="843"/>
      <c r="G265" s="843"/>
      <c r="H265" s="843"/>
    </row>
    <row r="266" spans="1:8" ht="15">
      <c r="A266" s="844" t="s">
        <v>627</v>
      </c>
      <c r="B266" s="843"/>
      <c r="C266" s="843"/>
      <c r="D266" s="843"/>
      <c r="E266" s="843"/>
      <c r="F266" s="843"/>
      <c r="G266" s="843"/>
      <c r="H266" s="843"/>
    </row>
    <row r="267" spans="1:8" ht="15">
      <c r="A267" s="844" t="s">
        <v>628</v>
      </c>
      <c r="B267" s="843"/>
      <c r="C267" s="843"/>
      <c r="D267" s="843"/>
      <c r="E267" s="843"/>
      <c r="F267" s="843"/>
      <c r="G267" s="843"/>
      <c r="H267" s="843"/>
    </row>
    <row r="268" spans="1:8" ht="15">
      <c r="A268" s="844" t="s">
        <v>629</v>
      </c>
      <c r="B268" s="843"/>
      <c r="C268" s="843"/>
      <c r="D268" s="843"/>
      <c r="E268" s="843"/>
      <c r="F268" s="843"/>
      <c r="G268" s="843"/>
      <c r="H268" s="843"/>
    </row>
    <row r="269" spans="1:8" ht="15">
      <c r="A269" s="844" t="s">
        <v>630</v>
      </c>
      <c r="B269" s="843"/>
      <c r="C269" s="843"/>
      <c r="D269" s="843"/>
      <c r="E269" s="843"/>
      <c r="F269" s="843"/>
      <c r="G269" s="843"/>
      <c r="H269" s="843"/>
    </row>
    <row r="270" spans="1:8" ht="15">
      <c r="A270" s="844" t="s">
        <v>631</v>
      </c>
      <c r="B270" s="843"/>
      <c r="C270" s="843"/>
      <c r="D270" s="843"/>
      <c r="E270" s="843"/>
      <c r="F270" s="843"/>
      <c r="G270" s="843"/>
      <c r="H270" s="843"/>
    </row>
    <row r="271" spans="1:8" ht="15">
      <c r="A271" s="843"/>
      <c r="B271" s="843"/>
      <c r="C271" s="843"/>
      <c r="D271" s="843"/>
      <c r="E271" s="843"/>
      <c r="F271" s="843"/>
      <c r="G271" s="843"/>
      <c r="H271" s="843"/>
    </row>
    <row r="272" spans="1:8" ht="15">
      <c r="A272" s="844" t="s">
        <v>609</v>
      </c>
      <c r="B272" s="843"/>
      <c r="C272" s="843"/>
      <c r="D272" s="843"/>
      <c r="E272" s="843"/>
      <c r="F272" s="843"/>
      <c r="G272" s="843"/>
      <c r="H272" s="843"/>
    </row>
    <row r="273" spans="1:8" ht="15">
      <c r="A273" s="844" t="s">
        <v>610</v>
      </c>
      <c r="B273" s="843"/>
      <c r="C273" s="843"/>
      <c r="D273" s="843"/>
      <c r="E273" s="843"/>
      <c r="F273" s="843"/>
      <c r="G273" s="843"/>
      <c r="H273" s="843"/>
    </row>
    <row r="274" spans="1:8" ht="15">
      <c r="A274" s="844" t="s">
        <v>611</v>
      </c>
      <c r="B274" s="843"/>
      <c r="C274" s="843"/>
      <c r="D274" s="843"/>
      <c r="E274" s="843"/>
      <c r="F274" s="843"/>
      <c r="G274" s="843"/>
      <c r="H274" s="843"/>
    </row>
    <row r="275" spans="1:8" ht="15">
      <c r="A275" s="844" t="s">
        <v>612</v>
      </c>
      <c r="B275" s="843"/>
      <c r="C275" s="843"/>
      <c r="D275" s="843"/>
      <c r="E275" s="843"/>
      <c r="F275" s="843"/>
      <c r="G275" s="843"/>
      <c r="H275" s="843"/>
    </row>
    <row r="276" spans="1:8" ht="15">
      <c r="A276" s="844" t="s">
        <v>613</v>
      </c>
      <c r="B276" s="843"/>
      <c r="C276" s="843"/>
      <c r="D276" s="843"/>
      <c r="E276" s="843"/>
      <c r="F276" s="843"/>
      <c r="G276" s="843"/>
      <c r="H276" s="843"/>
    </row>
    <row r="277" spans="1:8" ht="15">
      <c r="A277" s="844" t="s">
        <v>614</v>
      </c>
      <c r="B277" s="843"/>
      <c r="C277" s="843"/>
      <c r="D277" s="843"/>
      <c r="E277" s="843"/>
      <c r="F277" s="843"/>
      <c r="G277" s="843"/>
      <c r="H277" s="843"/>
    </row>
    <row r="278" spans="1:8" ht="15">
      <c r="A278" s="844" t="s">
        <v>615</v>
      </c>
      <c r="B278" s="843"/>
      <c r="C278" s="843"/>
      <c r="D278" s="843"/>
      <c r="E278" s="843"/>
      <c r="F278" s="843"/>
      <c r="G278" s="843"/>
      <c r="H278" s="843"/>
    </row>
    <row r="279" spans="1:8" ht="15">
      <c r="A279" s="843"/>
      <c r="B279" s="843"/>
      <c r="C279" s="843"/>
      <c r="D279" s="843"/>
      <c r="E279" s="843"/>
      <c r="F279" s="843"/>
      <c r="G279" s="843"/>
      <c r="H279" s="843"/>
    </row>
    <row r="280" spans="1:8" ht="15">
      <c r="A280" s="844" t="s">
        <v>600</v>
      </c>
      <c r="B280" s="843"/>
      <c r="C280" s="843"/>
      <c r="D280" s="843"/>
      <c r="E280" s="843"/>
      <c r="F280" s="843"/>
      <c r="G280" s="843"/>
      <c r="H280" s="843"/>
    </row>
    <row r="281" spans="1:8" ht="15">
      <c r="A281" s="844" t="s">
        <v>601</v>
      </c>
      <c r="B281" s="843"/>
      <c r="C281" s="843"/>
      <c r="D281" s="843"/>
      <c r="E281" s="843"/>
      <c r="F281" s="843"/>
      <c r="G281" s="843"/>
      <c r="H281" s="843"/>
    </row>
    <row r="282" spans="1:8" ht="15">
      <c r="A282" s="844" t="s">
        <v>602</v>
      </c>
      <c r="B282" s="843"/>
      <c r="C282" s="843"/>
      <c r="D282" s="843"/>
      <c r="E282" s="843"/>
      <c r="F282" s="843"/>
      <c r="G282" s="843"/>
      <c r="H282" s="843"/>
    </row>
    <row r="283" spans="1:8" ht="15">
      <c r="A283" s="844" t="s">
        <v>603</v>
      </c>
      <c r="B283" s="843"/>
      <c r="C283" s="843"/>
      <c r="D283" s="843"/>
      <c r="E283" s="843"/>
      <c r="F283" s="843"/>
      <c r="G283" s="843"/>
      <c r="H283" s="843"/>
    </row>
    <row r="284" spans="1:8" ht="15">
      <c r="A284" s="844" t="s">
        <v>604</v>
      </c>
      <c r="B284" s="843"/>
      <c r="C284" s="843"/>
      <c r="D284" s="843"/>
      <c r="E284" s="843"/>
      <c r="F284" s="843"/>
      <c r="G284" s="843"/>
      <c r="H284" s="843"/>
    </row>
    <row r="285" spans="1:8" ht="15">
      <c r="A285" s="844" t="s">
        <v>605</v>
      </c>
      <c r="B285" s="843"/>
      <c r="C285" s="843"/>
      <c r="D285" s="843"/>
      <c r="E285" s="843"/>
      <c r="F285" s="843"/>
      <c r="G285" s="843"/>
      <c r="H285" s="843"/>
    </row>
    <row r="286" spans="1:8" ht="15">
      <c r="A286" s="844" t="s">
        <v>606</v>
      </c>
      <c r="B286" s="843"/>
      <c r="C286" s="843"/>
      <c r="D286" s="843"/>
      <c r="E286" s="843"/>
      <c r="F286" s="843"/>
      <c r="G286" s="843"/>
      <c r="H286" s="843"/>
    </row>
    <row r="287" spans="1:8" ht="15">
      <c r="A287" s="844" t="s">
        <v>607</v>
      </c>
      <c r="B287" s="843"/>
      <c r="C287" s="843"/>
      <c r="D287" s="843"/>
      <c r="E287" s="843"/>
      <c r="F287" s="843"/>
      <c r="G287" s="843"/>
      <c r="H287" s="843"/>
    </row>
    <row r="288" spans="1:8" ht="15">
      <c r="A288" s="844" t="s">
        <v>608</v>
      </c>
      <c r="B288" s="843"/>
      <c r="C288" s="843"/>
      <c r="D288" s="843"/>
      <c r="E288" s="843"/>
      <c r="F288" s="843"/>
      <c r="G288" s="843"/>
      <c r="H288" s="843"/>
    </row>
    <row r="289" spans="1:8" ht="15">
      <c r="A289" s="843"/>
      <c r="B289" s="843"/>
      <c r="C289" s="843"/>
      <c r="D289" s="843"/>
      <c r="E289" s="843"/>
      <c r="F289" s="843"/>
      <c r="G289" s="843"/>
      <c r="H289" s="843"/>
    </row>
    <row r="290" spans="1:8" ht="15">
      <c r="A290" s="844" t="s">
        <v>593</v>
      </c>
      <c r="B290" s="843"/>
      <c r="C290" s="843"/>
      <c r="D290" s="843"/>
      <c r="E290" s="843"/>
      <c r="F290" s="843"/>
      <c r="G290" s="843"/>
      <c r="H290" s="843"/>
    </row>
    <row r="291" spans="1:8" ht="15">
      <c r="A291" s="844" t="s">
        <v>594</v>
      </c>
      <c r="B291" s="843"/>
      <c r="C291" s="843"/>
      <c r="D291" s="843"/>
      <c r="E291" s="843"/>
      <c r="F291" s="843"/>
      <c r="G291" s="843"/>
      <c r="H291" s="843"/>
    </row>
    <row r="292" spans="1:8" ht="15">
      <c r="A292" s="844" t="s">
        <v>595</v>
      </c>
      <c r="B292" s="843"/>
      <c r="C292" s="843"/>
      <c r="D292" s="843"/>
      <c r="E292" s="843"/>
      <c r="F292" s="843"/>
      <c r="G292" s="843"/>
      <c r="H292" s="843"/>
    </row>
    <row r="293" spans="1:8" ht="15">
      <c r="A293" s="844" t="s">
        <v>596</v>
      </c>
      <c r="B293" s="843"/>
      <c r="C293" s="843"/>
      <c r="D293" s="843"/>
      <c r="E293" s="843"/>
      <c r="F293" s="843"/>
      <c r="G293" s="843"/>
      <c r="H293" s="843"/>
    </row>
    <row r="294" spans="1:8" ht="15">
      <c r="A294" s="844" t="s">
        <v>597</v>
      </c>
      <c r="B294" s="843"/>
      <c r="C294" s="843"/>
      <c r="D294" s="843"/>
      <c r="E294" s="843"/>
      <c r="F294" s="843"/>
      <c r="G294" s="843"/>
      <c r="H294" s="843"/>
    </row>
    <row r="295" spans="1:8" ht="15">
      <c r="A295" s="844" t="s">
        <v>598</v>
      </c>
      <c r="B295" s="843"/>
      <c r="C295" s="843"/>
      <c r="D295" s="843"/>
      <c r="E295" s="843"/>
      <c r="F295" s="843"/>
      <c r="G295" s="843"/>
      <c r="H295" s="843"/>
    </row>
    <row r="296" spans="1:8" ht="15">
      <c r="A296" s="844" t="s">
        <v>599</v>
      </c>
      <c r="B296" s="843"/>
      <c r="C296" s="843"/>
      <c r="D296" s="843"/>
      <c r="E296" s="843"/>
      <c r="F296" s="843"/>
      <c r="G296" s="843"/>
      <c r="H296" s="843"/>
    </row>
    <row r="297" spans="1:8" ht="15">
      <c r="A297" s="843"/>
      <c r="B297" s="843"/>
      <c r="C297" s="843"/>
      <c r="D297" s="843"/>
      <c r="E297" s="843"/>
      <c r="F297" s="843"/>
      <c r="G297" s="843"/>
      <c r="H297" s="843"/>
    </row>
    <row r="298" spans="1:8" ht="15">
      <c r="A298" s="844" t="s">
        <v>590</v>
      </c>
      <c r="B298" s="843"/>
      <c r="C298" s="843"/>
      <c r="D298" s="843"/>
      <c r="E298" s="843"/>
      <c r="F298" s="843"/>
      <c r="G298" s="843"/>
      <c r="H298" s="843"/>
    </row>
    <row r="299" spans="1:8" ht="15">
      <c r="A299" s="844" t="s">
        <v>591</v>
      </c>
      <c r="B299" s="843"/>
      <c r="C299" s="843"/>
      <c r="D299" s="843"/>
      <c r="E299" s="843"/>
      <c r="F299" s="843"/>
      <c r="G299" s="843"/>
      <c r="H299" s="843"/>
    </row>
    <row r="300" spans="1:8" ht="15">
      <c r="A300" s="844" t="s">
        <v>592</v>
      </c>
      <c r="B300" s="843"/>
      <c r="C300" s="843"/>
      <c r="D300" s="843"/>
      <c r="E300" s="843"/>
      <c r="F300" s="843"/>
      <c r="G300" s="843"/>
      <c r="H300" s="843"/>
    </row>
    <row r="301" spans="1:8" ht="15">
      <c r="A301" s="843"/>
      <c r="B301" s="843"/>
      <c r="C301" s="843"/>
      <c r="D301" s="843"/>
      <c r="E301" s="843"/>
      <c r="F301" s="843"/>
      <c r="G301" s="843"/>
      <c r="H301" s="843"/>
    </row>
    <row r="302" spans="1:8" ht="15">
      <c r="A302" s="844" t="s">
        <v>588</v>
      </c>
      <c r="B302" s="843"/>
      <c r="C302" s="843"/>
      <c r="D302" s="843"/>
      <c r="E302" s="843"/>
      <c r="F302" s="843"/>
      <c r="G302" s="843"/>
      <c r="H302" s="843"/>
    </row>
    <row r="303" spans="1:8" ht="15">
      <c r="A303" s="844" t="s">
        <v>589</v>
      </c>
      <c r="B303" s="843"/>
      <c r="C303" s="843"/>
      <c r="D303" s="843"/>
      <c r="E303" s="843"/>
      <c r="F303" s="843"/>
      <c r="G303" s="843"/>
      <c r="H303" s="843"/>
    </row>
    <row r="304" spans="1:8" ht="15">
      <c r="A304" s="843"/>
      <c r="B304" s="843"/>
      <c r="C304" s="843"/>
      <c r="D304" s="843"/>
      <c r="E304" s="843"/>
      <c r="F304" s="843"/>
      <c r="G304" s="843"/>
      <c r="H304" s="843"/>
    </row>
    <row r="305" spans="1:8" ht="15">
      <c r="A305" s="844" t="s">
        <v>575</v>
      </c>
      <c r="B305" s="843"/>
      <c r="C305" s="843"/>
      <c r="D305" s="843"/>
      <c r="E305" s="843"/>
      <c r="F305" s="843"/>
      <c r="G305" s="843"/>
      <c r="H305" s="843"/>
    </row>
    <row r="306" spans="1:8" ht="15">
      <c r="A306" s="844" t="s">
        <v>576</v>
      </c>
      <c r="B306" s="843"/>
      <c r="C306" s="843"/>
      <c r="D306" s="843"/>
      <c r="E306" s="843"/>
      <c r="F306" s="843"/>
      <c r="G306" s="843"/>
      <c r="H306" s="843"/>
    </row>
    <row r="307" spans="1:8" ht="15">
      <c r="A307" s="844" t="s">
        <v>577</v>
      </c>
      <c r="B307" s="843"/>
      <c r="C307" s="843"/>
      <c r="D307" s="843"/>
      <c r="E307" s="843"/>
      <c r="F307" s="843"/>
      <c r="G307" s="843"/>
      <c r="H307" s="843"/>
    </row>
    <row r="308" spans="1:8" ht="15">
      <c r="A308" s="844" t="s">
        <v>578</v>
      </c>
      <c r="B308" s="843"/>
      <c r="C308" s="843"/>
      <c r="D308" s="843"/>
      <c r="E308" s="843"/>
      <c r="F308" s="843"/>
      <c r="G308" s="843"/>
      <c r="H308" s="843"/>
    </row>
    <row r="309" spans="1:8" ht="15">
      <c r="A309" s="844" t="s">
        <v>579</v>
      </c>
      <c r="B309" s="843"/>
      <c r="C309" s="843"/>
      <c r="D309" s="843"/>
      <c r="E309" s="843"/>
      <c r="F309" s="843"/>
      <c r="G309" s="843"/>
      <c r="H309" s="843"/>
    </row>
    <row r="310" spans="1:8" ht="15">
      <c r="A310" s="844" t="s">
        <v>580</v>
      </c>
      <c r="B310" s="843"/>
      <c r="C310" s="843"/>
      <c r="D310" s="843"/>
      <c r="E310" s="843"/>
      <c r="F310" s="843"/>
      <c r="G310" s="843"/>
      <c r="H310" s="843"/>
    </row>
    <row r="311" spans="1:8" ht="15">
      <c r="A311" s="844" t="s">
        <v>581</v>
      </c>
      <c r="B311" s="843"/>
      <c r="C311" s="843"/>
      <c r="D311" s="843"/>
      <c r="E311" s="843"/>
      <c r="F311" s="843"/>
      <c r="G311" s="843"/>
      <c r="H311" s="843"/>
    </row>
    <row r="312" spans="1:8" ht="15">
      <c r="A312" s="844" t="s">
        <v>582</v>
      </c>
      <c r="B312" s="843"/>
      <c r="C312" s="843"/>
      <c r="D312" s="843"/>
      <c r="E312" s="843"/>
      <c r="F312" s="843"/>
      <c r="G312" s="843"/>
      <c r="H312" s="843"/>
    </row>
    <row r="313" spans="1:8" ht="15">
      <c r="A313" s="844" t="s">
        <v>583</v>
      </c>
      <c r="B313" s="843"/>
      <c r="C313" s="843"/>
      <c r="D313" s="843"/>
      <c r="E313" s="843"/>
      <c r="F313" s="843"/>
      <c r="G313" s="843"/>
      <c r="H313" s="843"/>
    </row>
    <row r="314" spans="1:8" ht="15">
      <c r="A314" s="844" t="s">
        <v>584</v>
      </c>
      <c r="B314" s="843"/>
      <c r="C314" s="843"/>
      <c r="D314" s="843"/>
      <c r="E314" s="843"/>
      <c r="F314" s="843"/>
      <c r="G314" s="843"/>
      <c r="H314" s="843"/>
    </row>
    <row r="315" spans="1:8" ht="15">
      <c r="A315" s="844" t="s">
        <v>585</v>
      </c>
      <c r="B315" s="843"/>
      <c r="C315" s="843"/>
      <c r="D315" s="843"/>
      <c r="E315" s="843"/>
      <c r="F315" s="843"/>
      <c r="G315" s="843"/>
      <c r="H315" s="843"/>
    </row>
    <row r="316" spans="1:8" ht="15">
      <c r="A316" s="844" t="s">
        <v>586</v>
      </c>
      <c r="B316" s="843"/>
      <c r="C316" s="843"/>
      <c r="D316" s="843"/>
      <c r="E316" s="843"/>
      <c r="F316" s="843"/>
      <c r="G316" s="843"/>
      <c r="H316" s="843"/>
    </row>
    <row r="317" spans="1:8" ht="15">
      <c r="A317" s="844" t="s">
        <v>587</v>
      </c>
      <c r="B317" s="843"/>
      <c r="C317" s="843"/>
      <c r="D317" s="843"/>
      <c r="E317" s="843"/>
      <c r="F317" s="843"/>
      <c r="G317" s="843"/>
      <c r="H317" s="843"/>
    </row>
    <row r="318" spans="1:8" ht="15">
      <c r="A318" s="843"/>
      <c r="B318" s="843"/>
      <c r="C318" s="843"/>
      <c r="D318" s="843"/>
      <c r="E318" s="843"/>
      <c r="F318" s="843"/>
      <c r="G318" s="843"/>
      <c r="H318" s="843"/>
    </row>
    <row r="319" spans="1:8" ht="15">
      <c r="A319" s="844" t="s">
        <v>567</v>
      </c>
      <c r="B319" s="843"/>
      <c r="C319" s="843"/>
      <c r="D319" s="843"/>
      <c r="E319" s="843"/>
      <c r="F319" s="843"/>
      <c r="G319" s="843"/>
      <c r="H319" s="843"/>
    </row>
    <row r="320" spans="1:8" ht="15">
      <c r="A320" s="844" t="s">
        <v>568</v>
      </c>
      <c r="B320" s="843"/>
      <c r="C320" s="843"/>
      <c r="D320" s="843"/>
      <c r="E320" s="843"/>
      <c r="F320" s="843"/>
      <c r="G320" s="843"/>
      <c r="H320" s="843"/>
    </row>
    <row r="321" spans="1:8" ht="15">
      <c r="A321" s="844" t="s">
        <v>569</v>
      </c>
      <c r="B321" s="843"/>
      <c r="C321" s="843"/>
      <c r="D321" s="843"/>
      <c r="E321" s="843"/>
      <c r="F321" s="843"/>
      <c r="G321" s="843"/>
      <c r="H321" s="843"/>
    </row>
    <row r="322" spans="1:8" ht="15">
      <c r="A322" s="844" t="s">
        <v>570</v>
      </c>
      <c r="B322" s="843"/>
      <c r="C322" s="843"/>
      <c r="D322" s="843"/>
      <c r="E322" s="843"/>
      <c r="F322" s="843"/>
      <c r="G322" s="843"/>
      <c r="H322" s="843"/>
    </row>
    <row r="323" spans="1:8" ht="15">
      <c r="A323" s="844" t="s">
        <v>571</v>
      </c>
      <c r="B323" s="843"/>
      <c r="C323" s="843"/>
      <c r="D323" s="843"/>
      <c r="E323" s="843"/>
      <c r="F323" s="843"/>
      <c r="G323" s="843"/>
      <c r="H323" s="843"/>
    </row>
    <row r="324" spans="1:8" ht="15">
      <c r="A324" s="844" t="s">
        <v>572</v>
      </c>
      <c r="B324" s="843"/>
      <c r="C324" s="843"/>
      <c r="D324" s="843"/>
      <c r="E324" s="843"/>
      <c r="F324" s="843"/>
      <c r="G324" s="843"/>
      <c r="H324" s="843"/>
    </row>
    <row r="325" spans="1:8" ht="15">
      <c r="A325" s="844" t="s">
        <v>573</v>
      </c>
      <c r="B325" s="843"/>
      <c r="C325" s="843"/>
      <c r="D325" s="843"/>
      <c r="E325" s="843"/>
      <c r="F325" s="843"/>
      <c r="G325" s="843"/>
      <c r="H325" s="843"/>
    </row>
    <row r="326" spans="1:8" ht="15">
      <c r="A326" s="844" t="s">
        <v>574</v>
      </c>
      <c r="B326" s="843"/>
      <c r="C326" s="843"/>
      <c r="D326" s="843"/>
      <c r="E326" s="843"/>
      <c r="F326" s="843"/>
      <c r="G326" s="843"/>
      <c r="H326" s="843"/>
    </row>
    <row r="327" spans="1:8" ht="15">
      <c r="A327" s="843"/>
      <c r="B327" s="843"/>
      <c r="C327" s="843"/>
      <c r="D327" s="843"/>
      <c r="E327" s="843"/>
      <c r="F327" s="843"/>
      <c r="G327" s="843"/>
      <c r="H327" s="843"/>
    </row>
    <row r="328" spans="1:8" ht="15">
      <c r="A328" s="844" t="s">
        <v>532</v>
      </c>
      <c r="B328" s="843"/>
      <c r="C328" s="843"/>
      <c r="D328" s="843"/>
      <c r="E328" s="843"/>
      <c r="F328" s="843"/>
      <c r="G328" s="843"/>
      <c r="H328" s="843"/>
    </row>
    <row r="329" spans="1:8" ht="15">
      <c r="A329" s="844" t="s">
        <v>533</v>
      </c>
      <c r="B329" s="843"/>
      <c r="C329" s="843"/>
      <c r="D329" s="843"/>
      <c r="E329" s="843"/>
      <c r="F329" s="843"/>
      <c r="G329" s="843"/>
      <c r="H329" s="843"/>
    </row>
    <row r="330" spans="1:8" ht="15">
      <c r="A330" s="844" t="s">
        <v>534</v>
      </c>
      <c r="B330" s="843"/>
      <c r="C330" s="843"/>
      <c r="D330" s="843"/>
      <c r="E330" s="843"/>
      <c r="F330" s="843"/>
      <c r="G330" s="843"/>
      <c r="H330" s="843"/>
    </row>
    <row r="331" spans="1:8" ht="15">
      <c r="A331" s="844" t="s">
        <v>535</v>
      </c>
      <c r="B331" s="843"/>
      <c r="C331" s="843"/>
      <c r="D331" s="843"/>
      <c r="E331" s="843"/>
      <c r="F331" s="843"/>
      <c r="G331" s="843"/>
      <c r="H331" s="843"/>
    </row>
    <row r="332" spans="1:8" ht="15">
      <c r="A332" s="844" t="s">
        <v>536</v>
      </c>
      <c r="B332" s="843"/>
      <c r="C332" s="843"/>
      <c r="D332" s="843"/>
      <c r="E332" s="843"/>
      <c r="F332" s="843"/>
      <c r="G332" s="843"/>
      <c r="H332" s="843"/>
    </row>
    <row r="333" spans="1:8" ht="15">
      <c r="A333" s="844" t="s">
        <v>537</v>
      </c>
      <c r="B333" s="843"/>
      <c r="C333" s="843"/>
      <c r="D333" s="843"/>
      <c r="E333" s="843"/>
      <c r="F333" s="843"/>
      <c r="G333" s="843"/>
      <c r="H333" s="843"/>
    </row>
    <row r="334" spans="1:8" ht="15">
      <c r="A334" s="844" t="s">
        <v>538</v>
      </c>
      <c r="B334" s="843"/>
      <c r="C334" s="843"/>
      <c r="D334" s="843"/>
      <c r="E334" s="843"/>
      <c r="F334" s="843"/>
      <c r="G334" s="843"/>
      <c r="H334" s="843"/>
    </row>
    <row r="335" spans="1:8" ht="15">
      <c r="A335" s="844" t="s">
        <v>539</v>
      </c>
      <c r="B335" s="843"/>
      <c r="C335" s="843"/>
      <c r="D335" s="843"/>
      <c r="E335" s="843"/>
      <c r="F335" s="843"/>
      <c r="G335" s="843"/>
      <c r="H335" s="843"/>
    </row>
    <row r="336" spans="1:8" ht="15">
      <c r="A336" s="844" t="s">
        <v>540</v>
      </c>
      <c r="B336" s="843"/>
      <c r="C336" s="843"/>
      <c r="D336" s="843"/>
      <c r="E336" s="843"/>
      <c r="F336" s="843"/>
      <c r="G336" s="843"/>
      <c r="H336" s="843"/>
    </row>
    <row r="337" spans="1:8" ht="15">
      <c r="A337" s="844" t="s">
        <v>541</v>
      </c>
      <c r="B337" s="843"/>
      <c r="C337" s="843"/>
      <c r="D337" s="843"/>
      <c r="E337" s="843"/>
      <c r="F337" s="843"/>
      <c r="G337" s="843"/>
      <c r="H337" s="843"/>
    </row>
    <row r="338" spans="1:8" ht="15">
      <c r="A338" s="844" t="s">
        <v>542</v>
      </c>
      <c r="B338" s="843"/>
      <c r="C338" s="843"/>
      <c r="D338" s="843"/>
      <c r="E338" s="843"/>
      <c r="F338" s="843"/>
      <c r="G338" s="843"/>
      <c r="H338" s="843"/>
    </row>
    <row r="339" spans="1:8" ht="15">
      <c r="A339" s="844" t="s">
        <v>543</v>
      </c>
      <c r="B339" s="843"/>
      <c r="C339" s="843"/>
      <c r="D339" s="843"/>
      <c r="E339" s="843"/>
      <c r="F339" s="843"/>
      <c r="G339" s="843"/>
      <c r="H339" s="843"/>
    </row>
    <row r="340" spans="1:8" ht="15">
      <c r="A340" s="844" t="s">
        <v>544</v>
      </c>
      <c r="B340" s="843"/>
      <c r="C340" s="843"/>
      <c r="D340" s="843"/>
      <c r="E340" s="843"/>
      <c r="F340" s="843"/>
      <c r="G340" s="843"/>
      <c r="H340" s="843"/>
    </row>
    <row r="341" spans="1:8" ht="15">
      <c r="A341" s="844" t="s">
        <v>545</v>
      </c>
      <c r="B341" s="843"/>
      <c r="C341" s="843"/>
      <c r="D341" s="843"/>
      <c r="E341" s="843"/>
      <c r="F341" s="843"/>
      <c r="G341" s="843"/>
      <c r="H341" s="843"/>
    </row>
    <row r="342" spans="1:8" ht="15">
      <c r="A342" s="844" t="s">
        <v>546</v>
      </c>
      <c r="B342" s="843"/>
      <c r="C342" s="843"/>
      <c r="D342" s="843"/>
      <c r="E342" s="843"/>
      <c r="F342" s="843"/>
      <c r="G342" s="843"/>
      <c r="H342" s="843"/>
    </row>
    <row r="343" spans="1:8" ht="15">
      <c r="A343" s="844" t="s">
        <v>547</v>
      </c>
      <c r="B343" s="843"/>
      <c r="C343" s="843"/>
      <c r="D343" s="843"/>
      <c r="E343" s="843"/>
      <c r="F343" s="843"/>
      <c r="G343" s="843"/>
      <c r="H343" s="843"/>
    </row>
    <row r="344" spans="1:8" ht="15">
      <c r="A344" s="844" t="s">
        <v>548</v>
      </c>
      <c r="B344" s="843"/>
      <c r="C344" s="843"/>
      <c r="D344" s="843"/>
      <c r="E344" s="843"/>
      <c r="F344" s="843"/>
      <c r="G344" s="843"/>
      <c r="H344" s="843"/>
    </row>
    <row r="345" spans="1:8" ht="15">
      <c r="A345" s="844" t="s">
        <v>549</v>
      </c>
      <c r="B345" s="843"/>
      <c r="C345" s="843"/>
      <c r="D345" s="843"/>
      <c r="E345" s="843"/>
      <c r="F345" s="843"/>
      <c r="G345" s="843"/>
      <c r="H345" s="843"/>
    </row>
    <row r="346" spans="1:8" ht="15">
      <c r="A346" s="844" t="s">
        <v>550</v>
      </c>
      <c r="B346" s="843"/>
      <c r="C346" s="843"/>
      <c r="D346" s="843"/>
      <c r="E346" s="843"/>
      <c r="F346" s="843"/>
      <c r="G346" s="843"/>
      <c r="H346" s="843"/>
    </row>
    <row r="347" spans="1:8" ht="15">
      <c r="A347" s="844" t="s">
        <v>551</v>
      </c>
      <c r="B347" s="843"/>
      <c r="C347" s="843"/>
      <c r="D347" s="843"/>
      <c r="E347" s="843"/>
      <c r="F347" s="843"/>
      <c r="G347" s="843"/>
      <c r="H347" s="843"/>
    </row>
    <row r="348" spans="1:8" ht="15">
      <c r="A348" s="844" t="s">
        <v>552</v>
      </c>
      <c r="B348" s="843"/>
      <c r="C348" s="843"/>
      <c r="D348" s="843"/>
      <c r="E348" s="843"/>
      <c r="F348" s="843"/>
      <c r="G348" s="843"/>
      <c r="H348" s="843"/>
    </row>
    <row r="349" spans="1:8" ht="15">
      <c r="A349" s="844" t="s">
        <v>553</v>
      </c>
      <c r="B349" s="843"/>
      <c r="C349" s="843"/>
      <c r="D349" s="843"/>
      <c r="E349" s="843"/>
      <c r="F349" s="843"/>
      <c r="G349" s="843"/>
      <c r="H349" s="843"/>
    </row>
    <row r="350" spans="1:8" ht="15">
      <c r="A350" s="844" t="s">
        <v>554</v>
      </c>
      <c r="B350" s="843"/>
      <c r="C350" s="843"/>
      <c r="D350" s="843"/>
      <c r="E350" s="843"/>
      <c r="F350" s="843"/>
      <c r="G350" s="843"/>
      <c r="H350" s="843"/>
    </row>
    <row r="351" spans="1:8" ht="15">
      <c r="A351" s="844" t="s">
        <v>555</v>
      </c>
      <c r="B351" s="843"/>
      <c r="C351" s="843"/>
      <c r="D351" s="843"/>
      <c r="E351" s="843"/>
      <c r="F351" s="843"/>
      <c r="G351" s="843"/>
      <c r="H351" s="843"/>
    </row>
    <row r="352" spans="1:8" ht="15">
      <c r="A352" s="844" t="s">
        <v>556</v>
      </c>
      <c r="B352" s="843"/>
      <c r="C352" s="843"/>
      <c r="D352" s="843"/>
      <c r="E352" s="843"/>
      <c r="F352" s="843"/>
      <c r="G352" s="843"/>
      <c r="H352" s="843"/>
    </row>
    <row r="353" spans="1:8" ht="15">
      <c r="A353" s="844" t="s">
        <v>557</v>
      </c>
      <c r="B353" s="843"/>
      <c r="C353" s="843"/>
      <c r="D353" s="843"/>
      <c r="E353" s="843"/>
      <c r="F353" s="843"/>
      <c r="G353" s="843"/>
      <c r="H353" s="843"/>
    </row>
    <row r="354" spans="1:8" ht="15">
      <c r="A354" s="844" t="s">
        <v>558</v>
      </c>
      <c r="B354" s="843"/>
      <c r="C354" s="843"/>
      <c r="D354" s="843"/>
      <c r="E354" s="843"/>
      <c r="F354" s="843"/>
      <c r="G354" s="843"/>
      <c r="H354" s="843"/>
    </row>
    <row r="355" spans="1:8" ht="15">
      <c r="A355" s="844" t="s">
        <v>559</v>
      </c>
      <c r="B355" s="843"/>
      <c r="C355" s="843"/>
      <c r="D355" s="843"/>
      <c r="E355" s="843"/>
      <c r="F355" s="843"/>
      <c r="G355" s="843"/>
      <c r="H355" s="843"/>
    </row>
    <row r="356" spans="1:8" ht="15">
      <c r="A356" s="844" t="s">
        <v>560</v>
      </c>
      <c r="B356" s="843"/>
      <c r="C356" s="843"/>
      <c r="D356" s="843"/>
      <c r="E356" s="843"/>
      <c r="F356" s="843"/>
      <c r="G356" s="843"/>
      <c r="H356" s="843"/>
    </row>
    <row r="357" spans="1:8" ht="15">
      <c r="A357" s="844" t="s">
        <v>561</v>
      </c>
      <c r="B357" s="843"/>
      <c r="C357" s="843"/>
      <c r="D357" s="843"/>
      <c r="E357" s="843"/>
      <c r="F357" s="843"/>
      <c r="G357" s="843"/>
      <c r="H357" s="843"/>
    </row>
    <row r="358" spans="1:8" ht="15">
      <c r="A358" s="844" t="s">
        <v>562</v>
      </c>
      <c r="B358" s="843"/>
      <c r="C358" s="843"/>
      <c r="D358" s="843"/>
      <c r="E358" s="843"/>
      <c r="F358" s="843"/>
      <c r="G358" s="843"/>
      <c r="H358" s="843"/>
    </row>
    <row r="359" spans="1:8" ht="15">
      <c r="A359" s="844" t="s">
        <v>563</v>
      </c>
      <c r="B359" s="843"/>
      <c r="C359" s="843"/>
      <c r="D359" s="843"/>
      <c r="E359" s="843"/>
      <c r="F359" s="843"/>
      <c r="G359" s="843"/>
      <c r="H359" s="843"/>
    </row>
    <row r="360" spans="1:8" ht="15">
      <c r="A360" s="844" t="s">
        <v>564</v>
      </c>
      <c r="B360" s="843"/>
      <c r="C360" s="843"/>
      <c r="D360" s="843"/>
      <c r="E360" s="843"/>
      <c r="F360" s="843"/>
      <c r="G360" s="843"/>
      <c r="H360" s="843"/>
    </row>
    <row r="361" spans="1:8" ht="15">
      <c r="A361" s="844" t="s">
        <v>565</v>
      </c>
      <c r="B361" s="843"/>
      <c r="C361" s="843"/>
      <c r="D361" s="843"/>
      <c r="E361" s="843"/>
      <c r="F361" s="843"/>
      <c r="G361" s="843"/>
      <c r="H361" s="843"/>
    </row>
    <row r="362" spans="1:8" ht="15">
      <c r="A362" s="844" t="s">
        <v>566</v>
      </c>
      <c r="B362" s="843"/>
      <c r="C362" s="843"/>
      <c r="D362" s="843"/>
      <c r="E362" s="843"/>
      <c r="F362" s="843"/>
      <c r="G362" s="843"/>
      <c r="H362" s="843"/>
    </row>
    <row r="363" spans="1:8" ht="15">
      <c r="A363" s="843"/>
      <c r="B363" s="843"/>
      <c r="C363" s="843"/>
      <c r="D363" s="843"/>
      <c r="E363" s="843"/>
      <c r="F363" s="843"/>
      <c r="G363" s="843"/>
      <c r="H363" s="843"/>
    </row>
    <row r="364" spans="1:8" ht="15">
      <c r="A364" s="844" t="s">
        <v>524</v>
      </c>
      <c r="B364" s="843"/>
      <c r="C364" s="843"/>
      <c r="D364" s="843"/>
      <c r="E364" s="843"/>
      <c r="F364" s="843"/>
      <c r="G364" s="843"/>
      <c r="H364" s="843"/>
    </row>
    <row r="365" spans="1:8" ht="15">
      <c r="A365" s="844" t="s">
        <v>528</v>
      </c>
      <c r="B365" s="843"/>
      <c r="C365" s="843"/>
      <c r="D365" s="843"/>
      <c r="E365" s="843"/>
      <c r="F365" s="843"/>
      <c r="G365" s="843"/>
      <c r="H365" s="843"/>
    </row>
    <row r="366" spans="1:8" ht="15">
      <c r="A366" s="844" t="s">
        <v>529</v>
      </c>
      <c r="B366" s="843"/>
      <c r="C366" s="843"/>
      <c r="D366" s="843"/>
      <c r="E366" s="843"/>
      <c r="F366" s="843"/>
      <c r="G366" s="843"/>
      <c r="H366" s="843"/>
    </row>
    <row r="367" spans="1:8" ht="15">
      <c r="A367" s="844" t="s">
        <v>530</v>
      </c>
      <c r="B367" s="843"/>
      <c r="C367" s="843"/>
      <c r="D367" s="843"/>
      <c r="E367" s="843"/>
      <c r="F367" s="843"/>
      <c r="G367" s="843"/>
      <c r="H367" s="843"/>
    </row>
    <row r="368" spans="1:8" ht="15">
      <c r="A368" s="844" t="s">
        <v>531</v>
      </c>
      <c r="B368" s="843"/>
      <c r="C368" s="843"/>
      <c r="D368" s="843"/>
      <c r="E368" s="843"/>
      <c r="F368" s="843"/>
      <c r="G368" s="843"/>
      <c r="H368" s="843"/>
    </row>
    <row r="369" spans="1:8" ht="15">
      <c r="A369" s="843"/>
      <c r="B369" s="843"/>
      <c r="C369" s="843"/>
      <c r="D369" s="843"/>
      <c r="E369" s="843"/>
      <c r="F369" s="843"/>
      <c r="G369" s="843"/>
      <c r="H369" s="843"/>
    </row>
    <row r="370" spans="1:8" ht="15">
      <c r="A370" s="844" t="s">
        <v>524</v>
      </c>
      <c r="B370" s="843"/>
      <c r="C370" s="843"/>
      <c r="D370" s="843"/>
      <c r="E370" s="843"/>
      <c r="F370" s="843"/>
      <c r="G370" s="843"/>
      <c r="H370" s="843"/>
    </row>
    <row r="371" spans="1:8" ht="15">
      <c r="A371" s="844" t="s">
        <v>525</v>
      </c>
      <c r="B371" s="843"/>
      <c r="C371" s="843"/>
      <c r="D371" s="843"/>
      <c r="E371" s="843"/>
      <c r="F371" s="843"/>
      <c r="G371" s="843"/>
      <c r="H371" s="843"/>
    </row>
    <row r="372" spans="1:8" ht="15">
      <c r="A372" s="844" t="s">
        <v>526</v>
      </c>
      <c r="B372" s="843"/>
      <c r="C372" s="843"/>
      <c r="D372" s="843"/>
      <c r="E372" s="843"/>
      <c r="F372" s="843"/>
      <c r="G372" s="843"/>
      <c r="H372" s="843"/>
    </row>
    <row r="373" spans="1:8" ht="15">
      <c r="A373" s="844" t="s">
        <v>527</v>
      </c>
      <c r="B373" s="843"/>
      <c r="C373" s="843"/>
      <c r="D373" s="843"/>
      <c r="E373" s="843"/>
      <c r="F373" s="843"/>
      <c r="G373" s="843"/>
      <c r="H373" s="843"/>
    </row>
    <row r="374" spans="1:8" ht="15">
      <c r="A374" s="843"/>
      <c r="B374" s="843"/>
      <c r="C374" s="843"/>
      <c r="D374" s="843"/>
      <c r="E374" s="843"/>
      <c r="F374" s="843"/>
      <c r="G374" s="843"/>
      <c r="H374" s="843"/>
    </row>
    <row r="375" spans="1:8" ht="15">
      <c r="A375" s="844" t="s">
        <v>518</v>
      </c>
      <c r="B375" s="843"/>
      <c r="C375" s="843"/>
      <c r="D375" s="843"/>
      <c r="E375" s="843"/>
      <c r="F375" s="843"/>
      <c r="G375" s="843"/>
      <c r="H375" s="843"/>
    </row>
    <row r="376" spans="1:8" ht="15">
      <c r="A376" s="844" t="s">
        <v>519</v>
      </c>
      <c r="B376" s="843"/>
      <c r="C376" s="843"/>
      <c r="D376" s="843"/>
      <c r="E376" s="843"/>
      <c r="F376" s="843"/>
      <c r="G376" s="843"/>
      <c r="H376" s="843"/>
    </row>
    <row r="377" spans="1:8" ht="15">
      <c r="A377" s="844" t="s">
        <v>520</v>
      </c>
      <c r="B377" s="843"/>
      <c r="C377" s="843"/>
      <c r="D377" s="843"/>
      <c r="E377" s="843"/>
      <c r="F377" s="843"/>
      <c r="G377" s="843"/>
      <c r="H377" s="843"/>
    </row>
    <row r="378" spans="1:8" ht="15">
      <c r="A378" s="844" t="s">
        <v>521</v>
      </c>
      <c r="B378" s="843"/>
      <c r="C378" s="843"/>
      <c r="D378" s="843"/>
      <c r="E378" s="843"/>
      <c r="F378" s="843"/>
      <c r="G378" s="843"/>
      <c r="H378" s="843"/>
    </row>
    <row r="379" spans="1:8" ht="15">
      <c r="A379" s="844" t="s">
        <v>522</v>
      </c>
      <c r="B379" s="843"/>
      <c r="C379" s="843"/>
      <c r="D379" s="843"/>
      <c r="E379" s="843"/>
      <c r="F379" s="843"/>
      <c r="G379" s="843"/>
      <c r="H379" s="843"/>
    </row>
    <row r="380" spans="1:8" ht="15">
      <c r="A380" s="844" t="s">
        <v>523</v>
      </c>
      <c r="B380" s="843"/>
      <c r="C380" s="843"/>
      <c r="D380" s="843"/>
      <c r="E380" s="843"/>
      <c r="F380" s="843"/>
      <c r="G380" s="843"/>
      <c r="H380" s="843"/>
    </row>
    <row r="381" spans="1:8" ht="15">
      <c r="A381" s="843"/>
      <c r="B381" s="843"/>
      <c r="C381" s="843"/>
      <c r="D381" s="843"/>
      <c r="E381" s="843"/>
      <c r="F381" s="843"/>
      <c r="G381" s="843"/>
      <c r="H381" s="843"/>
    </row>
    <row r="382" spans="1:8" ht="15">
      <c r="A382" s="844" t="s">
        <v>513</v>
      </c>
      <c r="B382" s="843"/>
      <c r="C382" s="843"/>
      <c r="D382" s="843"/>
      <c r="E382" s="843"/>
      <c r="F382" s="843"/>
      <c r="G382" s="843"/>
      <c r="H382" s="843"/>
    </row>
    <row r="383" spans="1:8" ht="15">
      <c r="A383" s="844" t="s">
        <v>514</v>
      </c>
      <c r="B383" s="843"/>
      <c r="C383" s="843"/>
      <c r="D383" s="843"/>
      <c r="E383" s="843"/>
      <c r="F383" s="843"/>
      <c r="G383" s="843"/>
      <c r="H383" s="843"/>
    </row>
    <row r="384" spans="1:8" ht="15">
      <c r="A384" s="844" t="s">
        <v>515</v>
      </c>
      <c r="B384" s="843"/>
      <c r="C384" s="843"/>
      <c r="D384" s="843"/>
      <c r="E384" s="843"/>
      <c r="F384" s="843"/>
      <c r="G384" s="843"/>
      <c r="H384" s="843"/>
    </row>
    <row r="385" spans="1:8" ht="15">
      <c r="A385" s="844" t="s">
        <v>516</v>
      </c>
      <c r="B385" s="843"/>
      <c r="C385" s="843"/>
      <c r="D385" s="843"/>
      <c r="E385" s="843"/>
      <c r="F385" s="843"/>
      <c r="G385" s="843"/>
      <c r="H385" s="843"/>
    </row>
    <row r="386" spans="1:8" ht="15">
      <c r="A386" s="844" t="s">
        <v>517</v>
      </c>
      <c r="B386" s="843"/>
      <c r="C386" s="843"/>
      <c r="D386" s="843"/>
      <c r="E386" s="843"/>
      <c r="F386" s="843"/>
      <c r="G386" s="843"/>
      <c r="H386" s="843"/>
    </row>
    <row r="387" spans="1:8" ht="15">
      <c r="A387" s="843"/>
      <c r="B387" s="843"/>
      <c r="C387" s="843"/>
      <c r="D387" s="843"/>
      <c r="E387" s="843"/>
      <c r="F387" s="843"/>
      <c r="G387" s="843"/>
      <c r="H387" s="843"/>
    </row>
    <row r="388" spans="1:8" ht="15">
      <c r="A388" s="844" t="s">
        <v>511</v>
      </c>
      <c r="B388" s="843"/>
      <c r="C388" s="843"/>
      <c r="D388" s="843"/>
      <c r="E388" s="843"/>
      <c r="F388" s="843"/>
      <c r="G388" s="843"/>
      <c r="H388" s="843"/>
    </row>
    <row r="389" spans="1:8" ht="15">
      <c r="A389" s="844" t="s">
        <v>512</v>
      </c>
      <c r="B389" s="843"/>
      <c r="C389" s="843"/>
      <c r="D389" s="843"/>
      <c r="E389" s="843"/>
      <c r="F389" s="843"/>
      <c r="G389" s="843"/>
      <c r="H389" s="843"/>
    </row>
    <row r="391" spans="1:8">
      <c r="A391" s="839" t="s">
        <v>767</v>
      </c>
    </row>
  </sheetData>
  <mergeCells count="12">
    <mergeCell ref="A129:H129"/>
    <mergeCell ref="A130:H130"/>
    <mergeCell ref="B122:C122"/>
    <mergeCell ref="D122:F122"/>
    <mergeCell ref="G122:H122"/>
    <mergeCell ref="A108:H108"/>
    <mergeCell ref="A109:H109"/>
    <mergeCell ref="A110:H110"/>
    <mergeCell ref="A111:H111"/>
    <mergeCell ref="A113:H113"/>
    <mergeCell ref="A114:H114"/>
    <mergeCell ref="A121:H121"/>
  </mergeCells>
  <pageMargins left="0.5" right="0.5" top="0.5" bottom="0.5" header="0.5" footer="0.5"/>
  <pageSetup orientation="portrait" horizont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17"/>
    <pageSetUpPr fitToPage="1"/>
  </sheetPr>
  <dimension ref="A1:CJ224"/>
  <sheetViews>
    <sheetView showGridLines="0" zoomScale="85" zoomScaleNormal="85" workbookViewId="0">
      <pane xSplit="3" ySplit="6" topLeftCell="AV7" activePane="bottomRight" state="frozen"/>
      <selection activeCell="AV40" sqref="AV40"/>
      <selection pane="topRight" activeCell="AV40" sqref="AV40"/>
      <selection pane="bottomLeft" activeCell="AV40" sqref="AV40"/>
      <selection pane="bottomRight" activeCell="B106" sqref="B106"/>
    </sheetView>
  </sheetViews>
  <sheetFormatPr defaultRowHeight="14.25" customHeight="1" outlineLevelRow="3" outlineLevelCol="1"/>
  <cols>
    <col min="1" max="1" width="1.7109375" style="182" customWidth="1"/>
    <col min="2" max="2" width="56" style="182" customWidth="1"/>
    <col min="3" max="3" width="1.7109375" style="182" customWidth="1"/>
    <col min="4" max="31" width="11.42578125" style="182" hidden="1" customWidth="1" outlineLevel="1"/>
    <col min="32" max="32" width="11.42578125" style="182" hidden="1" customWidth="1" outlineLevel="1" collapsed="1"/>
    <col min="33" max="35" width="11.42578125" style="182" hidden="1" customWidth="1" outlineLevel="1"/>
    <col min="36" max="36" width="11.42578125" style="182" hidden="1" customWidth="1" outlineLevel="1" collapsed="1"/>
    <col min="37" max="39" width="11.42578125" style="182" hidden="1" customWidth="1" outlineLevel="1"/>
    <col min="40" max="40" width="11.42578125" style="182" hidden="1" customWidth="1" outlineLevel="1" collapsed="1"/>
    <col min="41" max="47" width="11.42578125" style="182" hidden="1" customWidth="1" outlineLevel="1"/>
    <col min="48" max="48" width="11.42578125" style="182" customWidth="1" collapsed="1"/>
    <col min="49" max="59" width="11.42578125" style="182" customWidth="1"/>
    <col min="60" max="63" width="11.42578125" style="182" hidden="1" customWidth="1" outlineLevel="1"/>
    <col min="64" max="64" width="3" style="182" customWidth="1" collapsed="1"/>
    <col min="65" max="75" width="11.42578125" style="182" hidden="1" customWidth="1" outlineLevel="1"/>
    <col min="76" max="76" width="11.42578125" style="182" customWidth="1" collapsed="1"/>
    <col min="77" max="78" width="11.42578125" style="182" customWidth="1"/>
    <col min="79" max="79" width="11.42578125" style="182" hidden="1" customWidth="1" outlineLevel="1"/>
    <col min="80" max="80" width="11.42578125" style="182" customWidth="1" collapsed="1"/>
    <col min="81" max="82" width="11.42578125" style="182" customWidth="1"/>
    <col min="83" max="83" width="60.85546875" customWidth="1"/>
    <col min="84" max="84" width="12.7109375" customWidth="1"/>
    <col min="85" max="88" width="9.140625" customWidth="1"/>
    <col min="89" max="16384" width="9.140625" style="182"/>
  </cols>
  <sheetData>
    <row r="1" spans="1:82" ht="20.25">
      <c r="A1" s="200"/>
      <c r="B1" s="202"/>
      <c r="C1" s="200"/>
      <c r="D1" s="417" t="s">
        <v>6</v>
      </c>
      <c r="E1" s="417"/>
      <c r="F1" s="417" t="s">
        <v>6</v>
      </c>
      <c r="G1" s="417"/>
      <c r="H1" s="417" t="s">
        <v>6</v>
      </c>
      <c r="I1" s="417"/>
      <c r="J1" s="417" t="s">
        <v>6</v>
      </c>
      <c r="K1" s="417"/>
      <c r="L1" s="417" t="s">
        <v>6</v>
      </c>
      <c r="M1" s="417"/>
      <c r="N1" s="417" t="s">
        <v>6</v>
      </c>
      <c r="O1" s="417"/>
      <c r="P1" s="417" t="s">
        <v>6</v>
      </c>
      <c r="Q1" s="417"/>
      <c r="R1" s="417" t="s">
        <v>6</v>
      </c>
      <c r="S1" s="417"/>
      <c r="T1" s="417" t="s">
        <v>6</v>
      </c>
      <c r="U1" s="417"/>
      <c r="V1" s="417" t="s">
        <v>6</v>
      </c>
      <c r="W1" s="417"/>
      <c r="X1" s="417" t="s">
        <v>6</v>
      </c>
      <c r="Y1" s="417"/>
      <c r="Z1" s="417" t="s">
        <v>6</v>
      </c>
      <c r="AA1" s="417"/>
      <c r="AB1" s="417" t="s">
        <v>6</v>
      </c>
      <c r="AC1" s="417"/>
      <c r="AD1" s="417" t="s">
        <v>6</v>
      </c>
      <c r="AE1" s="417"/>
      <c r="AF1" s="417" t="s">
        <v>6</v>
      </c>
      <c r="AG1" s="417"/>
      <c r="AH1" s="417" t="s">
        <v>6</v>
      </c>
      <c r="AI1" s="417"/>
      <c r="AJ1" s="417" t="s">
        <v>6</v>
      </c>
      <c r="AK1" s="417"/>
      <c r="AL1" s="417" t="s">
        <v>6</v>
      </c>
      <c r="AM1" s="417"/>
      <c r="AN1" s="419"/>
      <c r="AO1" s="419"/>
      <c r="AP1" s="419"/>
      <c r="AQ1" s="419"/>
      <c r="AR1" s="419"/>
      <c r="AS1" s="419"/>
      <c r="AT1" s="419"/>
      <c r="AU1" s="419"/>
      <c r="AV1" s="418"/>
      <c r="AW1" s="419"/>
      <c r="AX1" s="417"/>
      <c r="AY1" s="417"/>
      <c r="AZ1" s="417"/>
      <c r="BA1" s="417"/>
      <c r="BB1" s="417"/>
      <c r="BC1" s="417"/>
      <c r="BD1" s="417"/>
      <c r="BE1" s="417"/>
      <c r="BF1" s="417"/>
      <c r="BG1" s="417"/>
      <c r="BH1" s="417"/>
      <c r="BI1" s="417"/>
      <c r="BJ1" s="417"/>
      <c r="BK1" s="417"/>
      <c r="BL1" s="417"/>
      <c r="BM1" s="417"/>
      <c r="BN1" s="417" t="s">
        <v>6</v>
      </c>
      <c r="BO1" s="417"/>
      <c r="BP1" s="417" t="s">
        <v>6</v>
      </c>
      <c r="BQ1" s="417"/>
      <c r="BR1" s="417" t="s">
        <v>6</v>
      </c>
      <c r="BS1" s="417"/>
      <c r="BT1" s="417" t="s">
        <v>6</v>
      </c>
      <c r="BU1" s="417"/>
      <c r="BV1" s="417"/>
      <c r="BW1" s="417"/>
      <c r="BX1" s="417" t="s">
        <v>6</v>
      </c>
      <c r="BY1" s="417"/>
      <c r="BZ1" s="417" t="s">
        <v>6</v>
      </c>
      <c r="CA1" s="417"/>
    </row>
    <row r="2" spans="1:82" ht="60" customHeight="1">
      <c r="A2" s="200"/>
      <c r="B2" s="416" t="s">
        <v>238</v>
      </c>
      <c r="C2" s="416"/>
      <c r="D2" s="200"/>
      <c r="E2" s="200"/>
      <c r="F2" s="200"/>
      <c r="G2" s="200"/>
      <c r="H2" s="200"/>
      <c r="I2" s="200"/>
      <c r="J2" s="200"/>
      <c r="K2" s="202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414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2"/>
      <c r="BO2" s="200"/>
      <c r="BP2" s="200"/>
      <c r="BQ2" s="200"/>
      <c r="BR2" s="200"/>
      <c r="BS2" s="200"/>
      <c r="BT2" s="200"/>
      <c r="BU2" s="200"/>
      <c r="BV2" s="200"/>
      <c r="BW2" s="657"/>
      <c r="BX2" s="657"/>
      <c r="BY2" s="657"/>
      <c r="BZ2" s="200"/>
      <c r="CA2" s="200"/>
    </row>
    <row r="3" spans="1:82" ht="14.25" customHeight="1">
      <c r="A3" s="200"/>
      <c r="B3" s="200"/>
      <c r="C3" s="415"/>
      <c r="D3" s="414"/>
      <c r="E3" s="414"/>
      <c r="F3" s="414"/>
      <c r="G3" s="414"/>
      <c r="H3" s="414"/>
      <c r="I3" s="200"/>
      <c r="J3" s="200"/>
      <c r="K3" s="202"/>
      <c r="L3" s="414"/>
      <c r="M3" s="200"/>
      <c r="N3" s="200"/>
      <c r="O3" s="200"/>
      <c r="P3" s="413"/>
      <c r="Q3" s="202"/>
      <c r="R3" s="202"/>
      <c r="S3" s="202"/>
      <c r="T3" s="413"/>
      <c r="U3" s="202"/>
      <c r="V3" s="202"/>
      <c r="W3" s="202"/>
      <c r="X3" s="202"/>
      <c r="Y3" s="411"/>
      <c r="Z3" s="412"/>
      <c r="AA3" s="412"/>
      <c r="AB3" s="412"/>
      <c r="AC3" s="412"/>
      <c r="AD3" s="412"/>
      <c r="AE3" s="412"/>
      <c r="AF3" s="200"/>
      <c r="AG3" s="200"/>
      <c r="AH3" s="200"/>
      <c r="AI3" s="200"/>
      <c r="AJ3" s="200"/>
      <c r="AK3" s="200"/>
      <c r="AL3" s="200"/>
      <c r="AM3" s="412"/>
      <c r="AN3" s="200"/>
      <c r="AO3" s="200"/>
      <c r="AP3" s="200"/>
      <c r="AQ3" s="200"/>
      <c r="AR3" s="200"/>
      <c r="AS3" s="200"/>
      <c r="AT3" s="200"/>
      <c r="AU3" s="647" t="s">
        <v>160</v>
      </c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2"/>
      <c r="BO3" s="200"/>
      <c r="BP3" s="200"/>
      <c r="BQ3" s="200"/>
      <c r="BR3" s="412"/>
      <c r="BS3" s="412"/>
      <c r="BT3" s="755"/>
      <c r="BU3" s="412"/>
      <c r="BV3" s="755"/>
      <c r="BW3" s="755"/>
      <c r="BX3" s="755"/>
      <c r="BY3" s="755"/>
      <c r="BZ3" s="200"/>
      <c r="CA3" s="200"/>
    </row>
    <row r="4" spans="1:82" ht="14.25" customHeight="1">
      <c r="A4" s="203"/>
      <c r="B4" s="238" t="s">
        <v>419</v>
      </c>
      <c r="C4" s="410"/>
      <c r="D4" s="397" t="s">
        <v>102</v>
      </c>
      <c r="E4" s="396" t="s">
        <v>103</v>
      </c>
      <c r="F4" s="396" t="s">
        <v>104</v>
      </c>
      <c r="G4" s="398" t="s">
        <v>105</v>
      </c>
      <c r="H4" s="397" t="s">
        <v>106</v>
      </c>
      <c r="I4" s="396" t="s">
        <v>107</v>
      </c>
      <c r="J4" s="396" t="s">
        <v>108</v>
      </c>
      <c r="K4" s="398" t="s">
        <v>109</v>
      </c>
      <c r="L4" s="397" t="s">
        <v>110</v>
      </c>
      <c r="M4" s="396" t="s">
        <v>111</v>
      </c>
      <c r="N4" s="396" t="s">
        <v>112</v>
      </c>
      <c r="O4" s="398" t="s">
        <v>113</v>
      </c>
      <c r="P4" s="397" t="s">
        <v>114</v>
      </c>
      <c r="Q4" s="396" t="s">
        <v>115</v>
      </c>
      <c r="R4" s="396" t="s">
        <v>116</v>
      </c>
      <c r="S4" s="398" t="s">
        <v>117</v>
      </c>
      <c r="T4" s="397" t="s">
        <v>118</v>
      </c>
      <c r="U4" s="396" t="s">
        <v>119</v>
      </c>
      <c r="V4" s="396" t="s">
        <v>120</v>
      </c>
      <c r="W4" s="398" t="s">
        <v>121</v>
      </c>
      <c r="X4" s="397" t="s">
        <v>94</v>
      </c>
      <c r="Y4" s="396" t="s">
        <v>95</v>
      </c>
      <c r="Z4" s="396" t="s">
        <v>96</v>
      </c>
      <c r="AA4" s="398" t="s">
        <v>97</v>
      </c>
      <c r="AB4" s="397" t="s">
        <v>101</v>
      </c>
      <c r="AC4" s="396" t="s">
        <v>100</v>
      </c>
      <c r="AD4" s="396" t="s">
        <v>99</v>
      </c>
      <c r="AE4" s="398" t="s">
        <v>98</v>
      </c>
      <c r="AF4" s="397" t="s">
        <v>66</v>
      </c>
      <c r="AG4" s="396" t="s">
        <v>67</v>
      </c>
      <c r="AH4" s="396" t="s">
        <v>72</v>
      </c>
      <c r="AI4" s="398" t="s">
        <v>73</v>
      </c>
      <c r="AJ4" s="397" t="s">
        <v>68</v>
      </c>
      <c r="AK4" s="396" t="s">
        <v>69</v>
      </c>
      <c r="AL4" s="396" t="s">
        <v>70</v>
      </c>
      <c r="AM4" s="398" t="s">
        <v>71</v>
      </c>
      <c r="AN4" s="397" t="s">
        <v>75</v>
      </c>
      <c r="AO4" s="396" t="s">
        <v>74</v>
      </c>
      <c r="AP4" s="396" t="s">
        <v>76</v>
      </c>
      <c r="AQ4" s="398" t="s">
        <v>77</v>
      </c>
      <c r="AR4" s="397" t="s">
        <v>137</v>
      </c>
      <c r="AS4" s="396" t="s">
        <v>138</v>
      </c>
      <c r="AT4" s="396" t="s">
        <v>139</v>
      </c>
      <c r="AU4" s="398" t="s">
        <v>140</v>
      </c>
      <c r="AV4" s="397" t="s">
        <v>256</v>
      </c>
      <c r="AW4" s="396" t="s">
        <v>257</v>
      </c>
      <c r="AX4" s="396" t="s">
        <v>258</v>
      </c>
      <c r="AY4" s="398" t="s">
        <v>259</v>
      </c>
      <c r="AZ4" s="397" t="s">
        <v>436</v>
      </c>
      <c r="BA4" s="396" t="s">
        <v>437</v>
      </c>
      <c r="BB4" s="396" t="s">
        <v>438</v>
      </c>
      <c r="BC4" s="398" t="s">
        <v>439</v>
      </c>
      <c r="BD4" s="397" t="s">
        <v>447</v>
      </c>
      <c r="BE4" s="396" t="s">
        <v>448</v>
      </c>
      <c r="BF4" s="396" t="s">
        <v>449</v>
      </c>
      <c r="BG4" s="398" t="s">
        <v>450</v>
      </c>
      <c r="BH4" s="397" t="s">
        <v>458</v>
      </c>
      <c r="BI4" s="396" t="s">
        <v>459</v>
      </c>
      <c r="BJ4" s="396" t="s">
        <v>460</v>
      </c>
      <c r="BK4" s="398" t="s">
        <v>461</v>
      </c>
      <c r="BL4" s="203"/>
      <c r="BM4" s="203"/>
      <c r="BN4" s="206"/>
      <c r="BO4" s="203"/>
      <c r="BP4" s="203"/>
      <c r="BQ4" s="203"/>
      <c r="BR4" s="203"/>
      <c r="BS4" s="203"/>
      <c r="BT4" s="733"/>
      <c r="BU4" s="698"/>
      <c r="BV4" s="698"/>
      <c r="BW4" s="698"/>
      <c r="BX4" s="789"/>
      <c r="BY4" s="789"/>
      <c r="BZ4" s="789"/>
      <c r="CA4"/>
      <c r="CB4"/>
    </row>
    <row r="5" spans="1:82" ht="14.25" customHeight="1">
      <c r="A5" s="203"/>
      <c r="B5" s="409" t="s">
        <v>184</v>
      </c>
      <c r="C5" s="408"/>
      <c r="D5" s="407">
        <v>38748</v>
      </c>
      <c r="E5" s="405">
        <v>38837</v>
      </c>
      <c r="F5" s="405">
        <v>38929</v>
      </c>
      <c r="G5" s="404">
        <v>39021</v>
      </c>
      <c r="H5" s="407">
        <v>39113</v>
      </c>
      <c r="I5" s="405">
        <v>39202</v>
      </c>
      <c r="J5" s="405">
        <v>39294</v>
      </c>
      <c r="K5" s="404">
        <v>39386</v>
      </c>
      <c r="L5" s="407">
        <v>39478</v>
      </c>
      <c r="M5" s="405">
        <v>39568</v>
      </c>
      <c r="N5" s="405">
        <v>39660</v>
      </c>
      <c r="O5" s="404">
        <v>39752</v>
      </c>
      <c r="P5" s="407">
        <v>39844</v>
      </c>
      <c r="Q5" s="405">
        <v>39933</v>
      </c>
      <c r="R5" s="405">
        <v>40025</v>
      </c>
      <c r="S5" s="404">
        <v>40117</v>
      </c>
      <c r="T5" s="405">
        <v>40209</v>
      </c>
      <c r="U5" s="405">
        <v>40298</v>
      </c>
      <c r="V5" s="405">
        <v>40390</v>
      </c>
      <c r="W5" s="404">
        <v>40482</v>
      </c>
      <c r="X5" s="406">
        <v>40574</v>
      </c>
      <c r="Y5" s="405">
        <v>40663</v>
      </c>
      <c r="Z5" s="405">
        <v>40755</v>
      </c>
      <c r="AA5" s="404">
        <v>40847</v>
      </c>
      <c r="AB5" s="406">
        <v>40939</v>
      </c>
      <c r="AC5" s="405">
        <v>41029</v>
      </c>
      <c r="AD5" s="405">
        <v>41121</v>
      </c>
      <c r="AE5" s="404">
        <v>41213</v>
      </c>
      <c r="AF5" s="406">
        <v>41305</v>
      </c>
      <c r="AG5" s="405">
        <v>41394</v>
      </c>
      <c r="AH5" s="405">
        <v>41486</v>
      </c>
      <c r="AI5" s="404">
        <v>41578</v>
      </c>
      <c r="AJ5" s="406">
        <v>41670</v>
      </c>
      <c r="AK5" s="405">
        <v>41759</v>
      </c>
      <c r="AL5" s="405">
        <v>41851</v>
      </c>
      <c r="AM5" s="404">
        <v>41943</v>
      </c>
      <c r="AN5" s="406">
        <v>42035</v>
      </c>
      <c r="AO5" s="405">
        <v>42124</v>
      </c>
      <c r="AP5" s="405">
        <v>42216</v>
      </c>
      <c r="AQ5" s="404">
        <v>42308</v>
      </c>
      <c r="AR5" s="406">
        <v>42400</v>
      </c>
      <c r="AS5" s="405">
        <v>42490</v>
      </c>
      <c r="AT5" s="405">
        <v>42582</v>
      </c>
      <c r="AU5" s="404">
        <v>42674</v>
      </c>
      <c r="AV5" s="406">
        <v>42766</v>
      </c>
      <c r="AW5" s="405">
        <v>42855</v>
      </c>
      <c r="AX5" s="405">
        <v>42947</v>
      </c>
      <c r="AY5" s="404">
        <v>43039</v>
      </c>
      <c r="AZ5" s="406">
        <v>43131</v>
      </c>
      <c r="BA5" s="405">
        <v>43220</v>
      </c>
      <c r="BB5" s="405">
        <v>43312</v>
      </c>
      <c r="BC5" s="404">
        <v>43404</v>
      </c>
      <c r="BD5" s="406">
        <v>43496</v>
      </c>
      <c r="BE5" s="405">
        <v>43585</v>
      </c>
      <c r="BF5" s="405">
        <v>43677</v>
      </c>
      <c r="BG5" s="404">
        <v>43769</v>
      </c>
      <c r="BH5" s="406">
        <v>43861</v>
      </c>
      <c r="BI5" s="405">
        <v>43951</v>
      </c>
      <c r="BJ5" s="405">
        <v>44043</v>
      </c>
      <c r="BK5" s="404">
        <v>44135</v>
      </c>
      <c r="BL5" s="203"/>
      <c r="BM5" s="203"/>
      <c r="BN5" s="206"/>
      <c r="BO5" s="203"/>
      <c r="BP5" s="203"/>
      <c r="BQ5" s="403"/>
      <c r="BR5" s="403"/>
      <c r="BS5" s="403"/>
      <c r="BT5" s="403"/>
      <c r="BU5" s="203"/>
      <c r="BV5" s="733"/>
      <c r="BW5" s="733"/>
      <c r="BX5" s="721"/>
      <c r="BY5" s="721"/>
      <c r="BZ5" s="721"/>
      <c r="CA5" s="732"/>
      <c r="CB5" s="775"/>
    </row>
    <row r="6" spans="1:82" ht="14.25" customHeight="1">
      <c r="A6" s="203"/>
      <c r="B6" s="402"/>
      <c r="C6" s="401"/>
      <c r="D6" s="397" t="s">
        <v>25</v>
      </c>
      <c r="E6" s="396" t="s">
        <v>26</v>
      </c>
      <c r="F6" s="396" t="s">
        <v>27</v>
      </c>
      <c r="G6" s="398" t="s">
        <v>28</v>
      </c>
      <c r="H6" s="397" t="s">
        <v>29</v>
      </c>
      <c r="I6" s="396" t="s">
        <v>30</v>
      </c>
      <c r="J6" s="396" t="s">
        <v>31</v>
      </c>
      <c r="K6" s="398" t="s">
        <v>32</v>
      </c>
      <c r="L6" s="397" t="s">
        <v>33</v>
      </c>
      <c r="M6" s="396" t="s">
        <v>34</v>
      </c>
      <c r="N6" s="396" t="s">
        <v>35</v>
      </c>
      <c r="O6" s="398" t="s">
        <v>36</v>
      </c>
      <c r="P6" s="397" t="s">
        <v>37</v>
      </c>
      <c r="Q6" s="396" t="s">
        <v>38</v>
      </c>
      <c r="R6" s="396" t="s">
        <v>39</v>
      </c>
      <c r="S6" s="398" t="s">
        <v>40</v>
      </c>
      <c r="T6" s="396" t="s">
        <v>41</v>
      </c>
      <c r="U6" s="396" t="s">
        <v>42</v>
      </c>
      <c r="V6" s="396" t="s">
        <v>43</v>
      </c>
      <c r="W6" s="400" t="s">
        <v>44</v>
      </c>
      <c r="X6" s="397" t="s">
        <v>45</v>
      </c>
      <c r="Y6" s="396" t="s">
        <v>46</v>
      </c>
      <c r="Z6" s="396" t="s">
        <v>47</v>
      </c>
      <c r="AA6" s="398" t="s">
        <v>48</v>
      </c>
      <c r="AB6" s="397" t="s">
        <v>49</v>
      </c>
      <c r="AC6" s="396" t="s">
        <v>50</v>
      </c>
      <c r="AD6" s="396" t="s">
        <v>51</v>
      </c>
      <c r="AE6" s="398" t="s">
        <v>52</v>
      </c>
      <c r="AF6" s="397" t="s">
        <v>53</v>
      </c>
      <c r="AG6" s="396" t="s">
        <v>54</v>
      </c>
      <c r="AH6" s="396" t="s">
        <v>55</v>
      </c>
      <c r="AI6" s="398" t="s">
        <v>56</v>
      </c>
      <c r="AJ6" s="397" t="s">
        <v>57</v>
      </c>
      <c r="AK6" s="396" t="s">
        <v>58</v>
      </c>
      <c r="AL6" s="396" t="s">
        <v>59</v>
      </c>
      <c r="AM6" s="398" t="s">
        <v>60</v>
      </c>
      <c r="AN6" s="397" t="s">
        <v>61</v>
      </c>
      <c r="AO6" s="396" t="s">
        <v>62</v>
      </c>
      <c r="AP6" s="396" t="s">
        <v>63</v>
      </c>
      <c r="AQ6" s="398" t="s">
        <v>64</v>
      </c>
      <c r="AR6" s="397" t="s">
        <v>141</v>
      </c>
      <c r="AS6" s="396" t="s">
        <v>142</v>
      </c>
      <c r="AT6" s="396" t="s">
        <v>143</v>
      </c>
      <c r="AU6" s="398" t="s">
        <v>443</v>
      </c>
      <c r="AV6" s="397" t="s">
        <v>442</v>
      </c>
      <c r="AW6" s="396" t="s">
        <v>445</v>
      </c>
      <c r="AX6" s="396" t="s">
        <v>446</v>
      </c>
      <c r="AY6" s="398" t="s">
        <v>456</v>
      </c>
      <c r="AZ6" s="397" t="s">
        <v>467</v>
      </c>
      <c r="BA6" s="396" t="s">
        <v>433</v>
      </c>
      <c r="BB6" s="396" t="s">
        <v>434</v>
      </c>
      <c r="BC6" s="398" t="s">
        <v>435</v>
      </c>
      <c r="BD6" s="397" t="s">
        <v>451</v>
      </c>
      <c r="BE6" s="396" t="s">
        <v>452</v>
      </c>
      <c r="BF6" s="396" t="s">
        <v>453</v>
      </c>
      <c r="BG6" s="398" t="s">
        <v>454</v>
      </c>
      <c r="BH6" s="397" t="s">
        <v>462</v>
      </c>
      <c r="BI6" s="396" t="s">
        <v>463</v>
      </c>
      <c r="BJ6" s="396" t="s">
        <v>464</v>
      </c>
      <c r="BK6" s="398" t="s">
        <v>465</v>
      </c>
      <c r="BL6" s="215"/>
      <c r="BM6" s="394" t="s">
        <v>212</v>
      </c>
      <c r="BN6" s="394" t="s">
        <v>213</v>
      </c>
      <c r="BO6" s="394" t="s">
        <v>214</v>
      </c>
      <c r="BP6" s="394" t="s">
        <v>215</v>
      </c>
      <c r="BQ6" s="394" t="s">
        <v>216</v>
      </c>
      <c r="BR6" s="394" t="s">
        <v>217</v>
      </c>
      <c r="BS6" s="397" t="s">
        <v>218</v>
      </c>
      <c r="BT6" s="397" t="s">
        <v>219</v>
      </c>
      <c r="BU6" s="398" t="s">
        <v>425</v>
      </c>
      <c r="BV6" s="723" t="s">
        <v>426</v>
      </c>
      <c r="BW6" s="723" t="s">
        <v>457</v>
      </c>
      <c r="BX6" s="723" t="s">
        <v>455</v>
      </c>
      <c r="BY6" s="723" t="s">
        <v>222</v>
      </c>
      <c r="BZ6" s="393" t="s">
        <v>223</v>
      </c>
      <c r="CA6" s="393" t="s">
        <v>224</v>
      </c>
      <c r="CB6" s="184"/>
      <c r="CC6" s="184"/>
      <c r="CD6" s="184"/>
    </row>
    <row r="7" spans="1:82" ht="14.25" customHeight="1">
      <c r="A7" s="203"/>
      <c r="B7" s="217" t="s">
        <v>376</v>
      </c>
      <c r="C7" s="216"/>
      <c r="D7" s="330">
        <v>1857.5920000000001</v>
      </c>
      <c r="E7" s="305">
        <v>2247.6860000000001</v>
      </c>
      <c r="F7" s="305">
        <v>2543.4430000000002</v>
      </c>
      <c r="G7" s="306">
        <v>2518.2930000000001</v>
      </c>
      <c r="H7" s="330">
        <v>2277.2669999999998</v>
      </c>
      <c r="I7" s="305">
        <v>2529.5610000000001</v>
      </c>
      <c r="J7" s="305">
        <v>2560.9839999999999</v>
      </c>
      <c r="K7" s="306">
        <v>2367.0439999999999</v>
      </c>
      <c r="L7" s="330">
        <v>2087.3969999999999</v>
      </c>
      <c r="M7" s="305">
        <v>2149.998</v>
      </c>
      <c r="N7" s="305">
        <v>1848.1679999999999</v>
      </c>
      <c r="O7" s="306">
        <v>2043.6769999999999</v>
      </c>
      <c r="P7" s="330">
        <v>1333.396</v>
      </c>
      <c r="Q7" s="305">
        <v>1020.077</v>
      </c>
      <c r="R7" s="305">
        <v>1133.74</v>
      </c>
      <c r="S7" s="306">
        <v>1526.394</v>
      </c>
      <c r="T7" s="330">
        <v>1848.902</v>
      </c>
      <c r="U7" s="305">
        <v>2295.54</v>
      </c>
      <c r="V7" s="305">
        <v>2517.79</v>
      </c>
      <c r="W7" s="306">
        <v>2886.4349999999995</v>
      </c>
      <c r="X7" s="330">
        <v>2686</v>
      </c>
      <c r="Y7" s="305">
        <v>2862</v>
      </c>
      <c r="Z7" s="305">
        <v>2787</v>
      </c>
      <c r="AA7" s="306">
        <v>2182</v>
      </c>
      <c r="AB7" s="330">
        <v>2189</v>
      </c>
      <c r="AC7" s="305">
        <v>2541</v>
      </c>
      <c r="AD7" s="305">
        <v>2343</v>
      </c>
      <c r="AE7" s="306">
        <v>1646</v>
      </c>
      <c r="AF7" s="330">
        <v>1573</v>
      </c>
      <c r="AG7" s="305">
        <v>1973</v>
      </c>
      <c r="AH7" s="305">
        <v>1975</v>
      </c>
      <c r="AI7" s="306">
        <v>1988</v>
      </c>
      <c r="AJ7" s="330">
        <v>2190</v>
      </c>
      <c r="AK7" s="305">
        <v>2353</v>
      </c>
      <c r="AL7" s="305">
        <v>2265</v>
      </c>
      <c r="AM7" s="306">
        <v>2264</v>
      </c>
      <c r="AN7" s="330">
        <v>2359</v>
      </c>
      <c r="AO7" s="305">
        <v>2442</v>
      </c>
      <c r="AP7" s="305">
        <v>2490</v>
      </c>
      <c r="AQ7" s="306">
        <v>2368</v>
      </c>
      <c r="AR7" s="330">
        <v>2257</v>
      </c>
      <c r="AS7" s="305">
        <v>2450</v>
      </c>
      <c r="AT7" s="305">
        <v>2821</v>
      </c>
      <c r="AU7" s="306">
        <v>3297</v>
      </c>
      <c r="AV7" s="330">
        <v>3278</v>
      </c>
      <c r="AW7" s="305">
        <v>3546</v>
      </c>
      <c r="AX7" s="305">
        <v>3744</v>
      </c>
      <c r="AY7" s="306">
        <v>3969</v>
      </c>
      <c r="AZ7" s="330">
        <v>4204</v>
      </c>
      <c r="BA7" s="386">
        <f>'BU-Segment'!BA73</f>
        <v>4459.7740000000003</v>
      </c>
      <c r="BB7" s="386">
        <f>'BU-Segment'!BB73</f>
        <v>4342.8523249999998</v>
      </c>
      <c r="BC7" s="387">
        <f>'BU-Segment'!BC73</f>
        <v>4370.7503607500003</v>
      </c>
      <c r="BD7" s="721">
        <f>'BU-Segment'!BD73</f>
        <v>4238.7113647124997</v>
      </c>
      <c r="BE7" s="721">
        <f>'BU-Segment'!BE73</f>
        <v>4276.859249183125</v>
      </c>
      <c r="BF7" s="721">
        <f>'BU-Segment'!BF73</f>
        <v>4301.1901239812323</v>
      </c>
      <c r="BG7" s="722">
        <f>'BU-Segment'!BG73</f>
        <v>4359.7032893189698</v>
      </c>
      <c r="BH7" s="721">
        <f>'BU-Segment'!BH73</f>
        <v>4327.0606173439583</v>
      </c>
      <c r="BI7" s="721">
        <f>'BU-Segment'!BI73</f>
        <v>4365.1125164365967</v>
      </c>
      <c r="BJ7" s="721">
        <f>'BU-Segment'!BJ73</f>
        <v>4410.2320512528913</v>
      </c>
      <c r="BK7" s="722">
        <f>'BU-Segment'!BK73</f>
        <v>4414.7572642874811</v>
      </c>
      <c r="BL7" s="215"/>
      <c r="BM7" s="388">
        <f>SUM(D7:G7)</f>
        <v>9167.014000000001</v>
      </c>
      <c r="BN7" s="386">
        <f>SUM(H7:K7)</f>
        <v>9734.8559999999998</v>
      </c>
      <c r="BO7" s="386">
        <f>SUM(L7:O7)</f>
        <v>8129.24</v>
      </c>
      <c r="BP7" s="386">
        <f>SUM(P7:S7)</f>
        <v>5013.607</v>
      </c>
      <c r="BQ7" s="386">
        <f>SUM(T7:W7)</f>
        <v>9548.6669999999995</v>
      </c>
      <c r="BR7" s="386">
        <f>SUM(X7:AA7)</f>
        <v>10517</v>
      </c>
      <c r="BS7" s="386">
        <f>SUM(AB7:AE7)</f>
        <v>8719</v>
      </c>
      <c r="BT7" s="721">
        <f>SUM(AF7:AI7)</f>
        <v>7509</v>
      </c>
      <c r="BU7" s="721">
        <f>SUM(AJ7:AM7)</f>
        <v>9072</v>
      </c>
      <c r="BV7" s="721">
        <f>SUM(AN7:AQ7)</f>
        <v>9659</v>
      </c>
      <c r="BW7" s="721">
        <f>SUM(AR7:AU7)</f>
        <v>10825</v>
      </c>
      <c r="BX7" s="727">
        <f>SUM(AV7:AY7)</f>
        <v>14537</v>
      </c>
      <c r="BY7" s="727">
        <f>SUM(AZ7:BC7)</f>
        <v>17377.376685750001</v>
      </c>
      <c r="BZ7" s="776">
        <f>SUM(BD7:BG7)</f>
        <v>17176.464027195827</v>
      </c>
      <c r="CA7" s="776">
        <f>SUM(BH7:BK7)</f>
        <v>17517.162449320927</v>
      </c>
      <c r="CB7" s="184"/>
      <c r="CC7" s="184"/>
      <c r="CD7" s="184"/>
    </row>
    <row r="8" spans="1:82" ht="14.25" hidden="1" customHeight="1" outlineLevel="1">
      <c r="A8" s="203"/>
      <c r="B8" s="217" t="s">
        <v>375</v>
      </c>
      <c r="C8" s="216"/>
      <c r="D8" s="391"/>
      <c r="E8" s="391"/>
      <c r="F8" s="391"/>
      <c r="G8" s="392"/>
      <c r="H8" s="391"/>
      <c r="I8" s="391"/>
      <c r="J8" s="391"/>
      <c r="K8" s="392"/>
      <c r="L8" s="391"/>
      <c r="M8" s="391"/>
      <c r="N8" s="391"/>
      <c r="O8" s="392"/>
      <c r="P8" s="391"/>
      <c r="Q8" s="391"/>
      <c r="R8" s="391"/>
      <c r="S8" s="392"/>
      <c r="T8" s="389"/>
      <c r="U8" s="391"/>
      <c r="V8" s="391"/>
      <c r="W8" s="392"/>
      <c r="X8" s="389"/>
      <c r="Y8" s="391"/>
      <c r="Z8" s="391"/>
      <c r="AA8" s="392"/>
      <c r="AB8" s="389"/>
      <c r="AC8" s="391"/>
      <c r="AD8" s="391"/>
      <c r="AE8" s="390"/>
      <c r="AF8" s="389"/>
      <c r="AG8" s="391"/>
      <c r="AH8" s="391"/>
      <c r="AI8" s="390"/>
      <c r="AJ8" s="389"/>
      <c r="AK8" s="391"/>
      <c r="AL8" s="391"/>
      <c r="AM8" s="390" t="s">
        <v>160</v>
      </c>
      <c r="AN8" s="389" t="s">
        <v>160</v>
      </c>
      <c r="AO8" s="391"/>
      <c r="AP8" s="391"/>
      <c r="AQ8" s="390" t="s">
        <v>160</v>
      </c>
      <c r="AR8" s="389" t="s">
        <v>160</v>
      </c>
      <c r="AS8" s="391"/>
      <c r="AT8" s="391"/>
      <c r="AU8" s="390" t="s">
        <v>160</v>
      </c>
      <c r="AV8" s="389" t="s">
        <v>160</v>
      </c>
      <c r="AW8" s="391"/>
      <c r="AX8" s="391"/>
      <c r="AY8" s="390" t="s">
        <v>160</v>
      </c>
      <c r="AZ8" s="389" t="s">
        <v>160</v>
      </c>
      <c r="BA8" s="386">
        <v>3225</v>
      </c>
      <c r="BB8" s="386">
        <v>3225</v>
      </c>
      <c r="BC8" s="387">
        <v>3100</v>
      </c>
      <c r="BD8" s="721">
        <v>3129.86</v>
      </c>
      <c r="BE8" s="721">
        <v>3225</v>
      </c>
      <c r="BF8" s="721">
        <v>3225</v>
      </c>
      <c r="BG8" s="722">
        <v>3100</v>
      </c>
      <c r="BH8" s="721">
        <v>3129.86</v>
      </c>
      <c r="BI8" s="721">
        <v>3225</v>
      </c>
      <c r="BJ8" s="721">
        <v>3225</v>
      </c>
      <c r="BK8" s="722">
        <v>3100</v>
      </c>
      <c r="BL8" s="215"/>
      <c r="BM8" s="388"/>
      <c r="BN8" s="386"/>
      <c r="BO8" s="386"/>
      <c r="BP8" s="386"/>
      <c r="BQ8" s="386"/>
      <c r="BR8" s="386"/>
      <c r="BS8" s="386"/>
      <c r="BT8" s="721"/>
      <c r="BU8" s="721"/>
      <c r="BV8" s="721"/>
      <c r="BW8" s="721"/>
      <c r="BX8" s="721"/>
      <c r="BY8" s="721"/>
      <c r="BZ8" s="722"/>
      <c r="CA8" s="722"/>
      <c r="CB8" s="184"/>
      <c r="CC8" s="184"/>
      <c r="CD8" s="184"/>
    </row>
    <row r="9" spans="1:82" ht="14.25" hidden="1" customHeight="1" outlineLevel="1" collapsed="1">
      <c r="A9" s="203"/>
      <c r="B9" s="217"/>
      <c r="C9" s="216"/>
      <c r="D9" s="391"/>
      <c r="E9" s="391"/>
      <c r="F9" s="391"/>
      <c r="G9" s="392"/>
      <c r="H9" s="391"/>
      <c r="I9" s="391"/>
      <c r="J9" s="391"/>
      <c r="K9" s="392"/>
      <c r="L9" s="391"/>
      <c r="M9" s="391"/>
      <c r="N9" s="391"/>
      <c r="O9" s="392"/>
      <c r="P9" s="391"/>
      <c r="Q9" s="391"/>
      <c r="R9" s="391"/>
      <c r="S9" s="392"/>
      <c r="T9" s="389"/>
      <c r="U9" s="391"/>
      <c r="V9" s="391"/>
      <c r="W9" s="392"/>
      <c r="X9" s="389"/>
      <c r="Y9" s="391"/>
      <c r="Z9" s="391"/>
      <c r="AA9" s="392"/>
      <c r="AB9" s="389"/>
      <c r="AC9" s="391"/>
      <c r="AD9" s="391"/>
      <c r="AE9" s="390"/>
      <c r="AF9" s="389"/>
      <c r="AG9" s="391"/>
      <c r="AH9" s="391"/>
      <c r="AI9" s="390"/>
      <c r="AJ9" s="389"/>
      <c r="AK9" s="391"/>
      <c r="AL9" s="391"/>
      <c r="AM9" s="390"/>
      <c r="AN9" s="389"/>
      <c r="AO9" s="391"/>
      <c r="AP9" s="391"/>
      <c r="AQ9" s="390"/>
      <c r="AR9" s="389"/>
      <c r="AS9" s="391"/>
      <c r="AT9" s="391"/>
      <c r="AU9" s="390"/>
      <c r="AV9" s="389"/>
      <c r="AW9" s="391"/>
      <c r="AX9" s="391"/>
      <c r="AY9" s="390"/>
      <c r="AZ9" s="389"/>
      <c r="BA9" s="386"/>
      <c r="BB9" s="386"/>
      <c r="BC9" s="387"/>
      <c r="BD9" s="721"/>
      <c r="BE9" s="721"/>
      <c r="BF9" s="721"/>
      <c r="BG9" s="722"/>
      <c r="BH9" s="721"/>
      <c r="BI9" s="721"/>
      <c r="BJ9" s="721"/>
      <c r="BK9" s="722"/>
      <c r="BL9" s="215"/>
      <c r="BM9" s="388"/>
      <c r="BN9" s="386"/>
      <c r="BO9" s="386"/>
      <c r="BP9" s="386"/>
      <c r="BQ9" s="386"/>
      <c r="BR9" s="386"/>
      <c r="BS9" s="386"/>
      <c r="BT9" s="721"/>
      <c r="BU9" s="721"/>
      <c r="BV9" s="721"/>
      <c r="BW9" s="721"/>
      <c r="BX9" s="721"/>
      <c r="BY9" s="721"/>
      <c r="BZ9" s="722"/>
      <c r="CA9" s="722"/>
      <c r="CB9" s="184"/>
      <c r="CC9" s="184"/>
      <c r="CD9" s="184"/>
    </row>
    <row r="10" spans="1:82" ht="14.25" hidden="1" customHeight="1" outlineLevel="1">
      <c r="A10" s="203"/>
      <c r="B10" s="227" t="s">
        <v>374</v>
      </c>
      <c r="C10" s="331"/>
      <c r="D10" s="305">
        <v>0</v>
      </c>
      <c r="E10" s="305">
        <v>0</v>
      </c>
      <c r="F10" s="305">
        <v>0</v>
      </c>
      <c r="G10" s="306">
        <v>0</v>
      </c>
      <c r="H10" s="305">
        <v>0</v>
      </c>
      <c r="I10" s="305">
        <v>0</v>
      </c>
      <c r="J10" s="305">
        <v>0</v>
      </c>
      <c r="K10" s="306">
        <v>0</v>
      </c>
      <c r="L10" s="305">
        <v>0</v>
      </c>
      <c r="M10" s="305">
        <v>0</v>
      </c>
      <c r="N10" s="305">
        <v>0</v>
      </c>
      <c r="O10" s="306">
        <v>0</v>
      </c>
      <c r="P10" s="305">
        <v>0</v>
      </c>
      <c r="Q10" s="305">
        <v>0</v>
      </c>
      <c r="R10" s="305">
        <v>0</v>
      </c>
      <c r="S10" s="306">
        <v>0</v>
      </c>
      <c r="T10" s="330">
        <v>0</v>
      </c>
      <c r="U10" s="305">
        <v>0</v>
      </c>
      <c r="V10" s="305">
        <v>0</v>
      </c>
      <c r="W10" s="306">
        <v>0</v>
      </c>
      <c r="X10" s="330">
        <v>0</v>
      </c>
      <c r="Y10" s="305">
        <v>0</v>
      </c>
      <c r="Z10" s="305">
        <v>0</v>
      </c>
      <c r="AA10" s="306">
        <v>0</v>
      </c>
      <c r="AB10" s="330">
        <v>0</v>
      </c>
      <c r="AC10" s="305">
        <v>0</v>
      </c>
      <c r="AD10" s="305">
        <v>0</v>
      </c>
      <c r="AE10" s="306">
        <v>0</v>
      </c>
      <c r="AF10" s="330">
        <v>0</v>
      </c>
      <c r="AG10" s="305">
        <v>0</v>
      </c>
      <c r="AH10" s="305">
        <v>0</v>
      </c>
      <c r="AI10" s="306">
        <v>0</v>
      </c>
      <c r="AJ10" s="330">
        <v>0</v>
      </c>
      <c r="AK10" s="305">
        <v>0</v>
      </c>
      <c r="AL10" s="305">
        <v>0</v>
      </c>
      <c r="AM10" s="346">
        <v>0</v>
      </c>
      <c r="AN10" s="330">
        <v>0</v>
      </c>
      <c r="AO10" s="305">
        <v>0</v>
      </c>
      <c r="AP10" s="305">
        <v>0</v>
      </c>
      <c r="AQ10" s="346">
        <v>0</v>
      </c>
      <c r="AR10" s="330">
        <v>0</v>
      </c>
      <c r="AS10" s="305">
        <v>0</v>
      </c>
      <c r="AT10" s="305">
        <v>0</v>
      </c>
      <c r="AU10" s="346">
        <v>0</v>
      </c>
      <c r="AV10" s="330">
        <v>0</v>
      </c>
      <c r="AW10" s="305">
        <v>0</v>
      </c>
      <c r="AX10" s="305">
        <v>0</v>
      </c>
      <c r="AY10" s="306">
        <v>0</v>
      </c>
      <c r="AZ10" s="330">
        <v>0</v>
      </c>
      <c r="BA10" s="220">
        <f t="shared" ref="BA10:BC10" si="0">AZ10</f>
        <v>0</v>
      </c>
      <c r="BB10" s="220">
        <f t="shared" si="0"/>
        <v>0</v>
      </c>
      <c r="BC10" s="226">
        <f t="shared" si="0"/>
        <v>0</v>
      </c>
      <c r="BD10" s="735">
        <f t="shared" ref="BD10" si="1">BC10</f>
        <v>0</v>
      </c>
      <c r="BE10" s="735">
        <f t="shared" ref="BE10" si="2">BD10</f>
        <v>0</v>
      </c>
      <c r="BF10" s="735">
        <f t="shared" ref="BF10" si="3">BE10</f>
        <v>0</v>
      </c>
      <c r="BG10" s="738">
        <f t="shared" ref="BG10" si="4">BF10</f>
        <v>0</v>
      </c>
      <c r="BH10" s="735">
        <f t="shared" ref="BH10" si="5">BG10</f>
        <v>0</v>
      </c>
      <c r="BI10" s="735">
        <f t="shared" ref="BI10" si="6">BH10</f>
        <v>0</v>
      </c>
      <c r="BJ10" s="735">
        <f t="shared" ref="BJ10" si="7">BI10</f>
        <v>0</v>
      </c>
      <c r="BK10" s="738">
        <f t="shared" ref="BK10" si="8">BJ10</f>
        <v>0</v>
      </c>
      <c r="BL10" s="215"/>
      <c r="BM10" s="309">
        <f>SUM(D10:G10)</f>
        <v>0</v>
      </c>
      <c r="BN10" s="220">
        <f>SUM(H10:K10)</f>
        <v>0</v>
      </c>
      <c r="BO10" s="220">
        <f>SUM(L10:O10)</f>
        <v>0</v>
      </c>
      <c r="BP10" s="220">
        <f>SUM(P10:S10)</f>
        <v>0</v>
      </c>
      <c r="BQ10" s="220">
        <f>SUM(T10:W10)</f>
        <v>0</v>
      </c>
      <c r="BR10" s="220">
        <f>SUM(X10:AA10)</f>
        <v>0</v>
      </c>
      <c r="BS10" s="220">
        <f>SUM(AB10:AE10)</f>
        <v>0</v>
      </c>
      <c r="BT10" s="735">
        <f>SUM(AF10:AI10)</f>
        <v>0</v>
      </c>
      <c r="BU10" s="735">
        <f>SUM(AJ10:AM10)</f>
        <v>0</v>
      </c>
      <c r="BV10" s="700">
        <f>SUM(AN10:AQ10)</f>
        <v>0</v>
      </c>
      <c r="BW10" s="700">
        <f>SUM(AR10:AU10)</f>
        <v>0</v>
      </c>
      <c r="BX10" s="700">
        <f>SUM(AV10:AY10)</f>
        <v>0</v>
      </c>
      <c r="BY10" s="735">
        <f>SUM(AZ10:BC10)</f>
        <v>0</v>
      </c>
      <c r="BZ10" s="738">
        <f>SUM(BD10:BG10)</f>
        <v>0</v>
      </c>
      <c r="CA10" s="738">
        <f>SUM(BH10:BK10)</f>
        <v>0</v>
      </c>
      <c r="CB10" s="184"/>
      <c r="CC10" s="184"/>
      <c r="CD10" s="184"/>
    </row>
    <row r="11" spans="1:82" ht="14.25" hidden="1" customHeight="1" outlineLevel="1">
      <c r="A11" s="203"/>
      <c r="B11" s="217" t="s">
        <v>373</v>
      </c>
      <c r="C11" s="216"/>
      <c r="D11" s="220">
        <f t="shared" ref="D11:AQ11" si="9">D7-D10</f>
        <v>1857.5920000000001</v>
      </c>
      <c r="E11" s="220">
        <f t="shared" si="9"/>
        <v>2247.6860000000001</v>
      </c>
      <c r="F11" s="220">
        <f t="shared" si="9"/>
        <v>2543.4430000000002</v>
      </c>
      <c r="G11" s="226">
        <f t="shared" si="9"/>
        <v>2518.2930000000001</v>
      </c>
      <c r="H11" s="220">
        <f t="shared" si="9"/>
        <v>2277.2669999999998</v>
      </c>
      <c r="I11" s="220">
        <f t="shared" si="9"/>
        <v>2529.5610000000001</v>
      </c>
      <c r="J11" s="220">
        <f t="shared" si="9"/>
        <v>2560.9839999999999</v>
      </c>
      <c r="K11" s="226">
        <f t="shared" si="9"/>
        <v>2367.0439999999999</v>
      </c>
      <c r="L11" s="220">
        <f t="shared" si="9"/>
        <v>2087.3969999999999</v>
      </c>
      <c r="M11" s="220">
        <f t="shared" si="9"/>
        <v>2149.998</v>
      </c>
      <c r="N11" s="220">
        <f t="shared" si="9"/>
        <v>1848.1679999999999</v>
      </c>
      <c r="O11" s="226">
        <f t="shared" si="9"/>
        <v>2043.6769999999999</v>
      </c>
      <c r="P11" s="220">
        <f t="shared" si="9"/>
        <v>1333.396</v>
      </c>
      <c r="Q11" s="220">
        <f t="shared" si="9"/>
        <v>1020.077</v>
      </c>
      <c r="R11" s="220">
        <f t="shared" si="9"/>
        <v>1133.74</v>
      </c>
      <c r="S11" s="226">
        <f t="shared" si="9"/>
        <v>1526.394</v>
      </c>
      <c r="T11" s="309">
        <f t="shared" si="9"/>
        <v>1848.902</v>
      </c>
      <c r="U11" s="220">
        <f t="shared" si="9"/>
        <v>2295.54</v>
      </c>
      <c r="V11" s="220">
        <f t="shared" si="9"/>
        <v>2517.79</v>
      </c>
      <c r="W11" s="226">
        <f t="shared" si="9"/>
        <v>2886.4349999999995</v>
      </c>
      <c r="X11" s="309">
        <f t="shared" si="9"/>
        <v>2686</v>
      </c>
      <c r="Y11" s="220">
        <f t="shared" si="9"/>
        <v>2862</v>
      </c>
      <c r="Z11" s="220">
        <f t="shared" si="9"/>
        <v>2787</v>
      </c>
      <c r="AA11" s="226">
        <f t="shared" si="9"/>
        <v>2182</v>
      </c>
      <c r="AB11" s="309">
        <f t="shared" si="9"/>
        <v>2189</v>
      </c>
      <c r="AC11" s="220">
        <f t="shared" si="9"/>
        <v>2541</v>
      </c>
      <c r="AD11" s="220">
        <f t="shared" si="9"/>
        <v>2343</v>
      </c>
      <c r="AE11" s="226">
        <f t="shared" si="9"/>
        <v>1646</v>
      </c>
      <c r="AF11" s="309">
        <f t="shared" si="9"/>
        <v>1573</v>
      </c>
      <c r="AG11" s="220">
        <f t="shared" si="9"/>
        <v>1973</v>
      </c>
      <c r="AH11" s="220">
        <f t="shared" si="9"/>
        <v>1975</v>
      </c>
      <c r="AI11" s="226">
        <f t="shared" si="9"/>
        <v>1988</v>
      </c>
      <c r="AJ11" s="309">
        <f t="shared" si="9"/>
        <v>2190</v>
      </c>
      <c r="AK11" s="220">
        <f t="shared" si="9"/>
        <v>2353</v>
      </c>
      <c r="AL11" s="220">
        <f t="shared" si="9"/>
        <v>2265</v>
      </c>
      <c r="AM11" s="345">
        <f t="shared" si="9"/>
        <v>2264</v>
      </c>
      <c r="AN11" s="309">
        <f t="shared" si="9"/>
        <v>2359</v>
      </c>
      <c r="AO11" s="220">
        <f t="shared" si="9"/>
        <v>2442</v>
      </c>
      <c r="AP11" s="220">
        <f t="shared" si="9"/>
        <v>2490</v>
      </c>
      <c r="AQ11" s="345">
        <f t="shared" si="9"/>
        <v>2368</v>
      </c>
      <c r="AR11" s="309">
        <f t="shared" ref="AR11:AW11" si="10">AR7-AR10</f>
        <v>2257</v>
      </c>
      <c r="AS11" s="220">
        <f t="shared" si="10"/>
        <v>2450</v>
      </c>
      <c r="AT11" s="220">
        <f t="shared" si="10"/>
        <v>2821</v>
      </c>
      <c r="AU11" s="345">
        <f t="shared" si="10"/>
        <v>3297</v>
      </c>
      <c r="AV11" s="309">
        <f t="shared" si="10"/>
        <v>3278</v>
      </c>
      <c r="AW11" s="220">
        <f t="shared" si="10"/>
        <v>3546</v>
      </c>
      <c r="AX11" s="220">
        <f t="shared" ref="AX11:AZ11" si="11">AX7-AX10</f>
        <v>3744</v>
      </c>
      <c r="AY11" s="738">
        <f t="shared" si="11"/>
        <v>3969</v>
      </c>
      <c r="AZ11" s="747">
        <f t="shared" si="11"/>
        <v>4204</v>
      </c>
      <c r="BA11" s="220">
        <f t="shared" ref="BA11:BG11" si="12">BA7-BA10</f>
        <v>4459.7740000000003</v>
      </c>
      <c r="BB11" s="220">
        <f t="shared" si="12"/>
        <v>4342.8523249999998</v>
      </c>
      <c r="BC11" s="226">
        <f t="shared" si="12"/>
        <v>4370.7503607500003</v>
      </c>
      <c r="BD11" s="735">
        <f t="shared" si="12"/>
        <v>4238.7113647124997</v>
      </c>
      <c r="BE11" s="735">
        <f t="shared" si="12"/>
        <v>4276.859249183125</v>
      </c>
      <c r="BF11" s="735">
        <f t="shared" si="12"/>
        <v>4301.1901239812323</v>
      </c>
      <c r="BG11" s="738">
        <f t="shared" si="12"/>
        <v>4359.7032893189698</v>
      </c>
      <c r="BH11" s="735">
        <f t="shared" ref="BH11:BK11" si="13">BH7-BH10</f>
        <v>4327.0606173439583</v>
      </c>
      <c r="BI11" s="735">
        <f t="shared" si="13"/>
        <v>4365.1125164365967</v>
      </c>
      <c r="BJ11" s="735">
        <f t="shared" si="13"/>
        <v>4410.2320512528913</v>
      </c>
      <c r="BK11" s="738">
        <f t="shared" si="13"/>
        <v>4414.7572642874811</v>
      </c>
      <c r="BL11" s="215"/>
      <c r="BM11" s="309">
        <f>SUM(D11:G11)</f>
        <v>9167.014000000001</v>
      </c>
      <c r="BN11" s="220">
        <f>SUM(H11:K11)</f>
        <v>9734.8559999999998</v>
      </c>
      <c r="BO11" s="220">
        <f>SUM(L11:O11)</f>
        <v>8129.24</v>
      </c>
      <c r="BP11" s="220">
        <f>SUM(P11:S11)</f>
        <v>5013.607</v>
      </c>
      <c r="BQ11" s="220">
        <f>SUM(T11:W11)</f>
        <v>9548.6669999999995</v>
      </c>
      <c r="BR11" s="220">
        <f>SUM(X11:AA11)</f>
        <v>10517</v>
      </c>
      <c r="BS11" s="220">
        <f>SUM(AB11:AE11)</f>
        <v>8719</v>
      </c>
      <c r="BT11" s="735">
        <f>SUM(AF11:AI11)</f>
        <v>7509</v>
      </c>
      <c r="BU11" s="735">
        <f>SUM(AJ11:AM11)</f>
        <v>9072</v>
      </c>
      <c r="BV11" s="700">
        <f>SUM(AN11:AQ11)</f>
        <v>9659</v>
      </c>
      <c r="BW11" s="700">
        <f>SUM(AR11:AU11)</f>
        <v>10825</v>
      </c>
      <c r="BX11" s="700">
        <f>SUM(AV11:AY11)</f>
        <v>14537</v>
      </c>
      <c r="BY11" s="735">
        <f>SUM(AZ11:BC11)</f>
        <v>17377.376685750001</v>
      </c>
      <c r="BZ11" s="738">
        <f>SUM(BD11:BG11)</f>
        <v>17176.464027195827</v>
      </c>
      <c r="CA11" s="738">
        <f>SUM(BH11:BK11)</f>
        <v>17517.162449320927</v>
      </c>
      <c r="CB11" s="184"/>
      <c r="CC11" s="184"/>
      <c r="CD11" s="184"/>
    </row>
    <row r="12" spans="1:82" ht="14.25" customHeight="1" collapsed="1">
      <c r="A12" s="203"/>
      <c r="B12" s="262" t="s">
        <v>296</v>
      </c>
      <c r="C12" s="261"/>
      <c r="D12" s="275"/>
      <c r="E12" s="275">
        <f t="shared" ref="E12:AZ12" si="14">E7/D7-1</f>
        <v>0.20999982773396964</v>
      </c>
      <c r="F12" s="275">
        <f t="shared" si="14"/>
        <v>0.13158288123874962</v>
      </c>
      <c r="G12" s="277">
        <f t="shared" si="14"/>
        <v>-9.8881712702034719E-3</v>
      </c>
      <c r="H12" s="275">
        <f t="shared" si="14"/>
        <v>-9.5710070273792747E-2</v>
      </c>
      <c r="I12" s="275">
        <f t="shared" si="14"/>
        <v>0.11078806305979949</v>
      </c>
      <c r="J12" s="275">
        <f t="shared" si="14"/>
        <v>1.24223135951258E-2</v>
      </c>
      <c r="K12" s="277">
        <f t="shared" si="14"/>
        <v>-7.572870427929268E-2</v>
      </c>
      <c r="L12" s="275">
        <f t="shared" si="14"/>
        <v>-0.1181418680852574</v>
      </c>
      <c r="M12" s="275">
        <f t="shared" si="14"/>
        <v>2.9989982739268228E-2</v>
      </c>
      <c r="N12" s="275">
        <f t="shared" si="14"/>
        <v>-0.14038617710342061</v>
      </c>
      <c r="O12" s="277">
        <f t="shared" si="14"/>
        <v>0.10578529657477032</v>
      </c>
      <c r="P12" s="275">
        <f t="shared" si="14"/>
        <v>-0.34755051801238646</v>
      </c>
      <c r="Q12" s="275">
        <f t="shared" si="14"/>
        <v>-0.23497820602431685</v>
      </c>
      <c r="R12" s="275">
        <f t="shared" si="14"/>
        <v>0.11142590216228765</v>
      </c>
      <c r="S12" s="277">
        <f t="shared" si="14"/>
        <v>0.34633513856792564</v>
      </c>
      <c r="T12" s="337">
        <f t="shared" si="14"/>
        <v>0.21128751816372437</v>
      </c>
      <c r="U12" s="275">
        <f t="shared" si="14"/>
        <v>0.24156932060217362</v>
      </c>
      <c r="V12" s="275">
        <f t="shared" si="14"/>
        <v>9.6818177857933119E-2</v>
      </c>
      <c r="W12" s="277">
        <f t="shared" si="14"/>
        <v>0.14641610301097363</v>
      </c>
      <c r="X12" s="337">
        <f t="shared" si="14"/>
        <v>-6.9440330372933956E-2</v>
      </c>
      <c r="Y12" s="275">
        <f t="shared" si="14"/>
        <v>6.5524944154877085E-2</v>
      </c>
      <c r="Z12" s="275">
        <f t="shared" si="14"/>
        <v>-2.6205450733752578E-2</v>
      </c>
      <c r="AA12" s="277">
        <f t="shared" si="14"/>
        <v>-0.21707929673484028</v>
      </c>
      <c r="AB12" s="337">
        <f t="shared" si="14"/>
        <v>3.2080659945004086E-3</v>
      </c>
      <c r="AC12" s="275">
        <f t="shared" si="14"/>
        <v>0.16080402010050254</v>
      </c>
      <c r="AD12" s="275">
        <f t="shared" si="14"/>
        <v>-7.7922077922077948E-2</v>
      </c>
      <c r="AE12" s="277">
        <f t="shared" si="14"/>
        <v>-0.29748186086214257</v>
      </c>
      <c r="AF12" s="337">
        <f t="shared" si="14"/>
        <v>-4.4349939246658532E-2</v>
      </c>
      <c r="AG12" s="275">
        <f t="shared" si="14"/>
        <v>0.25429116338207258</v>
      </c>
      <c r="AH12" s="275">
        <f t="shared" si="14"/>
        <v>1.0136847440445074E-3</v>
      </c>
      <c r="AI12" s="277">
        <f t="shared" si="14"/>
        <v>6.5822784810125601E-3</v>
      </c>
      <c r="AJ12" s="337">
        <f t="shared" si="14"/>
        <v>0.10160965794768617</v>
      </c>
      <c r="AK12" s="275">
        <f t="shared" si="14"/>
        <v>7.4429223744292283E-2</v>
      </c>
      <c r="AL12" s="275">
        <f t="shared" si="14"/>
        <v>-3.7399065023374423E-2</v>
      </c>
      <c r="AM12" s="338">
        <f t="shared" si="14"/>
        <v>-4.4150110375273943E-4</v>
      </c>
      <c r="AN12" s="337">
        <f t="shared" si="14"/>
        <v>4.1961130742049546E-2</v>
      </c>
      <c r="AO12" s="275">
        <f t="shared" si="14"/>
        <v>3.5184400169563368E-2</v>
      </c>
      <c r="AP12" s="275">
        <f t="shared" si="14"/>
        <v>1.9656019656019597E-2</v>
      </c>
      <c r="AQ12" s="338">
        <f t="shared" si="14"/>
        <v>-4.8995983935743004E-2</v>
      </c>
      <c r="AR12" s="337">
        <f t="shared" si="14"/>
        <v>-4.6875E-2</v>
      </c>
      <c r="AS12" s="275">
        <f t="shared" si="14"/>
        <v>8.551174124944616E-2</v>
      </c>
      <c r="AT12" s="275">
        <f t="shared" si="14"/>
        <v>0.15142857142857147</v>
      </c>
      <c r="AU12" s="338">
        <f t="shared" si="14"/>
        <v>0.16873449131513651</v>
      </c>
      <c r="AV12" s="337">
        <f t="shared" si="14"/>
        <v>-5.7628146800121627E-3</v>
      </c>
      <c r="AW12" s="275">
        <f t="shared" si="14"/>
        <v>8.1757169005491237E-2</v>
      </c>
      <c r="AX12" s="275">
        <f t="shared" si="14"/>
        <v>5.5837563451776706E-2</v>
      </c>
      <c r="AY12" s="705">
        <f t="shared" si="14"/>
        <v>6.0096153846153744E-2</v>
      </c>
      <c r="AZ12" s="713">
        <f t="shared" si="14"/>
        <v>5.9208868732678166E-2</v>
      </c>
      <c r="BA12" s="275">
        <f t="shared" ref="BA12:BG12" si="15">BA7/AZ7-1</f>
        <v>6.0840627973358874E-2</v>
      </c>
      <c r="BB12" s="275">
        <f t="shared" si="15"/>
        <v>-2.6216950679563644E-2</v>
      </c>
      <c r="BC12" s="277">
        <f t="shared" si="15"/>
        <v>6.4238969373660026E-3</v>
      </c>
      <c r="BD12" s="704">
        <f t="shared" si="15"/>
        <v>-3.0209686012550807E-2</v>
      </c>
      <c r="BE12" s="704">
        <f t="shared" si="15"/>
        <v>8.9998778374504873E-3</v>
      </c>
      <c r="BF12" s="704">
        <f t="shared" si="15"/>
        <v>5.6889585044808122E-3</v>
      </c>
      <c r="BG12" s="705">
        <f t="shared" si="15"/>
        <v>1.3603947663577642E-2</v>
      </c>
      <c r="BH12" s="704">
        <f t="shared" ref="BH12" si="16">BH7/BG7-1</f>
        <v>-7.4873609071021141E-3</v>
      </c>
      <c r="BI12" s="704">
        <f t="shared" ref="BI12" si="17">BI7/BH7-1</f>
        <v>8.7939371452567805E-3</v>
      </c>
      <c r="BJ12" s="704">
        <f t="shared" ref="BJ12" si="18">BJ7/BI7-1</f>
        <v>1.0336396747254284E-2</v>
      </c>
      <c r="BK12" s="705">
        <f t="shared" ref="BK12" si="19">BK7/BJ7-1</f>
        <v>1.0260714134768811E-3</v>
      </c>
      <c r="BL12" s="215"/>
      <c r="BM12" s="325"/>
      <c r="BN12" s="323"/>
      <c r="BO12" s="323"/>
      <c r="BP12" s="323"/>
      <c r="BQ12" s="323"/>
      <c r="BR12" s="323"/>
      <c r="BS12" s="323"/>
      <c r="BT12" s="710"/>
      <c r="BU12" s="710"/>
      <c r="BV12" s="710"/>
      <c r="BW12" s="704" t="s">
        <v>160</v>
      </c>
      <c r="BX12" s="704"/>
      <c r="BY12" s="704" t="s">
        <v>160</v>
      </c>
      <c r="BZ12" s="705" t="s">
        <v>160</v>
      </c>
      <c r="CA12" s="705" t="s">
        <v>160</v>
      </c>
      <c r="CB12" s="184"/>
      <c r="CC12" s="184"/>
      <c r="CD12" s="184"/>
    </row>
    <row r="13" spans="1:82" ht="14.25" customHeight="1">
      <c r="A13" s="203"/>
      <c r="B13" s="262" t="s">
        <v>372</v>
      </c>
      <c r="C13" s="261"/>
      <c r="D13" s="275"/>
      <c r="E13" s="275"/>
      <c r="F13" s="275"/>
      <c r="G13" s="277"/>
      <c r="H13" s="275">
        <f t="shared" ref="H13:AZ13" si="20">H7/D7-1</f>
        <v>0.22592420725326101</v>
      </c>
      <c r="I13" s="275">
        <f t="shared" si="20"/>
        <v>0.12540675165481296</v>
      </c>
      <c r="J13" s="275">
        <f t="shared" si="20"/>
        <v>6.8965571471426568E-3</v>
      </c>
      <c r="K13" s="277">
        <f t="shared" si="20"/>
        <v>-6.0060128031170446E-2</v>
      </c>
      <c r="L13" s="275">
        <f t="shared" si="20"/>
        <v>-8.3376257592983172E-2</v>
      </c>
      <c r="M13" s="275">
        <f t="shared" si="20"/>
        <v>-0.15005093769235056</v>
      </c>
      <c r="N13" s="275">
        <f t="shared" si="20"/>
        <v>-0.27833676430621979</v>
      </c>
      <c r="O13" s="277">
        <f t="shared" si="20"/>
        <v>-0.13661216268054166</v>
      </c>
      <c r="P13" s="275">
        <f t="shared" si="20"/>
        <v>-0.36121590670102521</v>
      </c>
      <c r="Q13" s="275">
        <f t="shared" si="20"/>
        <v>-0.52554514004199082</v>
      </c>
      <c r="R13" s="275">
        <f t="shared" si="20"/>
        <v>-0.38656009626830456</v>
      </c>
      <c r="S13" s="277">
        <f t="shared" si="20"/>
        <v>-0.25311387269123253</v>
      </c>
      <c r="T13" s="337">
        <f t="shared" si="20"/>
        <v>0.3866113292675244</v>
      </c>
      <c r="U13" s="275">
        <f t="shared" si="20"/>
        <v>1.2503595316824123</v>
      </c>
      <c r="V13" s="275">
        <f t="shared" si="20"/>
        <v>1.2207825427346659</v>
      </c>
      <c r="W13" s="277">
        <f t="shared" si="20"/>
        <v>0.89101568795474795</v>
      </c>
      <c r="X13" s="337">
        <f t="shared" si="20"/>
        <v>0.45275412109457402</v>
      </c>
      <c r="Y13" s="275">
        <f t="shared" si="20"/>
        <v>0.24676546694895318</v>
      </c>
      <c r="Z13" s="275">
        <f t="shared" si="20"/>
        <v>0.10692313497154249</v>
      </c>
      <c r="AA13" s="277">
        <f t="shared" si="20"/>
        <v>-0.24405018647570431</v>
      </c>
      <c r="AB13" s="337">
        <f t="shared" si="20"/>
        <v>-0.18503350707371558</v>
      </c>
      <c r="AC13" s="275">
        <f t="shared" si="20"/>
        <v>-0.11215932914046123</v>
      </c>
      <c r="AD13" s="275">
        <f t="shared" si="20"/>
        <v>-0.15931108719052745</v>
      </c>
      <c r="AE13" s="277">
        <f t="shared" si="20"/>
        <v>-0.24564619615032079</v>
      </c>
      <c r="AF13" s="337">
        <f t="shared" si="20"/>
        <v>-0.28140703517587939</v>
      </c>
      <c r="AG13" s="275">
        <f t="shared" si="20"/>
        <v>-0.22353404171585989</v>
      </c>
      <c r="AH13" s="275">
        <f t="shared" si="20"/>
        <v>-0.15706359368331202</v>
      </c>
      <c r="AI13" s="277">
        <f t="shared" si="20"/>
        <v>0.20777642770352367</v>
      </c>
      <c r="AJ13" s="337">
        <f t="shared" si="20"/>
        <v>0.39224411951684668</v>
      </c>
      <c r="AK13" s="275">
        <f t="shared" si="20"/>
        <v>0.19260010136847439</v>
      </c>
      <c r="AL13" s="275">
        <f t="shared" si="20"/>
        <v>0.14683544303797458</v>
      </c>
      <c r="AM13" s="338">
        <f t="shared" si="20"/>
        <v>0.13883299798792748</v>
      </c>
      <c r="AN13" s="337">
        <f t="shared" si="20"/>
        <v>7.7168949771689421E-2</v>
      </c>
      <c r="AO13" s="275">
        <f t="shared" si="20"/>
        <v>3.7824054398640117E-2</v>
      </c>
      <c r="AP13" s="275">
        <f t="shared" si="20"/>
        <v>9.9337748344370924E-2</v>
      </c>
      <c r="AQ13" s="338">
        <f t="shared" si="20"/>
        <v>4.5936395759717419E-2</v>
      </c>
      <c r="AR13" s="337">
        <f t="shared" si="20"/>
        <v>-4.3238660449342992E-2</v>
      </c>
      <c r="AS13" s="275">
        <f t="shared" si="20"/>
        <v>3.2760032760033031E-3</v>
      </c>
      <c r="AT13" s="275">
        <f t="shared" si="20"/>
        <v>0.13293172690763044</v>
      </c>
      <c r="AU13" s="338">
        <f t="shared" si="20"/>
        <v>0.39231418918918926</v>
      </c>
      <c r="AV13" s="337">
        <f t="shared" si="20"/>
        <v>0.45237040319007527</v>
      </c>
      <c r="AW13" s="275">
        <f t="shared" si="20"/>
        <v>0.44734693877551024</v>
      </c>
      <c r="AX13" s="275">
        <f t="shared" si="20"/>
        <v>0.32718894009216593</v>
      </c>
      <c r="AY13" s="705">
        <f t="shared" si="20"/>
        <v>0.20382165605095537</v>
      </c>
      <c r="AZ13" s="713">
        <f t="shared" si="20"/>
        <v>0.28248932275777916</v>
      </c>
      <c r="BA13" s="275">
        <f t="shared" ref="BA13:BG13" si="21">BA7/AW7-1</f>
        <v>0.25769148336153425</v>
      </c>
      <c r="BB13" s="275">
        <f t="shared" si="21"/>
        <v>0.15994987313034192</v>
      </c>
      <c r="BC13" s="277">
        <f t="shared" si="21"/>
        <v>0.10122206116150179</v>
      </c>
      <c r="BD13" s="704">
        <f t="shared" si="21"/>
        <v>8.2567470771883755E-3</v>
      </c>
      <c r="BE13" s="704">
        <f t="shared" si="21"/>
        <v>-4.1014354273753661E-2</v>
      </c>
      <c r="BF13" s="704">
        <f t="shared" si="21"/>
        <v>-9.5932806139724658E-3</v>
      </c>
      <c r="BG13" s="705">
        <f t="shared" si="21"/>
        <v>-2.5274999758015948E-3</v>
      </c>
      <c r="BH13" s="704">
        <f t="shared" ref="BH13" si="22">BH7/BD7-1</f>
        <v>2.0843422689020619E-2</v>
      </c>
      <c r="BI13" s="704">
        <f t="shared" ref="BI13" si="23">BI7/BE7-1</f>
        <v>2.0635064684517701E-2</v>
      </c>
      <c r="BJ13" s="704">
        <f t="shared" ref="BJ13" si="24">BJ7/BF7-1</f>
        <v>2.5351571106726256E-2</v>
      </c>
      <c r="BK13" s="705">
        <f t="shared" ref="BK13" si="25">BK7/BG7-1</f>
        <v>1.2627917845553949E-2</v>
      </c>
      <c r="BL13" s="215"/>
      <c r="BM13" s="337"/>
      <c r="BN13" s="275">
        <f t="shared" ref="BN13:CA13" si="26">BN11/BM11-1</f>
        <v>6.1944052883523337E-2</v>
      </c>
      <c r="BO13" s="275">
        <f t="shared" si="26"/>
        <v>-0.16493474582469425</v>
      </c>
      <c r="BP13" s="275">
        <f t="shared" si="26"/>
        <v>-0.38326251900546671</v>
      </c>
      <c r="BQ13" s="275">
        <f t="shared" si="26"/>
        <v>0.9045503566593871</v>
      </c>
      <c r="BR13" s="275">
        <f t="shared" si="26"/>
        <v>0.10141028061822666</v>
      </c>
      <c r="BS13" s="275">
        <f t="shared" si="26"/>
        <v>-0.17096130075116478</v>
      </c>
      <c r="BT13" s="704">
        <f t="shared" si="26"/>
        <v>-0.13877738272737694</v>
      </c>
      <c r="BU13" s="704">
        <f t="shared" si="26"/>
        <v>0.20815021973631631</v>
      </c>
      <c r="BV13" s="704">
        <f t="shared" si="26"/>
        <v>6.4704585537918913E-2</v>
      </c>
      <c r="BW13" s="704">
        <f t="shared" si="26"/>
        <v>0.12071643027228496</v>
      </c>
      <c r="BX13" s="704">
        <f t="shared" si="26"/>
        <v>0.34290993071593534</v>
      </c>
      <c r="BY13" s="704">
        <f t="shared" si="26"/>
        <v>0.19538946727316509</v>
      </c>
      <c r="BZ13" s="705">
        <f t="shared" si="26"/>
        <v>-1.1561736974886938E-2</v>
      </c>
      <c r="CA13" s="705">
        <f t="shared" si="26"/>
        <v>1.9835189686635557E-2</v>
      </c>
      <c r="CB13" s="184"/>
      <c r="CC13" s="184"/>
      <c r="CD13" s="184"/>
    </row>
    <row r="14" spans="1:82" ht="14.25" customHeight="1">
      <c r="A14" s="203"/>
      <c r="B14" s="217"/>
      <c r="C14" s="216"/>
      <c r="D14" s="353"/>
      <c r="E14" s="353"/>
      <c r="F14" s="353"/>
      <c r="G14" s="354"/>
      <c r="H14" s="353"/>
      <c r="I14" s="353"/>
      <c r="J14" s="353"/>
      <c r="K14" s="354"/>
      <c r="L14" s="353"/>
      <c r="M14" s="353"/>
      <c r="N14" s="353"/>
      <c r="O14" s="354"/>
      <c r="P14" s="353"/>
      <c r="Q14" s="353"/>
      <c r="R14" s="353"/>
      <c r="S14" s="354"/>
      <c r="T14" s="355"/>
      <c r="U14" s="353"/>
      <c r="V14" s="353"/>
      <c r="W14" s="354"/>
      <c r="X14" s="355"/>
      <c r="Y14" s="353"/>
      <c r="Z14" s="353"/>
      <c r="AA14" s="354"/>
      <c r="AB14" s="355"/>
      <c r="AC14" s="353"/>
      <c r="AD14" s="353"/>
      <c r="AE14" s="354"/>
      <c r="AF14" s="355"/>
      <c r="AG14" s="353"/>
      <c r="AH14" s="353"/>
      <c r="AI14" s="354"/>
      <c r="AJ14" s="355"/>
      <c r="AK14" s="353"/>
      <c r="AL14" s="353"/>
      <c r="AM14" s="358"/>
      <c r="AN14" s="355"/>
      <c r="AO14" s="353"/>
      <c r="AP14" s="353"/>
      <c r="AQ14" s="358"/>
      <c r="AR14" s="355"/>
      <c r="AS14" s="353"/>
      <c r="AT14" s="353"/>
      <c r="AU14" s="358"/>
      <c r="AV14" s="355"/>
      <c r="AW14" s="353"/>
      <c r="AX14" s="353"/>
      <c r="AY14" s="715"/>
      <c r="AZ14" s="355"/>
      <c r="BA14" s="353"/>
      <c r="BB14" s="353"/>
      <c r="BC14" s="354"/>
      <c r="BD14" s="714"/>
      <c r="BE14" s="714"/>
      <c r="BF14" s="714"/>
      <c r="BG14" s="715"/>
      <c r="BH14" s="714"/>
      <c r="BI14" s="714"/>
      <c r="BJ14" s="714"/>
      <c r="BK14" s="715"/>
      <c r="BL14" s="215"/>
      <c r="BM14" s="257"/>
      <c r="BN14" s="255"/>
      <c r="BO14" s="255"/>
      <c r="BP14" s="255"/>
      <c r="BQ14" s="255"/>
      <c r="BR14" s="255"/>
      <c r="BS14" s="255"/>
      <c r="BT14" s="741"/>
      <c r="BU14" s="741"/>
      <c r="BV14" s="702"/>
      <c r="BW14" s="702"/>
      <c r="BX14" s="702"/>
      <c r="BY14" s="741"/>
      <c r="BZ14" s="742"/>
      <c r="CA14" s="742"/>
      <c r="CB14" s="184"/>
      <c r="CC14" s="184"/>
      <c r="CD14" s="184"/>
    </row>
    <row r="15" spans="1:82" ht="14.25" customHeight="1">
      <c r="A15" s="203"/>
      <c r="B15" s="217" t="s">
        <v>371</v>
      </c>
      <c r="C15" s="216"/>
      <c r="D15" s="330">
        <v>1019.893</v>
      </c>
      <c r="E15" s="305">
        <v>1203.0609999999999</v>
      </c>
      <c r="F15" s="305">
        <v>1320.0889999999999</v>
      </c>
      <c r="G15" s="306">
        <v>1332.1690000000001</v>
      </c>
      <c r="H15" s="330">
        <v>1214.729</v>
      </c>
      <c r="I15" s="305">
        <v>1392.951</v>
      </c>
      <c r="J15" s="305">
        <v>1344.5940000000001</v>
      </c>
      <c r="K15" s="306">
        <v>1290.1389999999999</v>
      </c>
      <c r="L15" s="330">
        <v>1152.4159999999999</v>
      </c>
      <c r="M15" s="305">
        <v>1183.17</v>
      </c>
      <c r="N15" s="305">
        <v>1105.854</v>
      </c>
      <c r="O15" s="306">
        <v>1244.972</v>
      </c>
      <c r="P15" s="330">
        <v>941.82</v>
      </c>
      <c r="Q15" s="305">
        <v>864.55799999999999</v>
      </c>
      <c r="R15" s="305">
        <v>808.86599999999999</v>
      </c>
      <c r="S15" s="306">
        <v>967.55799999999999</v>
      </c>
      <c r="T15" s="330">
        <v>1137.7180000000001</v>
      </c>
      <c r="U15" s="305">
        <v>1368.6479999999999</v>
      </c>
      <c r="V15" s="305">
        <v>1657.662</v>
      </c>
      <c r="W15" s="306">
        <v>1669.6369999999995</v>
      </c>
      <c r="X15" s="330">
        <v>1550</v>
      </c>
      <c r="Y15" s="305">
        <v>1673</v>
      </c>
      <c r="Z15" s="305">
        <v>1603</v>
      </c>
      <c r="AA15" s="306">
        <v>1330</v>
      </c>
      <c r="AB15" s="330">
        <v>1403</v>
      </c>
      <c r="AC15" s="305">
        <v>1530</v>
      </c>
      <c r="AD15" s="305">
        <v>1413</v>
      </c>
      <c r="AE15" s="306">
        <v>1060</v>
      </c>
      <c r="AF15" s="330">
        <v>991</v>
      </c>
      <c r="AG15" s="305">
        <v>1165</v>
      </c>
      <c r="AH15" s="305">
        <v>1169</v>
      </c>
      <c r="AI15" s="306">
        <v>1193</v>
      </c>
      <c r="AJ15" s="330">
        <v>1299</v>
      </c>
      <c r="AK15" s="305">
        <v>1352</v>
      </c>
      <c r="AL15" s="305">
        <v>1273</v>
      </c>
      <c r="AM15" s="306">
        <v>1305</v>
      </c>
      <c r="AN15" s="330">
        <v>1400</v>
      </c>
      <c r="AO15" s="305">
        <v>1426</v>
      </c>
      <c r="AP15" s="305">
        <v>1472</v>
      </c>
      <c r="AQ15" s="306">
        <v>1409</v>
      </c>
      <c r="AR15" s="330">
        <v>1341</v>
      </c>
      <c r="AS15" s="305">
        <v>1446</v>
      </c>
      <c r="AT15" s="305">
        <v>1629</v>
      </c>
      <c r="AU15" s="306">
        <v>1898</v>
      </c>
      <c r="AV15" s="330">
        <v>1833</v>
      </c>
      <c r="AW15" s="305">
        <v>1946</v>
      </c>
      <c r="AX15" s="305">
        <v>2044</v>
      </c>
      <c r="AY15" s="306">
        <v>2182</v>
      </c>
      <c r="AZ15" s="330">
        <v>2284</v>
      </c>
      <c r="BA15" s="220">
        <f t="shared" ref="BA15:BC15" si="27">BA7*(1-BA26)</f>
        <v>2422.9599942911514</v>
      </c>
      <c r="BB15" s="220">
        <f t="shared" si="27"/>
        <v>2359.4373716222644</v>
      </c>
      <c r="BC15" s="226">
        <f t="shared" si="27"/>
        <v>2374.5941541277357</v>
      </c>
      <c r="BD15" s="735">
        <f t="shared" ref="BD15:BG15" si="28">BD7*(1-BD26)</f>
        <v>2310.0976937683122</v>
      </c>
      <c r="BE15" s="735">
        <f t="shared" si="28"/>
        <v>2330.8882908048026</v>
      </c>
      <c r="BF15" s="735">
        <f t="shared" si="28"/>
        <v>2365.6545681896778</v>
      </c>
      <c r="BG15" s="738">
        <f t="shared" si="28"/>
        <v>2397.8368091254338</v>
      </c>
      <c r="BH15" s="735">
        <f t="shared" ref="BH15:BK15" si="29">BH7*(1-BH26)</f>
        <v>2379.8833395391771</v>
      </c>
      <c r="BI15" s="735">
        <f t="shared" si="29"/>
        <v>2400.8118840401285</v>
      </c>
      <c r="BJ15" s="735">
        <f t="shared" si="29"/>
        <v>2425.6276281890905</v>
      </c>
      <c r="BK15" s="738">
        <f t="shared" si="29"/>
        <v>2428.1164953581147</v>
      </c>
      <c r="BL15" s="215"/>
      <c r="BM15" s="309">
        <f>SUM(D15:G15)</f>
        <v>4875.2119999999995</v>
      </c>
      <c r="BN15" s="220">
        <f>SUM(H15:K15)</f>
        <v>5242.4130000000005</v>
      </c>
      <c r="BO15" s="220">
        <f>SUM(L15:O15)</f>
        <v>4686.4120000000003</v>
      </c>
      <c r="BP15" s="220">
        <f>SUM(P15:S15)</f>
        <v>3582.8020000000001</v>
      </c>
      <c r="BQ15" s="220">
        <f>SUM(T15:W15)</f>
        <v>5833.665</v>
      </c>
      <c r="BR15" s="220">
        <f>SUM(X15:AA15)</f>
        <v>6156</v>
      </c>
      <c r="BS15" s="220">
        <f>SUM(AB15:AE15)</f>
        <v>5406</v>
      </c>
      <c r="BT15" s="735">
        <f>SUM(AF15:AI15)</f>
        <v>4518</v>
      </c>
      <c r="BU15" s="735">
        <f>SUM(AJ15:AM15)</f>
        <v>5229</v>
      </c>
      <c r="BV15" s="700">
        <f>SUM(AN15:AQ15)</f>
        <v>5707</v>
      </c>
      <c r="BW15" s="700">
        <f>SUM(AR15:AU15)</f>
        <v>6314</v>
      </c>
      <c r="BX15" s="700">
        <f>SUM(AV15:AY15)</f>
        <v>8005</v>
      </c>
      <c r="BY15" s="735">
        <f>SUM(AZ15:BC15)</f>
        <v>9440.9915200411524</v>
      </c>
      <c r="BZ15" s="738">
        <f>SUM(BD15:BG15)</f>
        <v>9404.4773618882264</v>
      </c>
      <c r="CA15" s="738">
        <f>SUM(BH15:BK15)</f>
        <v>9634.4393471265103</v>
      </c>
      <c r="CB15" s="184"/>
      <c r="CC15" s="184"/>
      <c r="CD15" s="184"/>
    </row>
    <row r="16" spans="1:82" ht="14.25" hidden="1" customHeight="1" outlineLevel="1">
      <c r="A16" s="203"/>
      <c r="B16" s="262" t="s">
        <v>318</v>
      </c>
      <c r="C16" s="261"/>
      <c r="D16" s="275">
        <f t="shared" ref="D16:AQ16" si="30">D15/D7</f>
        <v>0.54904037054423149</v>
      </c>
      <c r="E16" s="275">
        <f t="shared" si="30"/>
        <v>0.53524424674976834</v>
      </c>
      <c r="F16" s="275">
        <f t="shared" si="30"/>
        <v>0.51901654568236832</v>
      </c>
      <c r="G16" s="277">
        <f t="shared" si="30"/>
        <v>0.52899682443623519</v>
      </c>
      <c r="H16" s="275">
        <f t="shared" si="30"/>
        <v>0.5334152736591713</v>
      </c>
      <c r="I16" s="275">
        <f t="shared" si="30"/>
        <v>0.55066906866448362</v>
      </c>
      <c r="J16" s="275">
        <f t="shared" si="30"/>
        <v>0.52503022275812739</v>
      </c>
      <c r="K16" s="277">
        <f t="shared" si="30"/>
        <v>0.54504225523479921</v>
      </c>
      <c r="L16" s="275">
        <f t="shared" si="30"/>
        <v>0.55208280935538379</v>
      </c>
      <c r="M16" s="275">
        <f t="shared" si="30"/>
        <v>0.5503121398252464</v>
      </c>
      <c r="N16" s="275">
        <f t="shared" si="30"/>
        <v>0.59835144856961064</v>
      </c>
      <c r="O16" s="277">
        <f t="shared" si="30"/>
        <v>0.60918237079538495</v>
      </c>
      <c r="P16" s="275">
        <f t="shared" si="30"/>
        <v>0.70633180240528703</v>
      </c>
      <c r="Q16" s="275">
        <f t="shared" si="30"/>
        <v>0.84754190124863127</v>
      </c>
      <c r="R16" s="275">
        <f t="shared" si="30"/>
        <v>0.71344929172473404</v>
      </c>
      <c r="S16" s="277">
        <f t="shared" si="30"/>
        <v>0.63388482921185485</v>
      </c>
      <c r="T16" s="337">
        <f t="shared" si="30"/>
        <v>0.61534792000874039</v>
      </c>
      <c r="U16" s="275">
        <f t="shared" si="30"/>
        <v>0.59622049713792835</v>
      </c>
      <c r="V16" s="275">
        <f t="shared" si="30"/>
        <v>0.65837976955981237</v>
      </c>
      <c r="W16" s="277">
        <f t="shared" si="30"/>
        <v>0.57844261173385159</v>
      </c>
      <c r="X16" s="337">
        <f t="shared" si="30"/>
        <v>0.57706626954579299</v>
      </c>
      <c r="Y16" s="275">
        <f t="shared" si="30"/>
        <v>0.58455625436757508</v>
      </c>
      <c r="Z16" s="275">
        <f t="shared" si="30"/>
        <v>0.57517043415859348</v>
      </c>
      <c r="AA16" s="277">
        <f t="shared" si="30"/>
        <v>0.60953253895508708</v>
      </c>
      <c r="AB16" s="337">
        <f t="shared" si="30"/>
        <v>0.64093193238921886</v>
      </c>
      <c r="AC16" s="275">
        <f t="shared" si="30"/>
        <v>0.60212514757969304</v>
      </c>
      <c r="AD16" s="275">
        <f t="shared" si="30"/>
        <v>0.60307298335467352</v>
      </c>
      <c r="AE16" s="277">
        <f t="shared" si="30"/>
        <v>0.64398541919805585</v>
      </c>
      <c r="AF16" s="337">
        <f t="shared" si="30"/>
        <v>0.63000635727908461</v>
      </c>
      <c r="AG16" s="275">
        <f t="shared" si="30"/>
        <v>0.59047136340598072</v>
      </c>
      <c r="AH16" s="275">
        <f t="shared" si="30"/>
        <v>0.59189873417721517</v>
      </c>
      <c r="AI16" s="277">
        <f t="shared" si="30"/>
        <v>0.60010060362173034</v>
      </c>
      <c r="AJ16" s="337">
        <f t="shared" si="30"/>
        <v>0.5931506849315068</v>
      </c>
      <c r="AK16" s="275">
        <f t="shared" si="30"/>
        <v>0.574585635359116</v>
      </c>
      <c r="AL16" s="275">
        <f t="shared" si="30"/>
        <v>0.56203090507726272</v>
      </c>
      <c r="AM16" s="338">
        <f t="shared" si="30"/>
        <v>0.57641342756183744</v>
      </c>
      <c r="AN16" s="337">
        <f t="shared" si="30"/>
        <v>0.59347181008902072</v>
      </c>
      <c r="AO16" s="275">
        <f t="shared" si="30"/>
        <v>0.58394758394758395</v>
      </c>
      <c r="AP16" s="275">
        <f t="shared" si="30"/>
        <v>0.59116465863453815</v>
      </c>
      <c r="AQ16" s="338">
        <f t="shared" si="30"/>
        <v>0.59501689189189189</v>
      </c>
      <c r="AR16" s="337">
        <f t="shared" ref="AR16:AW16" si="31">AR15/AR7</f>
        <v>0.5941515285777581</v>
      </c>
      <c r="AS16" s="275">
        <f t="shared" si="31"/>
        <v>0.59020408163265303</v>
      </c>
      <c r="AT16" s="275">
        <f t="shared" si="31"/>
        <v>0.57745480326125487</v>
      </c>
      <c r="AU16" s="338">
        <f t="shared" si="31"/>
        <v>0.57567485592963297</v>
      </c>
      <c r="AV16" s="337">
        <f t="shared" si="31"/>
        <v>0.55918242830994513</v>
      </c>
      <c r="AW16" s="275">
        <f t="shared" si="31"/>
        <v>0.54878736604624934</v>
      </c>
      <c r="AX16" s="275">
        <f t="shared" ref="AX16:AZ16" si="32">AX15/AX7</f>
        <v>0.54594017094017089</v>
      </c>
      <c r="AY16" s="705">
        <f t="shared" si="32"/>
        <v>0.54976064499874022</v>
      </c>
      <c r="AZ16" s="713">
        <f t="shared" si="32"/>
        <v>0.54329210275927686</v>
      </c>
      <c r="BA16" s="275">
        <f t="shared" ref="BA16:BG16" si="33">BA15/BA7</f>
        <v>0.54329210275927686</v>
      </c>
      <c r="BB16" s="275">
        <f t="shared" si="33"/>
        <v>0.54329210275927686</v>
      </c>
      <c r="BC16" s="277">
        <f t="shared" si="33"/>
        <v>0.54329210275927686</v>
      </c>
      <c r="BD16" s="704">
        <f t="shared" si="33"/>
        <v>0.54499999999999993</v>
      </c>
      <c r="BE16" s="704">
        <f t="shared" si="33"/>
        <v>0.54499999999999993</v>
      </c>
      <c r="BF16" s="704">
        <f t="shared" si="33"/>
        <v>0.55000000000000004</v>
      </c>
      <c r="BG16" s="705">
        <f t="shared" si="33"/>
        <v>0.55000000000000004</v>
      </c>
      <c r="BH16" s="704">
        <f t="shared" ref="BH16:BK16" si="34">BH15/BH7</f>
        <v>0.55000000000000004</v>
      </c>
      <c r="BI16" s="704">
        <f t="shared" si="34"/>
        <v>0.55000000000000004</v>
      </c>
      <c r="BJ16" s="704">
        <f t="shared" si="34"/>
        <v>0.55000000000000004</v>
      </c>
      <c r="BK16" s="705">
        <f t="shared" si="34"/>
        <v>0.55000000000000004</v>
      </c>
      <c r="BL16" s="215"/>
      <c r="BM16" s="337">
        <f t="shared" ref="BM16:BX16" si="35">BM15/BM7</f>
        <v>0.53182115790376228</v>
      </c>
      <c r="BN16" s="275">
        <f t="shared" si="35"/>
        <v>0.53851983018546967</v>
      </c>
      <c r="BO16" s="275">
        <f t="shared" si="35"/>
        <v>0.57648833101249319</v>
      </c>
      <c r="BP16" s="275">
        <f t="shared" si="35"/>
        <v>0.7146156449837413</v>
      </c>
      <c r="BQ16" s="275">
        <f t="shared" si="35"/>
        <v>0.61094024956572479</v>
      </c>
      <c r="BR16" s="275">
        <f t="shared" si="35"/>
        <v>0.58533802415137393</v>
      </c>
      <c r="BS16" s="275">
        <f t="shared" si="35"/>
        <v>0.62002523225140493</v>
      </c>
      <c r="BT16" s="704">
        <f t="shared" si="35"/>
        <v>0.60167798641630044</v>
      </c>
      <c r="BU16" s="704">
        <f t="shared" si="35"/>
        <v>0.57638888888888884</v>
      </c>
      <c r="BV16" s="704">
        <f t="shared" si="35"/>
        <v>0.59084791386271873</v>
      </c>
      <c r="BW16" s="704">
        <f t="shared" si="35"/>
        <v>0.58327944572748269</v>
      </c>
      <c r="BX16" s="704">
        <f t="shared" si="35"/>
        <v>0.55066382334732067</v>
      </c>
      <c r="BY16" s="704">
        <f>BY15/BY7</f>
        <v>0.54329210275927686</v>
      </c>
      <c r="BZ16" s="705">
        <f>BZ15/BZ7</f>
        <v>0.54752115144292424</v>
      </c>
      <c r="CA16" s="705">
        <f>CA15/CA7</f>
        <v>0.55000000000000004</v>
      </c>
      <c r="CB16" s="184"/>
      <c r="CC16" s="184"/>
      <c r="CD16" s="184"/>
    </row>
    <row r="17" spans="1:82" ht="14.25" hidden="1" customHeight="1" outlineLevel="1">
      <c r="A17" s="203"/>
      <c r="B17" s="227" t="s">
        <v>287</v>
      </c>
      <c r="C17" s="331"/>
      <c r="D17" s="305">
        <v>0</v>
      </c>
      <c r="E17" s="305">
        <v>0</v>
      </c>
      <c r="F17" s="305">
        <v>0</v>
      </c>
      <c r="G17" s="306">
        <v>0</v>
      </c>
      <c r="H17" s="305">
        <v>0</v>
      </c>
      <c r="I17" s="305">
        <v>0</v>
      </c>
      <c r="J17" s="305">
        <v>0</v>
      </c>
      <c r="K17" s="306">
        <v>0</v>
      </c>
      <c r="L17" s="305">
        <v>0</v>
      </c>
      <c r="M17" s="305">
        <v>0</v>
      </c>
      <c r="N17" s="305">
        <v>0</v>
      </c>
      <c r="O17" s="306">
        <v>0</v>
      </c>
      <c r="P17" s="305">
        <v>0</v>
      </c>
      <c r="Q17" s="305">
        <v>0</v>
      </c>
      <c r="R17" s="305">
        <v>0</v>
      </c>
      <c r="S17" s="306">
        <v>0</v>
      </c>
      <c r="T17" s="330">
        <v>0</v>
      </c>
      <c r="U17" s="305">
        <v>0</v>
      </c>
      <c r="V17" s="305">
        <v>0</v>
      </c>
      <c r="W17" s="306">
        <v>0</v>
      </c>
      <c r="X17" s="330">
        <v>0</v>
      </c>
      <c r="Y17" s="305">
        <v>0</v>
      </c>
      <c r="Z17" s="305">
        <v>0</v>
      </c>
      <c r="AA17" s="306">
        <v>0</v>
      </c>
      <c r="AB17" s="330">
        <v>0</v>
      </c>
      <c r="AC17" s="305">
        <v>0</v>
      </c>
      <c r="AD17" s="305">
        <v>0</v>
      </c>
      <c r="AE17" s="306">
        <v>0</v>
      </c>
      <c r="AF17" s="330">
        <v>0</v>
      </c>
      <c r="AG17" s="305">
        <v>0</v>
      </c>
      <c r="AH17" s="305">
        <v>0</v>
      </c>
      <c r="AI17" s="306">
        <v>0</v>
      </c>
      <c r="AJ17" s="330">
        <v>0</v>
      </c>
      <c r="AK17" s="305">
        <v>0</v>
      </c>
      <c r="AL17" s="305">
        <v>0</v>
      </c>
      <c r="AM17" s="346">
        <f>AL17</f>
        <v>0</v>
      </c>
      <c r="AN17" s="330">
        <v>0</v>
      </c>
      <c r="AO17" s="305">
        <v>0</v>
      </c>
      <c r="AP17" s="305">
        <v>0</v>
      </c>
      <c r="AQ17" s="346">
        <f t="shared" ref="AQ17:AY17" si="36">AP17</f>
        <v>0</v>
      </c>
      <c r="AR17" s="330">
        <v>0</v>
      </c>
      <c r="AS17" s="305">
        <v>0</v>
      </c>
      <c r="AT17" s="305">
        <v>0</v>
      </c>
      <c r="AU17" s="346">
        <f t="shared" si="36"/>
        <v>0</v>
      </c>
      <c r="AV17" s="330">
        <v>0</v>
      </c>
      <c r="AW17" s="305">
        <v>0</v>
      </c>
      <c r="AX17" s="305">
        <v>0</v>
      </c>
      <c r="AY17" s="306">
        <f t="shared" si="36"/>
        <v>0</v>
      </c>
      <c r="AZ17" s="330">
        <v>0</v>
      </c>
      <c r="BA17" s="360">
        <f t="shared" ref="BA17:BC18" si="37">AZ17</f>
        <v>0</v>
      </c>
      <c r="BB17" s="360">
        <f t="shared" si="37"/>
        <v>0</v>
      </c>
      <c r="BC17" s="308">
        <f t="shared" si="37"/>
        <v>0</v>
      </c>
      <c r="BD17" s="360">
        <f t="shared" ref="BD17:BD18" si="38">BC17</f>
        <v>0</v>
      </c>
      <c r="BE17" s="360">
        <f t="shared" ref="BE17:BE18" si="39">BD17</f>
        <v>0</v>
      </c>
      <c r="BF17" s="360">
        <f t="shared" ref="BF17:BF18" si="40">BE17</f>
        <v>0</v>
      </c>
      <c r="BG17" s="308">
        <f t="shared" ref="BG17:BG18" si="41">BF17</f>
        <v>0</v>
      </c>
      <c r="BH17" s="360">
        <f t="shared" ref="BH17:BH18" si="42">BG17</f>
        <v>0</v>
      </c>
      <c r="BI17" s="360">
        <f t="shared" ref="BI17:BI18" si="43">BH17</f>
        <v>0</v>
      </c>
      <c r="BJ17" s="360">
        <f t="shared" ref="BJ17:BJ18" si="44">BI17</f>
        <v>0</v>
      </c>
      <c r="BK17" s="308">
        <f t="shared" ref="BK17:BK18" si="45">BJ17</f>
        <v>0</v>
      </c>
      <c r="BL17" s="215"/>
      <c r="BM17" s="309">
        <f>SUM(D17:G17)</f>
        <v>0</v>
      </c>
      <c r="BN17" s="220">
        <f>SUM(H17:K17)</f>
        <v>0</v>
      </c>
      <c r="BO17" s="220">
        <f>SUM(L17:O17)</f>
        <v>0</v>
      </c>
      <c r="BP17" s="220">
        <f>SUM(P17:S17)</f>
        <v>0</v>
      </c>
      <c r="BQ17" s="220">
        <f>SUM(T17:W17)</f>
        <v>0</v>
      </c>
      <c r="BR17" s="220">
        <f>SUM(X17:AA17)</f>
        <v>0</v>
      </c>
      <c r="BS17" s="220">
        <f>SUM(AB17:AE17)</f>
        <v>0</v>
      </c>
      <c r="BT17" s="735">
        <f>SUM(AF17:AI17)</f>
        <v>0</v>
      </c>
      <c r="BU17" s="735">
        <f>SUM(AJ17:AM17)</f>
        <v>0</v>
      </c>
      <c r="BV17" s="700">
        <f>SUM(AN17:AQ17)</f>
        <v>0</v>
      </c>
      <c r="BW17" s="700">
        <f>SUM(AR17:AU17)</f>
        <v>0</v>
      </c>
      <c r="BX17" s="700">
        <f>SUM(AV17:AY17)</f>
        <v>0</v>
      </c>
      <c r="BY17" s="735">
        <f>SUM(AZ17:BC17)</f>
        <v>0</v>
      </c>
      <c r="BZ17" s="738">
        <f>SUM(BD17:BG17)</f>
        <v>0</v>
      </c>
      <c r="CA17" s="738">
        <f>SUM(BH17:BK17)</f>
        <v>0</v>
      </c>
      <c r="CB17" s="184"/>
      <c r="CC17" s="184"/>
      <c r="CD17" s="184"/>
    </row>
    <row r="18" spans="1:82" ht="14.25" hidden="1" customHeight="1" outlineLevel="1">
      <c r="A18" s="203"/>
      <c r="B18" s="227" t="s">
        <v>361</v>
      </c>
      <c r="C18" s="331"/>
      <c r="D18" s="305">
        <v>0</v>
      </c>
      <c r="E18" s="305">
        <v>0</v>
      </c>
      <c r="F18" s="305">
        <v>0</v>
      </c>
      <c r="G18" s="306">
        <v>0</v>
      </c>
      <c r="H18" s="305">
        <v>0</v>
      </c>
      <c r="I18" s="305">
        <v>0</v>
      </c>
      <c r="J18" s="305">
        <v>0</v>
      </c>
      <c r="K18" s="306">
        <v>0</v>
      </c>
      <c r="L18" s="305">
        <v>0</v>
      </c>
      <c r="M18" s="305">
        <v>0</v>
      </c>
      <c r="N18" s="305">
        <v>0</v>
      </c>
      <c r="O18" s="306">
        <v>0</v>
      </c>
      <c r="P18" s="305">
        <v>0</v>
      </c>
      <c r="Q18" s="305">
        <v>0</v>
      </c>
      <c r="R18" s="305">
        <v>0</v>
      </c>
      <c r="S18" s="306">
        <v>0</v>
      </c>
      <c r="T18" s="330">
        <v>0</v>
      </c>
      <c r="U18" s="305">
        <v>0</v>
      </c>
      <c r="V18" s="305">
        <v>0</v>
      </c>
      <c r="W18" s="306">
        <v>0</v>
      </c>
      <c r="X18" s="330">
        <v>0</v>
      </c>
      <c r="Y18" s="305">
        <v>0</v>
      </c>
      <c r="Z18" s="305">
        <v>0</v>
      </c>
      <c r="AA18" s="306">
        <v>0</v>
      </c>
      <c r="AB18" s="330">
        <v>104</v>
      </c>
      <c r="AC18" s="305">
        <v>59</v>
      </c>
      <c r="AD18" s="305">
        <v>44</v>
      </c>
      <c r="AE18" s="306">
        <v>46</v>
      </c>
      <c r="AF18" s="330">
        <v>44</v>
      </c>
      <c r="AG18" s="305">
        <v>44</v>
      </c>
      <c r="AH18" s="305">
        <v>41</v>
      </c>
      <c r="AI18" s="306">
        <v>40</v>
      </c>
      <c r="AJ18" s="330">
        <v>39</v>
      </c>
      <c r="AK18" s="305">
        <v>40</v>
      </c>
      <c r="AL18" s="305">
        <v>38</v>
      </c>
      <c r="AM18" s="346">
        <v>42</v>
      </c>
      <c r="AN18" s="330">
        <v>40</v>
      </c>
      <c r="AO18" s="305">
        <v>39</v>
      </c>
      <c r="AP18" s="305">
        <v>75</v>
      </c>
      <c r="AQ18" s="346">
        <v>41</v>
      </c>
      <c r="AR18" s="330">
        <v>41</v>
      </c>
      <c r="AS18" s="305">
        <v>41</v>
      </c>
      <c r="AT18" s="305">
        <f>42-1</f>
        <v>41</v>
      </c>
      <c r="AU18" s="346">
        <v>42</v>
      </c>
      <c r="AV18" s="330">
        <v>42</v>
      </c>
      <c r="AW18" s="305">
        <v>41</v>
      </c>
      <c r="AX18" s="305">
        <v>44</v>
      </c>
      <c r="AY18" s="306">
        <v>45</v>
      </c>
      <c r="AZ18" s="330">
        <v>45</v>
      </c>
      <c r="BA18" s="329">
        <f t="shared" si="37"/>
        <v>45</v>
      </c>
      <c r="BB18" s="329">
        <f t="shared" si="37"/>
        <v>45</v>
      </c>
      <c r="BC18" s="328">
        <f t="shared" si="37"/>
        <v>45</v>
      </c>
      <c r="BD18" s="329">
        <f t="shared" si="38"/>
        <v>45</v>
      </c>
      <c r="BE18" s="329">
        <f t="shared" si="39"/>
        <v>45</v>
      </c>
      <c r="BF18" s="329">
        <f t="shared" si="40"/>
        <v>45</v>
      </c>
      <c r="BG18" s="328">
        <f t="shared" si="41"/>
        <v>45</v>
      </c>
      <c r="BH18" s="329">
        <f t="shared" si="42"/>
        <v>45</v>
      </c>
      <c r="BI18" s="329">
        <f t="shared" si="43"/>
        <v>45</v>
      </c>
      <c r="BJ18" s="329">
        <f t="shared" si="44"/>
        <v>45</v>
      </c>
      <c r="BK18" s="328">
        <f t="shared" si="45"/>
        <v>45</v>
      </c>
      <c r="BL18" s="215"/>
      <c r="BM18" s="309">
        <f>SUM(D18:G18)</f>
        <v>0</v>
      </c>
      <c r="BN18" s="220">
        <f>SUM(H18:K18)</f>
        <v>0</v>
      </c>
      <c r="BO18" s="220">
        <f>SUM(L18:O18)</f>
        <v>0</v>
      </c>
      <c r="BP18" s="220">
        <f>SUM(P18:S18)</f>
        <v>0</v>
      </c>
      <c r="BQ18" s="220">
        <f>SUM(T18:W18)</f>
        <v>0</v>
      </c>
      <c r="BR18" s="220">
        <f>SUM(X18:AA18)</f>
        <v>0</v>
      </c>
      <c r="BS18" s="220">
        <f>SUM(AB18:AE18)</f>
        <v>253</v>
      </c>
      <c r="BT18" s="735">
        <f>SUM(AF18:AI18)</f>
        <v>169</v>
      </c>
      <c r="BU18" s="735">
        <f>SUM(AJ18:AM18)</f>
        <v>159</v>
      </c>
      <c r="BV18" s="700">
        <f>SUM(AN18:AQ18)</f>
        <v>195</v>
      </c>
      <c r="BW18" s="700">
        <f>SUM(AR18:AU18)</f>
        <v>165</v>
      </c>
      <c r="BX18" s="700">
        <f>SUM(AV18:AY18)</f>
        <v>172</v>
      </c>
      <c r="BY18" s="735">
        <f>SUM(AZ18:BC18)</f>
        <v>180</v>
      </c>
      <c r="BZ18" s="738">
        <f>SUM(BD18:BG18)</f>
        <v>180</v>
      </c>
      <c r="CA18" s="738">
        <f>SUM(BH18:BK18)</f>
        <v>180</v>
      </c>
      <c r="CB18" s="184"/>
      <c r="CC18" s="184"/>
      <c r="CD18" s="184"/>
    </row>
    <row r="19" spans="1:82" ht="14.25" hidden="1" customHeight="1" outlineLevel="1">
      <c r="A19" s="203"/>
      <c r="B19" s="227" t="s">
        <v>356</v>
      </c>
      <c r="C19" s="331"/>
      <c r="D19" s="305">
        <v>0</v>
      </c>
      <c r="E19" s="305">
        <v>0</v>
      </c>
      <c r="F19" s="305">
        <v>0</v>
      </c>
      <c r="G19" s="306">
        <v>0</v>
      </c>
      <c r="H19" s="305">
        <v>0</v>
      </c>
      <c r="I19" s="305">
        <v>0</v>
      </c>
      <c r="J19" s="305">
        <v>0</v>
      </c>
      <c r="K19" s="306">
        <v>0</v>
      </c>
      <c r="L19" s="305">
        <v>0</v>
      </c>
      <c r="M19" s="305">
        <v>0</v>
      </c>
      <c r="N19" s="305">
        <v>0</v>
      </c>
      <c r="O19" s="306">
        <v>0</v>
      </c>
      <c r="P19" s="305">
        <v>0</v>
      </c>
      <c r="Q19" s="305">
        <v>0</v>
      </c>
      <c r="R19" s="305">
        <v>0</v>
      </c>
      <c r="S19" s="306">
        <v>0</v>
      </c>
      <c r="T19" s="330">
        <v>0</v>
      </c>
      <c r="U19" s="305">
        <v>0</v>
      </c>
      <c r="V19" s="305">
        <v>0</v>
      </c>
      <c r="W19" s="306">
        <v>0</v>
      </c>
      <c r="X19" s="330">
        <v>0</v>
      </c>
      <c r="Y19" s="305">
        <v>0</v>
      </c>
      <c r="Z19" s="305">
        <v>0</v>
      </c>
      <c r="AA19" s="306">
        <v>0</v>
      </c>
      <c r="AB19" s="330">
        <v>0</v>
      </c>
      <c r="AC19" s="305">
        <v>0</v>
      </c>
      <c r="AD19" s="305">
        <v>0</v>
      </c>
      <c r="AE19" s="306">
        <v>0</v>
      </c>
      <c r="AF19" s="330">
        <v>0</v>
      </c>
      <c r="AG19" s="305">
        <v>0</v>
      </c>
      <c r="AH19" s="305">
        <v>0</v>
      </c>
      <c r="AI19" s="306">
        <v>0</v>
      </c>
      <c r="AJ19" s="330">
        <v>0</v>
      </c>
      <c r="AK19" s="305">
        <v>0</v>
      </c>
      <c r="AL19" s="305">
        <v>0</v>
      </c>
      <c r="AM19" s="346">
        <v>0</v>
      </c>
      <c r="AN19" s="330">
        <v>0</v>
      </c>
      <c r="AO19" s="305">
        <v>0</v>
      </c>
      <c r="AP19" s="305">
        <v>0</v>
      </c>
      <c r="AQ19" s="346">
        <v>0</v>
      </c>
      <c r="AR19" s="330">
        <v>0</v>
      </c>
      <c r="AS19" s="305">
        <v>0</v>
      </c>
      <c r="AT19" s="305">
        <v>0</v>
      </c>
      <c r="AU19" s="346">
        <v>0</v>
      </c>
      <c r="AV19" s="330">
        <v>0</v>
      </c>
      <c r="AW19" s="305">
        <v>0</v>
      </c>
      <c r="AX19" s="305">
        <v>0</v>
      </c>
      <c r="AY19" s="306">
        <v>0</v>
      </c>
      <c r="AZ19" s="330">
        <v>0</v>
      </c>
      <c r="BA19" s="329">
        <v>0</v>
      </c>
      <c r="BB19" s="329">
        <v>0</v>
      </c>
      <c r="BC19" s="328">
        <v>0</v>
      </c>
      <c r="BD19" s="329">
        <v>0</v>
      </c>
      <c r="BE19" s="329">
        <v>0</v>
      </c>
      <c r="BF19" s="329">
        <v>0</v>
      </c>
      <c r="BG19" s="328">
        <v>0</v>
      </c>
      <c r="BH19" s="329">
        <v>0</v>
      </c>
      <c r="BI19" s="329">
        <v>0</v>
      </c>
      <c r="BJ19" s="329">
        <v>0</v>
      </c>
      <c r="BK19" s="328">
        <v>0</v>
      </c>
      <c r="BL19" s="215"/>
      <c r="BM19" s="309">
        <f>SUM(D19:G19)</f>
        <v>0</v>
      </c>
      <c r="BN19" s="220">
        <f>SUM(H19:K19)</f>
        <v>0</v>
      </c>
      <c r="BO19" s="220">
        <f>SUM(L19:O19)</f>
        <v>0</v>
      </c>
      <c r="BP19" s="220">
        <f>SUM(P19:S19)</f>
        <v>0</v>
      </c>
      <c r="BQ19" s="220">
        <f>SUM(T19:W19)</f>
        <v>0</v>
      </c>
      <c r="BR19" s="220">
        <f>SUM(X19:AA19)</f>
        <v>0</v>
      </c>
      <c r="BS19" s="220">
        <f>SUM(AB19:AE19)</f>
        <v>0</v>
      </c>
      <c r="BT19" s="735">
        <f>SUM(AF19:AI19)</f>
        <v>0</v>
      </c>
      <c r="BU19" s="735">
        <f>SUM(AJ19:AM19)</f>
        <v>0</v>
      </c>
      <c r="BV19" s="700">
        <f>SUM(AN19:AQ19)</f>
        <v>0</v>
      </c>
      <c r="BW19" s="700">
        <f>SUM(AR19:AU19)</f>
        <v>0</v>
      </c>
      <c r="BX19" s="700">
        <f>SUM(AV19:AY19)</f>
        <v>0</v>
      </c>
      <c r="BY19" s="735">
        <f>SUM(AZ19:BC19)</f>
        <v>0</v>
      </c>
      <c r="BZ19" s="738">
        <f>SUM(BD19:BG19)</f>
        <v>0</v>
      </c>
      <c r="CA19" s="738">
        <f>SUM(BH19:BK19)</f>
        <v>0</v>
      </c>
      <c r="CB19" s="184"/>
      <c r="CC19" s="184"/>
      <c r="CD19" s="184"/>
    </row>
    <row r="20" spans="1:82" ht="14.25" customHeight="1" collapsed="1">
      <c r="A20" s="203"/>
      <c r="B20" s="217" t="s">
        <v>370</v>
      </c>
      <c r="C20" s="216"/>
      <c r="D20" s="220">
        <f t="shared" ref="D20:AQ20" si="46">D15-D18-D17-D19</f>
        <v>1019.893</v>
      </c>
      <c r="E20" s="220">
        <f t="shared" si="46"/>
        <v>1203.0609999999999</v>
      </c>
      <c r="F20" s="220">
        <f t="shared" si="46"/>
        <v>1320.0889999999999</v>
      </c>
      <c r="G20" s="226">
        <f t="shared" si="46"/>
        <v>1332.1690000000001</v>
      </c>
      <c r="H20" s="220">
        <f t="shared" si="46"/>
        <v>1214.729</v>
      </c>
      <c r="I20" s="220">
        <f t="shared" si="46"/>
        <v>1392.951</v>
      </c>
      <c r="J20" s="220">
        <f t="shared" si="46"/>
        <v>1344.5940000000001</v>
      </c>
      <c r="K20" s="226">
        <f t="shared" si="46"/>
        <v>1290.1389999999999</v>
      </c>
      <c r="L20" s="220">
        <f t="shared" si="46"/>
        <v>1152.4159999999999</v>
      </c>
      <c r="M20" s="220">
        <f t="shared" si="46"/>
        <v>1183.17</v>
      </c>
      <c r="N20" s="220">
        <f t="shared" si="46"/>
        <v>1105.854</v>
      </c>
      <c r="O20" s="226">
        <f t="shared" si="46"/>
        <v>1244.972</v>
      </c>
      <c r="P20" s="220">
        <f t="shared" si="46"/>
        <v>941.82</v>
      </c>
      <c r="Q20" s="220">
        <f t="shared" si="46"/>
        <v>864.55799999999999</v>
      </c>
      <c r="R20" s="220">
        <f t="shared" si="46"/>
        <v>808.86599999999999</v>
      </c>
      <c r="S20" s="226">
        <f t="shared" si="46"/>
        <v>967.55799999999999</v>
      </c>
      <c r="T20" s="309">
        <f t="shared" si="46"/>
        <v>1137.7180000000001</v>
      </c>
      <c r="U20" s="220">
        <f t="shared" si="46"/>
        <v>1368.6479999999999</v>
      </c>
      <c r="V20" s="220">
        <f t="shared" si="46"/>
        <v>1657.662</v>
      </c>
      <c r="W20" s="226">
        <f t="shared" si="46"/>
        <v>1669.6369999999995</v>
      </c>
      <c r="X20" s="309">
        <f t="shared" si="46"/>
        <v>1550</v>
      </c>
      <c r="Y20" s="220">
        <f t="shared" si="46"/>
        <v>1673</v>
      </c>
      <c r="Z20" s="220">
        <f t="shared" si="46"/>
        <v>1603</v>
      </c>
      <c r="AA20" s="226">
        <f t="shared" si="46"/>
        <v>1330</v>
      </c>
      <c r="AB20" s="309">
        <f t="shared" si="46"/>
        <v>1299</v>
      </c>
      <c r="AC20" s="220">
        <f t="shared" si="46"/>
        <v>1471</v>
      </c>
      <c r="AD20" s="220">
        <f t="shared" si="46"/>
        <v>1369</v>
      </c>
      <c r="AE20" s="226">
        <f t="shared" si="46"/>
        <v>1014</v>
      </c>
      <c r="AF20" s="309">
        <f t="shared" si="46"/>
        <v>947</v>
      </c>
      <c r="AG20" s="220">
        <f t="shared" si="46"/>
        <v>1121</v>
      </c>
      <c r="AH20" s="220">
        <f t="shared" si="46"/>
        <v>1128</v>
      </c>
      <c r="AI20" s="226">
        <f t="shared" si="46"/>
        <v>1153</v>
      </c>
      <c r="AJ20" s="309">
        <f t="shared" si="46"/>
        <v>1260</v>
      </c>
      <c r="AK20" s="220">
        <f t="shared" si="46"/>
        <v>1312</v>
      </c>
      <c r="AL20" s="220">
        <f t="shared" si="46"/>
        <v>1235</v>
      </c>
      <c r="AM20" s="345">
        <f t="shared" si="46"/>
        <v>1263</v>
      </c>
      <c r="AN20" s="309">
        <f t="shared" si="46"/>
        <v>1360</v>
      </c>
      <c r="AO20" s="220">
        <f t="shared" si="46"/>
        <v>1387</v>
      </c>
      <c r="AP20" s="220">
        <f t="shared" si="46"/>
        <v>1397</v>
      </c>
      <c r="AQ20" s="345">
        <f t="shared" si="46"/>
        <v>1368</v>
      </c>
      <c r="AR20" s="309">
        <f t="shared" ref="AR20:AW20" si="47">AR15-AR18-AR17-AR19</f>
        <v>1300</v>
      </c>
      <c r="AS20" s="220">
        <f t="shared" si="47"/>
        <v>1405</v>
      </c>
      <c r="AT20" s="220">
        <f t="shared" si="47"/>
        <v>1588</v>
      </c>
      <c r="AU20" s="345">
        <f t="shared" si="47"/>
        <v>1856</v>
      </c>
      <c r="AV20" s="309">
        <f t="shared" si="47"/>
        <v>1791</v>
      </c>
      <c r="AW20" s="220">
        <f t="shared" si="47"/>
        <v>1905</v>
      </c>
      <c r="AX20" s="220">
        <f t="shared" ref="AX20:AZ20" si="48">AX15-AX18-AX17-AX19</f>
        <v>2000</v>
      </c>
      <c r="AY20" s="738">
        <f t="shared" si="48"/>
        <v>2137</v>
      </c>
      <c r="AZ20" s="747">
        <f t="shared" si="48"/>
        <v>2239</v>
      </c>
      <c r="BA20" s="220">
        <f t="shared" ref="BA20:BC20" si="49">BA15-BA18</f>
        <v>2377.9599942911514</v>
      </c>
      <c r="BB20" s="220">
        <f t="shared" si="49"/>
        <v>2314.4373716222644</v>
      </c>
      <c r="BC20" s="226">
        <f t="shared" si="49"/>
        <v>2329.5941541277357</v>
      </c>
      <c r="BD20" s="735">
        <f t="shared" ref="BD20:BG20" si="50">BD15-BD18</f>
        <v>2265.0976937683122</v>
      </c>
      <c r="BE20" s="735">
        <f t="shared" si="50"/>
        <v>2285.8882908048026</v>
      </c>
      <c r="BF20" s="735">
        <f t="shared" si="50"/>
        <v>2320.6545681896778</v>
      </c>
      <c r="BG20" s="738">
        <f t="shared" si="50"/>
        <v>2352.8368091254338</v>
      </c>
      <c r="BH20" s="735">
        <f t="shared" ref="BH20:BK20" si="51">BH15-BH18</f>
        <v>2334.8833395391771</v>
      </c>
      <c r="BI20" s="735">
        <f t="shared" si="51"/>
        <v>2355.8118840401285</v>
      </c>
      <c r="BJ20" s="735">
        <f t="shared" si="51"/>
        <v>2380.6276281890905</v>
      </c>
      <c r="BK20" s="738">
        <f t="shared" si="51"/>
        <v>2383.1164953581147</v>
      </c>
      <c r="BL20" s="215"/>
      <c r="BM20" s="309">
        <f t="shared" ref="BM20:BX20" si="52">BM15-BM18-BM17-BM19</f>
        <v>4875.2119999999995</v>
      </c>
      <c r="BN20" s="220">
        <f t="shared" si="52"/>
        <v>5242.4130000000005</v>
      </c>
      <c r="BO20" s="220">
        <f t="shared" si="52"/>
        <v>4686.4120000000003</v>
      </c>
      <c r="BP20" s="220">
        <f t="shared" si="52"/>
        <v>3582.8020000000001</v>
      </c>
      <c r="BQ20" s="220">
        <f t="shared" si="52"/>
        <v>5833.665</v>
      </c>
      <c r="BR20" s="220">
        <f t="shared" si="52"/>
        <v>6156</v>
      </c>
      <c r="BS20" s="220">
        <f t="shared" si="52"/>
        <v>5153</v>
      </c>
      <c r="BT20" s="735">
        <f t="shared" si="52"/>
        <v>4349</v>
      </c>
      <c r="BU20" s="735">
        <f t="shared" si="52"/>
        <v>5070</v>
      </c>
      <c r="BV20" s="700">
        <f t="shared" si="52"/>
        <v>5512</v>
      </c>
      <c r="BW20" s="700">
        <f t="shared" si="52"/>
        <v>6149</v>
      </c>
      <c r="BX20" s="700">
        <f t="shared" si="52"/>
        <v>7833</v>
      </c>
      <c r="BY20" s="735">
        <f>BY15-BY18-BY17-BY19</f>
        <v>9260.9915200411524</v>
      </c>
      <c r="BZ20" s="738">
        <f>BZ15-BZ18-BZ17-BZ19</f>
        <v>9224.4773618882264</v>
      </c>
      <c r="CA20" s="738">
        <f>CA15-CA18-CA17-CA19</f>
        <v>9454.4393471265103</v>
      </c>
      <c r="CB20" s="184"/>
      <c r="CC20" s="184"/>
      <c r="CD20" s="184"/>
    </row>
    <row r="21" spans="1:82" ht="14.25" hidden="1" customHeight="1" outlineLevel="1">
      <c r="A21" s="203"/>
      <c r="B21" s="262" t="s">
        <v>318</v>
      </c>
      <c r="C21" s="261"/>
      <c r="D21" s="275">
        <f t="shared" ref="D21:AQ21" si="53">D20/D11</f>
        <v>0.54904037054423149</v>
      </c>
      <c r="E21" s="275">
        <f t="shared" si="53"/>
        <v>0.53524424674976834</v>
      </c>
      <c r="F21" s="275">
        <f t="shared" si="53"/>
        <v>0.51901654568236832</v>
      </c>
      <c r="G21" s="277">
        <f t="shared" si="53"/>
        <v>0.52899682443623519</v>
      </c>
      <c r="H21" s="275">
        <f t="shared" si="53"/>
        <v>0.5334152736591713</v>
      </c>
      <c r="I21" s="275">
        <f t="shared" si="53"/>
        <v>0.55066906866448362</v>
      </c>
      <c r="J21" s="275">
        <f t="shared" si="53"/>
        <v>0.52503022275812739</v>
      </c>
      <c r="K21" s="277">
        <f t="shared" si="53"/>
        <v>0.54504225523479921</v>
      </c>
      <c r="L21" s="275">
        <f t="shared" si="53"/>
        <v>0.55208280935538379</v>
      </c>
      <c r="M21" s="275">
        <f t="shared" si="53"/>
        <v>0.5503121398252464</v>
      </c>
      <c r="N21" s="275">
        <f t="shared" si="53"/>
        <v>0.59835144856961064</v>
      </c>
      <c r="O21" s="277">
        <f t="shared" si="53"/>
        <v>0.60918237079538495</v>
      </c>
      <c r="P21" s="275">
        <f t="shared" si="53"/>
        <v>0.70633180240528703</v>
      </c>
      <c r="Q21" s="275">
        <f t="shared" si="53"/>
        <v>0.84754190124863127</v>
      </c>
      <c r="R21" s="275">
        <f t="shared" si="53"/>
        <v>0.71344929172473404</v>
      </c>
      <c r="S21" s="277">
        <f t="shared" si="53"/>
        <v>0.63388482921185485</v>
      </c>
      <c r="T21" s="337">
        <f t="shared" si="53"/>
        <v>0.61534792000874039</v>
      </c>
      <c r="U21" s="275">
        <f t="shared" si="53"/>
        <v>0.59622049713792835</v>
      </c>
      <c r="V21" s="275">
        <f t="shared" si="53"/>
        <v>0.65837976955981237</v>
      </c>
      <c r="W21" s="277">
        <f t="shared" si="53"/>
        <v>0.57844261173385159</v>
      </c>
      <c r="X21" s="337">
        <f t="shared" si="53"/>
        <v>0.57706626954579299</v>
      </c>
      <c r="Y21" s="275">
        <f t="shared" si="53"/>
        <v>0.58455625436757508</v>
      </c>
      <c r="Z21" s="275">
        <f t="shared" si="53"/>
        <v>0.57517043415859348</v>
      </c>
      <c r="AA21" s="277">
        <f t="shared" si="53"/>
        <v>0.60953253895508708</v>
      </c>
      <c r="AB21" s="337">
        <f t="shared" si="53"/>
        <v>0.59342165372316125</v>
      </c>
      <c r="AC21" s="275">
        <f t="shared" si="53"/>
        <v>0.57890594254230621</v>
      </c>
      <c r="AD21" s="275">
        <f t="shared" si="53"/>
        <v>0.58429364063166878</v>
      </c>
      <c r="AE21" s="277">
        <f t="shared" si="53"/>
        <v>0.61603888213851765</v>
      </c>
      <c r="AF21" s="337">
        <f t="shared" si="53"/>
        <v>0.60203432930705658</v>
      </c>
      <c r="AG21" s="275">
        <f t="shared" si="53"/>
        <v>0.56817029903699945</v>
      </c>
      <c r="AH21" s="275">
        <f t="shared" si="53"/>
        <v>0.57113924050632914</v>
      </c>
      <c r="AI21" s="277">
        <f t="shared" si="53"/>
        <v>0.57997987927565398</v>
      </c>
      <c r="AJ21" s="337">
        <f t="shared" si="53"/>
        <v>0.57534246575342463</v>
      </c>
      <c r="AK21" s="275">
        <f t="shared" si="53"/>
        <v>0.55758606034849134</v>
      </c>
      <c r="AL21" s="275">
        <f t="shared" si="53"/>
        <v>0.54525386313465785</v>
      </c>
      <c r="AM21" s="338">
        <f t="shared" si="53"/>
        <v>0.55786219081272082</v>
      </c>
      <c r="AN21" s="337">
        <f t="shared" si="53"/>
        <v>0.57651547265790593</v>
      </c>
      <c r="AO21" s="275">
        <f t="shared" si="53"/>
        <v>0.56797706797706793</v>
      </c>
      <c r="AP21" s="275">
        <f t="shared" si="53"/>
        <v>0.56104417670682727</v>
      </c>
      <c r="AQ21" s="338">
        <f t="shared" si="53"/>
        <v>0.57770270270270274</v>
      </c>
      <c r="AR21" s="337">
        <f t="shared" ref="AR21:AW21" si="54">AR20/AR11</f>
        <v>0.57598582188746128</v>
      </c>
      <c r="AS21" s="275">
        <f t="shared" si="54"/>
        <v>0.57346938775510203</v>
      </c>
      <c r="AT21" s="275">
        <f t="shared" si="54"/>
        <v>0.56292095001772424</v>
      </c>
      <c r="AU21" s="338">
        <f t="shared" si="54"/>
        <v>0.56293600242644826</v>
      </c>
      <c r="AV21" s="337">
        <f t="shared" si="54"/>
        <v>0.54636973764490548</v>
      </c>
      <c r="AW21" s="275">
        <f t="shared" si="54"/>
        <v>0.5372250423011844</v>
      </c>
      <c r="AX21" s="275">
        <f t="shared" ref="AX21:AZ21" si="55">AX20/AX11</f>
        <v>0.53418803418803418</v>
      </c>
      <c r="AY21" s="705">
        <f t="shared" si="55"/>
        <v>0.53842277651801462</v>
      </c>
      <c r="AZ21" s="713">
        <f t="shared" si="55"/>
        <v>0.5325880114176974</v>
      </c>
      <c r="BA21" s="275">
        <f t="shared" ref="BA21:BG21" si="56">BA20/BA11</f>
        <v>0.53320190536362411</v>
      </c>
      <c r="BB21" s="275">
        <f t="shared" si="56"/>
        <v>0.53293024915883236</v>
      </c>
      <c r="BC21" s="277">
        <f t="shared" si="56"/>
        <v>0.53299638777081482</v>
      </c>
      <c r="BD21" s="704">
        <f t="shared" si="56"/>
        <v>0.53438356586989444</v>
      </c>
      <c r="BE21" s="704">
        <f t="shared" si="56"/>
        <v>0.53447826024235068</v>
      </c>
      <c r="BF21" s="704">
        <f t="shared" si="56"/>
        <v>0.5395377793813152</v>
      </c>
      <c r="BG21" s="705">
        <f t="shared" si="56"/>
        <v>0.53967819665383032</v>
      </c>
      <c r="BH21" s="704">
        <f t="shared" ref="BH21:BK21" si="57">BH20/BH11</f>
        <v>0.53960033057553469</v>
      </c>
      <c r="BI21" s="704">
        <f t="shared" si="57"/>
        <v>0.53969098738450505</v>
      </c>
      <c r="BJ21" s="704">
        <f t="shared" si="57"/>
        <v>0.5397964552710518</v>
      </c>
      <c r="BK21" s="705">
        <f t="shared" si="57"/>
        <v>0.53980691410510362</v>
      </c>
      <c r="BL21" s="215"/>
      <c r="BM21" s="337">
        <f t="shared" ref="BM21:BX21" si="58">BM20/BM11</f>
        <v>0.53182115790376228</v>
      </c>
      <c r="BN21" s="275">
        <f t="shared" si="58"/>
        <v>0.53851983018546967</v>
      </c>
      <c r="BO21" s="275">
        <f t="shared" si="58"/>
        <v>0.57648833101249319</v>
      </c>
      <c r="BP21" s="275">
        <f t="shared" si="58"/>
        <v>0.7146156449837413</v>
      </c>
      <c r="BQ21" s="275">
        <f t="shared" si="58"/>
        <v>0.61094024956572479</v>
      </c>
      <c r="BR21" s="275">
        <f t="shared" si="58"/>
        <v>0.58533802415137393</v>
      </c>
      <c r="BS21" s="275">
        <f t="shared" si="58"/>
        <v>0.59100814313568073</v>
      </c>
      <c r="BT21" s="704">
        <f t="shared" si="58"/>
        <v>0.57917166067385806</v>
      </c>
      <c r="BU21" s="704">
        <f t="shared" si="58"/>
        <v>0.55886243386243384</v>
      </c>
      <c r="BV21" s="704">
        <f t="shared" si="58"/>
        <v>0.57065948855989235</v>
      </c>
      <c r="BW21" s="704">
        <f t="shared" si="58"/>
        <v>0.56803695150115474</v>
      </c>
      <c r="BX21" s="704">
        <f t="shared" si="58"/>
        <v>0.53883194606865237</v>
      </c>
      <c r="BY21" s="704">
        <f>BY20/BY11</f>
        <v>0.5329338074161365</v>
      </c>
      <c r="BZ21" s="705">
        <f>BZ20/BZ11</f>
        <v>0.53704169538520463</v>
      </c>
      <c r="CA21" s="705">
        <f>CA20/CA11</f>
        <v>0.53972436314838323</v>
      </c>
      <c r="CB21" s="184"/>
      <c r="CC21" s="184"/>
      <c r="CD21" s="184"/>
    </row>
    <row r="22" spans="1:82" ht="14.25" hidden="1" customHeight="1" outlineLevel="1">
      <c r="A22" s="203"/>
      <c r="B22" s="217" t="s">
        <v>88</v>
      </c>
      <c r="C22" s="216"/>
      <c r="D22" s="220">
        <f t="shared" ref="D22:AQ22" si="59">D15-D18-D19</f>
        <v>1019.893</v>
      </c>
      <c r="E22" s="220">
        <f t="shared" si="59"/>
        <v>1203.0609999999999</v>
      </c>
      <c r="F22" s="220">
        <f t="shared" si="59"/>
        <v>1320.0889999999999</v>
      </c>
      <c r="G22" s="226">
        <f t="shared" si="59"/>
        <v>1332.1690000000001</v>
      </c>
      <c r="H22" s="220">
        <f t="shared" si="59"/>
        <v>1214.729</v>
      </c>
      <c r="I22" s="220">
        <f t="shared" si="59"/>
        <v>1392.951</v>
      </c>
      <c r="J22" s="220">
        <f t="shared" si="59"/>
        <v>1344.5940000000001</v>
      </c>
      <c r="K22" s="226">
        <f t="shared" si="59"/>
        <v>1290.1389999999999</v>
      </c>
      <c r="L22" s="220">
        <f t="shared" si="59"/>
        <v>1152.4159999999999</v>
      </c>
      <c r="M22" s="220">
        <f t="shared" si="59"/>
        <v>1183.17</v>
      </c>
      <c r="N22" s="220">
        <f t="shared" si="59"/>
        <v>1105.854</v>
      </c>
      <c r="O22" s="226">
        <f t="shared" si="59"/>
        <v>1244.972</v>
      </c>
      <c r="P22" s="220">
        <f t="shared" si="59"/>
        <v>941.82</v>
      </c>
      <c r="Q22" s="220">
        <f t="shared" si="59"/>
        <v>864.55799999999999</v>
      </c>
      <c r="R22" s="220">
        <f t="shared" si="59"/>
        <v>808.86599999999999</v>
      </c>
      <c r="S22" s="226">
        <f t="shared" si="59"/>
        <v>967.55799999999999</v>
      </c>
      <c r="T22" s="309">
        <f t="shared" si="59"/>
        <v>1137.7180000000001</v>
      </c>
      <c r="U22" s="220">
        <f t="shared" si="59"/>
        <v>1368.6479999999999</v>
      </c>
      <c r="V22" s="220">
        <f t="shared" si="59"/>
        <v>1657.662</v>
      </c>
      <c r="W22" s="226">
        <f t="shared" si="59"/>
        <v>1669.6369999999995</v>
      </c>
      <c r="X22" s="309">
        <f t="shared" si="59"/>
        <v>1550</v>
      </c>
      <c r="Y22" s="220">
        <f t="shared" si="59"/>
        <v>1673</v>
      </c>
      <c r="Z22" s="220">
        <f t="shared" si="59"/>
        <v>1603</v>
      </c>
      <c r="AA22" s="226">
        <f t="shared" si="59"/>
        <v>1330</v>
      </c>
      <c r="AB22" s="309">
        <f t="shared" si="59"/>
        <v>1299</v>
      </c>
      <c r="AC22" s="220">
        <f t="shared" si="59"/>
        <v>1471</v>
      </c>
      <c r="AD22" s="220">
        <f t="shared" si="59"/>
        <v>1369</v>
      </c>
      <c r="AE22" s="226">
        <f t="shared" si="59"/>
        <v>1014</v>
      </c>
      <c r="AF22" s="309">
        <f t="shared" si="59"/>
        <v>947</v>
      </c>
      <c r="AG22" s="220">
        <f t="shared" si="59"/>
        <v>1121</v>
      </c>
      <c r="AH22" s="220">
        <f t="shared" si="59"/>
        <v>1128</v>
      </c>
      <c r="AI22" s="226">
        <f t="shared" si="59"/>
        <v>1153</v>
      </c>
      <c r="AJ22" s="309">
        <f t="shared" si="59"/>
        <v>1260</v>
      </c>
      <c r="AK22" s="220">
        <f t="shared" si="59"/>
        <v>1312</v>
      </c>
      <c r="AL22" s="220">
        <f t="shared" si="59"/>
        <v>1235</v>
      </c>
      <c r="AM22" s="345">
        <f t="shared" si="59"/>
        <v>1263</v>
      </c>
      <c r="AN22" s="309">
        <f t="shared" si="59"/>
        <v>1360</v>
      </c>
      <c r="AO22" s="220">
        <f t="shared" si="59"/>
        <v>1387</v>
      </c>
      <c r="AP22" s="220">
        <f t="shared" si="59"/>
        <v>1397</v>
      </c>
      <c r="AQ22" s="345">
        <f t="shared" si="59"/>
        <v>1368</v>
      </c>
      <c r="AR22" s="309">
        <f t="shared" ref="AR22:AW22" si="60">AR15-AR18-AR19</f>
        <v>1300</v>
      </c>
      <c r="AS22" s="220">
        <f t="shared" si="60"/>
        <v>1405</v>
      </c>
      <c r="AT22" s="220">
        <f t="shared" si="60"/>
        <v>1588</v>
      </c>
      <c r="AU22" s="345">
        <f t="shared" si="60"/>
        <v>1856</v>
      </c>
      <c r="AV22" s="309">
        <f t="shared" si="60"/>
        <v>1791</v>
      </c>
      <c r="AW22" s="220">
        <f t="shared" si="60"/>
        <v>1905</v>
      </c>
      <c r="AX22" s="220">
        <f t="shared" ref="AX22:AZ22" si="61">AX15-AX18-AX19</f>
        <v>2000</v>
      </c>
      <c r="AY22" s="738">
        <f t="shared" si="61"/>
        <v>2137</v>
      </c>
      <c r="AZ22" s="747">
        <f t="shared" si="61"/>
        <v>2239</v>
      </c>
      <c r="BA22" s="220">
        <f t="shared" ref="BA22:BG22" si="62">BA15-BA18-BA19</f>
        <v>2377.9599942911514</v>
      </c>
      <c r="BB22" s="220">
        <f t="shared" si="62"/>
        <v>2314.4373716222644</v>
      </c>
      <c r="BC22" s="226">
        <f t="shared" si="62"/>
        <v>2329.5941541277357</v>
      </c>
      <c r="BD22" s="735">
        <f t="shared" si="62"/>
        <v>2265.0976937683122</v>
      </c>
      <c r="BE22" s="735">
        <f t="shared" si="62"/>
        <v>2285.8882908048026</v>
      </c>
      <c r="BF22" s="735">
        <f t="shared" si="62"/>
        <v>2320.6545681896778</v>
      </c>
      <c r="BG22" s="738">
        <f t="shared" si="62"/>
        <v>2352.8368091254338</v>
      </c>
      <c r="BH22" s="735">
        <f t="shared" ref="BH22:BK22" si="63">BH15-BH18-BH19</f>
        <v>2334.8833395391771</v>
      </c>
      <c r="BI22" s="735">
        <f t="shared" si="63"/>
        <v>2355.8118840401285</v>
      </c>
      <c r="BJ22" s="735">
        <f t="shared" si="63"/>
        <v>2380.6276281890905</v>
      </c>
      <c r="BK22" s="738">
        <f t="shared" si="63"/>
        <v>2383.1164953581147</v>
      </c>
      <c r="BL22" s="215"/>
      <c r="BM22" s="309">
        <f t="shared" ref="BM22:BX22" si="64">BM15-BM18-BM19</f>
        <v>4875.2119999999995</v>
      </c>
      <c r="BN22" s="220">
        <f t="shared" si="64"/>
        <v>5242.4130000000005</v>
      </c>
      <c r="BO22" s="220">
        <f t="shared" si="64"/>
        <v>4686.4120000000003</v>
      </c>
      <c r="BP22" s="220">
        <f t="shared" si="64"/>
        <v>3582.8020000000001</v>
      </c>
      <c r="BQ22" s="220">
        <f t="shared" si="64"/>
        <v>5833.665</v>
      </c>
      <c r="BR22" s="220">
        <f t="shared" si="64"/>
        <v>6156</v>
      </c>
      <c r="BS22" s="220">
        <f t="shared" si="64"/>
        <v>5153</v>
      </c>
      <c r="BT22" s="735">
        <f t="shared" si="64"/>
        <v>4349</v>
      </c>
      <c r="BU22" s="735">
        <f t="shared" si="64"/>
        <v>5070</v>
      </c>
      <c r="BV22" s="700">
        <f t="shared" si="64"/>
        <v>5512</v>
      </c>
      <c r="BW22" s="700">
        <f t="shared" si="64"/>
        <v>6149</v>
      </c>
      <c r="BX22" s="700">
        <f t="shared" si="64"/>
        <v>7833</v>
      </c>
      <c r="BY22" s="735">
        <f>BY15-BY18-BY19</f>
        <v>9260.9915200411524</v>
      </c>
      <c r="BZ22" s="738">
        <f>BZ15-BZ18-BZ19</f>
        <v>9224.4773618882264</v>
      </c>
      <c r="CA22" s="738">
        <f>CA15-CA18-CA19</f>
        <v>9454.4393471265103</v>
      </c>
      <c r="CB22" s="184"/>
      <c r="CC22" s="184"/>
      <c r="CD22" s="184"/>
    </row>
    <row r="23" spans="1:82" ht="14.25" hidden="1" customHeight="1" outlineLevel="1">
      <c r="A23" s="203"/>
      <c r="B23" s="262" t="s">
        <v>318</v>
      </c>
      <c r="C23" s="261"/>
      <c r="D23" s="275">
        <f t="shared" ref="D23:AQ23" si="65">D22/D11</f>
        <v>0.54904037054423149</v>
      </c>
      <c r="E23" s="275">
        <f t="shared" si="65"/>
        <v>0.53524424674976834</v>
      </c>
      <c r="F23" s="275">
        <f t="shared" si="65"/>
        <v>0.51901654568236832</v>
      </c>
      <c r="G23" s="277">
        <f t="shared" si="65"/>
        <v>0.52899682443623519</v>
      </c>
      <c r="H23" s="275">
        <f t="shared" si="65"/>
        <v>0.5334152736591713</v>
      </c>
      <c r="I23" s="275">
        <f t="shared" si="65"/>
        <v>0.55066906866448362</v>
      </c>
      <c r="J23" s="275">
        <f t="shared" si="65"/>
        <v>0.52503022275812739</v>
      </c>
      <c r="K23" s="277">
        <f t="shared" si="65"/>
        <v>0.54504225523479921</v>
      </c>
      <c r="L23" s="275">
        <f t="shared" si="65"/>
        <v>0.55208280935538379</v>
      </c>
      <c r="M23" s="275">
        <f t="shared" si="65"/>
        <v>0.5503121398252464</v>
      </c>
      <c r="N23" s="275">
        <f t="shared" si="65"/>
        <v>0.59835144856961064</v>
      </c>
      <c r="O23" s="277">
        <f t="shared" si="65"/>
        <v>0.60918237079538495</v>
      </c>
      <c r="P23" s="275">
        <f t="shared" si="65"/>
        <v>0.70633180240528703</v>
      </c>
      <c r="Q23" s="275">
        <f t="shared" si="65"/>
        <v>0.84754190124863127</v>
      </c>
      <c r="R23" s="275">
        <f t="shared" si="65"/>
        <v>0.71344929172473404</v>
      </c>
      <c r="S23" s="277">
        <f t="shared" si="65"/>
        <v>0.63388482921185485</v>
      </c>
      <c r="T23" s="337">
        <f t="shared" si="65"/>
        <v>0.61534792000874039</v>
      </c>
      <c r="U23" s="275">
        <f t="shared" si="65"/>
        <v>0.59622049713792835</v>
      </c>
      <c r="V23" s="275">
        <f t="shared" si="65"/>
        <v>0.65837976955981237</v>
      </c>
      <c r="W23" s="277">
        <f t="shared" si="65"/>
        <v>0.57844261173385159</v>
      </c>
      <c r="X23" s="337">
        <f t="shared" si="65"/>
        <v>0.57706626954579299</v>
      </c>
      <c r="Y23" s="275">
        <f t="shared" si="65"/>
        <v>0.58455625436757508</v>
      </c>
      <c r="Z23" s="275">
        <f t="shared" si="65"/>
        <v>0.57517043415859348</v>
      </c>
      <c r="AA23" s="277">
        <f t="shared" si="65"/>
        <v>0.60953253895508708</v>
      </c>
      <c r="AB23" s="337">
        <f t="shared" si="65"/>
        <v>0.59342165372316125</v>
      </c>
      <c r="AC23" s="275">
        <f t="shared" si="65"/>
        <v>0.57890594254230621</v>
      </c>
      <c r="AD23" s="275">
        <f t="shared" si="65"/>
        <v>0.58429364063166878</v>
      </c>
      <c r="AE23" s="277">
        <f t="shared" si="65"/>
        <v>0.61603888213851765</v>
      </c>
      <c r="AF23" s="337">
        <f t="shared" si="65"/>
        <v>0.60203432930705658</v>
      </c>
      <c r="AG23" s="275">
        <f t="shared" si="65"/>
        <v>0.56817029903699945</v>
      </c>
      <c r="AH23" s="275">
        <f t="shared" si="65"/>
        <v>0.57113924050632914</v>
      </c>
      <c r="AI23" s="277">
        <f t="shared" si="65"/>
        <v>0.57997987927565398</v>
      </c>
      <c r="AJ23" s="337">
        <f t="shared" si="65"/>
        <v>0.57534246575342463</v>
      </c>
      <c r="AK23" s="275">
        <f t="shared" si="65"/>
        <v>0.55758606034849134</v>
      </c>
      <c r="AL23" s="275">
        <f t="shared" si="65"/>
        <v>0.54525386313465785</v>
      </c>
      <c r="AM23" s="338">
        <f t="shared" si="65"/>
        <v>0.55786219081272082</v>
      </c>
      <c r="AN23" s="337">
        <f t="shared" si="65"/>
        <v>0.57651547265790593</v>
      </c>
      <c r="AO23" s="275">
        <f t="shared" si="65"/>
        <v>0.56797706797706793</v>
      </c>
      <c r="AP23" s="275">
        <f t="shared" si="65"/>
        <v>0.56104417670682727</v>
      </c>
      <c r="AQ23" s="338">
        <f t="shared" si="65"/>
        <v>0.57770270270270274</v>
      </c>
      <c r="AR23" s="337">
        <f t="shared" ref="AR23:AW23" si="66">AR22/AR11</f>
        <v>0.57598582188746128</v>
      </c>
      <c r="AS23" s="275">
        <f t="shared" si="66"/>
        <v>0.57346938775510203</v>
      </c>
      <c r="AT23" s="275">
        <f t="shared" si="66"/>
        <v>0.56292095001772424</v>
      </c>
      <c r="AU23" s="338">
        <f t="shared" si="66"/>
        <v>0.56293600242644826</v>
      </c>
      <c r="AV23" s="337">
        <f t="shared" si="66"/>
        <v>0.54636973764490548</v>
      </c>
      <c r="AW23" s="275">
        <f t="shared" si="66"/>
        <v>0.5372250423011844</v>
      </c>
      <c r="AX23" s="275">
        <f t="shared" ref="AX23:AZ23" si="67">AX22/AX11</f>
        <v>0.53418803418803418</v>
      </c>
      <c r="AY23" s="705">
        <f t="shared" si="67"/>
        <v>0.53842277651801462</v>
      </c>
      <c r="AZ23" s="713">
        <f t="shared" si="67"/>
        <v>0.5325880114176974</v>
      </c>
      <c r="BA23" s="275">
        <f t="shared" ref="BA23:BG23" si="68">BA22/BA11</f>
        <v>0.53320190536362411</v>
      </c>
      <c r="BB23" s="275">
        <f t="shared" si="68"/>
        <v>0.53293024915883236</v>
      </c>
      <c r="BC23" s="277">
        <f t="shared" si="68"/>
        <v>0.53299638777081482</v>
      </c>
      <c r="BD23" s="704">
        <f t="shared" si="68"/>
        <v>0.53438356586989444</v>
      </c>
      <c r="BE23" s="704">
        <f t="shared" si="68"/>
        <v>0.53447826024235068</v>
      </c>
      <c r="BF23" s="704">
        <f t="shared" si="68"/>
        <v>0.5395377793813152</v>
      </c>
      <c r="BG23" s="705">
        <f t="shared" si="68"/>
        <v>0.53967819665383032</v>
      </c>
      <c r="BH23" s="704">
        <f t="shared" ref="BH23:BK23" si="69">BH22/BH11</f>
        <v>0.53960033057553469</v>
      </c>
      <c r="BI23" s="704">
        <f t="shared" si="69"/>
        <v>0.53969098738450505</v>
      </c>
      <c r="BJ23" s="704">
        <f t="shared" si="69"/>
        <v>0.5397964552710518</v>
      </c>
      <c r="BK23" s="705">
        <f t="shared" si="69"/>
        <v>0.53980691410510362</v>
      </c>
      <c r="BL23" s="215"/>
      <c r="BM23" s="337">
        <f t="shared" ref="BM23:BX23" si="70">BM22/BM11</f>
        <v>0.53182115790376228</v>
      </c>
      <c r="BN23" s="275">
        <f t="shared" si="70"/>
        <v>0.53851983018546967</v>
      </c>
      <c r="BO23" s="275">
        <f t="shared" si="70"/>
        <v>0.57648833101249319</v>
      </c>
      <c r="BP23" s="275">
        <f t="shared" si="70"/>
        <v>0.7146156449837413</v>
      </c>
      <c r="BQ23" s="275">
        <f t="shared" si="70"/>
        <v>0.61094024956572479</v>
      </c>
      <c r="BR23" s="275">
        <f t="shared" si="70"/>
        <v>0.58533802415137393</v>
      </c>
      <c r="BS23" s="275">
        <f t="shared" si="70"/>
        <v>0.59100814313568073</v>
      </c>
      <c r="BT23" s="704">
        <f t="shared" si="70"/>
        <v>0.57917166067385806</v>
      </c>
      <c r="BU23" s="704">
        <f t="shared" si="70"/>
        <v>0.55886243386243384</v>
      </c>
      <c r="BV23" s="704">
        <f t="shared" si="70"/>
        <v>0.57065948855989235</v>
      </c>
      <c r="BW23" s="704">
        <f t="shared" si="70"/>
        <v>0.56803695150115474</v>
      </c>
      <c r="BX23" s="704">
        <f t="shared" si="70"/>
        <v>0.53883194606865237</v>
      </c>
      <c r="BY23" s="704">
        <f>BY22/BY11</f>
        <v>0.5329338074161365</v>
      </c>
      <c r="BZ23" s="705">
        <f>BZ22/BZ11</f>
        <v>0.53704169538520463</v>
      </c>
      <c r="CA23" s="705">
        <f>CA22/CA11</f>
        <v>0.53972436314838323</v>
      </c>
      <c r="CB23" s="184"/>
      <c r="CC23" s="184"/>
      <c r="CD23" s="184"/>
    </row>
    <row r="24" spans="1:82" ht="14.25" customHeight="1" collapsed="1">
      <c r="A24" s="203"/>
      <c r="B24" s="217"/>
      <c r="C24" s="216"/>
      <c r="D24" s="353"/>
      <c r="E24" s="353"/>
      <c r="F24" s="343"/>
      <c r="G24" s="354"/>
      <c r="H24" s="353"/>
      <c r="I24" s="353"/>
      <c r="J24" s="343"/>
      <c r="K24" s="354"/>
      <c r="L24" s="353"/>
      <c r="M24" s="353"/>
      <c r="N24" s="343"/>
      <c r="O24" s="354"/>
      <c r="P24" s="353"/>
      <c r="Q24" s="353"/>
      <c r="R24" s="343"/>
      <c r="S24" s="354"/>
      <c r="T24" s="355"/>
      <c r="U24" s="353"/>
      <c r="V24" s="343"/>
      <c r="W24" s="354"/>
      <c r="X24" s="355"/>
      <c r="Y24" s="353"/>
      <c r="Z24" s="343"/>
      <c r="AA24" s="354"/>
      <c r="AB24" s="355"/>
      <c r="AC24" s="353"/>
      <c r="AD24" s="343"/>
      <c r="AE24" s="354"/>
      <c r="AF24" s="355"/>
      <c r="AG24" s="353"/>
      <c r="AH24" s="343"/>
      <c r="AI24" s="354"/>
      <c r="AJ24" s="355"/>
      <c r="AK24" s="353"/>
      <c r="AL24" s="343"/>
      <c r="AM24" s="358"/>
      <c r="AN24" s="355"/>
      <c r="AO24" s="353"/>
      <c r="AP24" s="343"/>
      <c r="AQ24" s="358"/>
      <c r="AR24" s="355"/>
      <c r="AS24" s="353"/>
      <c r="AT24" s="343"/>
      <c r="AU24" s="358"/>
      <c r="AV24" s="355"/>
      <c r="AW24" s="353"/>
      <c r="AX24" s="343"/>
      <c r="AY24" s="715"/>
      <c r="AZ24" s="355"/>
      <c r="BA24" s="353"/>
      <c r="BB24" s="353"/>
      <c r="BC24" s="354"/>
      <c r="BD24" s="714"/>
      <c r="BE24" s="714"/>
      <c r="BF24" s="714"/>
      <c r="BG24" s="715"/>
      <c r="BH24" s="714"/>
      <c r="BI24" s="714"/>
      <c r="BJ24" s="714"/>
      <c r="BK24" s="715"/>
      <c r="BL24" s="215"/>
      <c r="BM24" s="257"/>
      <c r="BN24" s="255"/>
      <c r="BO24" s="255"/>
      <c r="BP24" s="255"/>
      <c r="BQ24" s="255"/>
      <c r="BR24" s="255"/>
      <c r="BS24" s="255"/>
      <c r="BT24" s="741"/>
      <c r="BU24" s="741"/>
      <c r="BV24" s="702"/>
      <c r="BW24" s="702"/>
      <c r="BX24" s="702"/>
      <c r="BY24" s="741"/>
      <c r="BZ24" s="742"/>
      <c r="CA24" s="742"/>
      <c r="CB24" s="184"/>
      <c r="CC24" s="184"/>
      <c r="CD24" s="184"/>
    </row>
    <row r="25" spans="1:82" ht="14.25" customHeight="1">
      <c r="A25" s="203"/>
      <c r="B25" s="321" t="s">
        <v>369</v>
      </c>
      <c r="C25" s="320"/>
      <c r="D25" s="332">
        <f t="shared" ref="D25:AQ25" si="71">D7-D15</f>
        <v>837.69900000000007</v>
      </c>
      <c r="E25" s="332">
        <f t="shared" si="71"/>
        <v>1044.6250000000002</v>
      </c>
      <c r="F25" s="332">
        <f t="shared" si="71"/>
        <v>1223.3540000000003</v>
      </c>
      <c r="G25" s="333">
        <f t="shared" si="71"/>
        <v>1186.124</v>
      </c>
      <c r="H25" s="332">
        <f t="shared" si="71"/>
        <v>1062.5379999999998</v>
      </c>
      <c r="I25" s="332">
        <f t="shared" si="71"/>
        <v>1136.6100000000001</v>
      </c>
      <c r="J25" s="332">
        <f t="shared" si="71"/>
        <v>1216.3899999999999</v>
      </c>
      <c r="K25" s="333">
        <f t="shared" si="71"/>
        <v>1076.905</v>
      </c>
      <c r="L25" s="332">
        <f t="shared" si="71"/>
        <v>934.98099999999999</v>
      </c>
      <c r="M25" s="332">
        <f t="shared" si="71"/>
        <v>966.82799999999997</v>
      </c>
      <c r="N25" s="332">
        <f t="shared" si="71"/>
        <v>742.31399999999985</v>
      </c>
      <c r="O25" s="333">
        <f t="shared" si="71"/>
        <v>798.70499999999993</v>
      </c>
      <c r="P25" s="332">
        <f t="shared" si="71"/>
        <v>391.57599999999991</v>
      </c>
      <c r="Q25" s="332">
        <f t="shared" si="71"/>
        <v>155.51900000000001</v>
      </c>
      <c r="R25" s="332">
        <f t="shared" si="71"/>
        <v>324.87400000000002</v>
      </c>
      <c r="S25" s="333">
        <f t="shared" si="71"/>
        <v>558.83600000000001</v>
      </c>
      <c r="T25" s="334">
        <f t="shared" si="71"/>
        <v>711.18399999999997</v>
      </c>
      <c r="U25" s="332">
        <f t="shared" si="71"/>
        <v>926.89200000000005</v>
      </c>
      <c r="V25" s="332">
        <f t="shared" si="71"/>
        <v>860.12799999999993</v>
      </c>
      <c r="W25" s="333">
        <f t="shared" si="71"/>
        <v>1216.798</v>
      </c>
      <c r="X25" s="334">
        <f t="shared" si="71"/>
        <v>1136</v>
      </c>
      <c r="Y25" s="332">
        <f t="shared" si="71"/>
        <v>1189</v>
      </c>
      <c r="Z25" s="332">
        <f t="shared" si="71"/>
        <v>1184</v>
      </c>
      <c r="AA25" s="333">
        <f t="shared" si="71"/>
        <v>852</v>
      </c>
      <c r="AB25" s="334">
        <f t="shared" si="71"/>
        <v>786</v>
      </c>
      <c r="AC25" s="332">
        <f t="shared" si="71"/>
        <v>1011</v>
      </c>
      <c r="AD25" s="332">
        <f t="shared" si="71"/>
        <v>930</v>
      </c>
      <c r="AE25" s="333">
        <f t="shared" si="71"/>
        <v>586</v>
      </c>
      <c r="AF25" s="334">
        <f t="shared" si="71"/>
        <v>582</v>
      </c>
      <c r="AG25" s="332">
        <f t="shared" si="71"/>
        <v>808</v>
      </c>
      <c r="AH25" s="332">
        <f t="shared" si="71"/>
        <v>806</v>
      </c>
      <c r="AI25" s="333">
        <f t="shared" si="71"/>
        <v>795</v>
      </c>
      <c r="AJ25" s="334">
        <f t="shared" si="71"/>
        <v>891</v>
      </c>
      <c r="AK25" s="332">
        <f t="shared" si="71"/>
        <v>1001</v>
      </c>
      <c r="AL25" s="332">
        <f t="shared" si="71"/>
        <v>992</v>
      </c>
      <c r="AM25" s="335">
        <f t="shared" si="71"/>
        <v>959</v>
      </c>
      <c r="AN25" s="334">
        <f t="shared" si="71"/>
        <v>959</v>
      </c>
      <c r="AO25" s="332">
        <f t="shared" si="71"/>
        <v>1016</v>
      </c>
      <c r="AP25" s="332">
        <f t="shared" si="71"/>
        <v>1018</v>
      </c>
      <c r="AQ25" s="335">
        <f t="shared" si="71"/>
        <v>959</v>
      </c>
      <c r="AR25" s="334">
        <f t="shared" ref="AR25:AW25" si="72">AR7-AR15</f>
        <v>916</v>
      </c>
      <c r="AS25" s="332">
        <f t="shared" si="72"/>
        <v>1004</v>
      </c>
      <c r="AT25" s="332">
        <f t="shared" si="72"/>
        <v>1192</v>
      </c>
      <c r="AU25" s="335">
        <f t="shared" si="72"/>
        <v>1399</v>
      </c>
      <c r="AV25" s="334">
        <f t="shared" si="72"/>
        <v>1445</v>
      </c>
      <c r="AW25" s="332">
        <f t="shared" si="72"/>
        <v>1600</v>
      </c>
      <c r="AX25" s="332">
        <f t="shared" ref="AX25:AZ25" si="73">AX7-AX15</f>
        <v>1700</v>
      </c>
      <c r="AY25" s="712">
        <f t="shared" si="73"/>
        <v>1787</v>
      </c>
      <c r="AZ25" s="334">
        <f t="shared" si="73"/>
        <v>1920</v>
      </c>
      <c r="BA25" s="332">
        <f t="shared" ref="BA25:BG25" si="74">BA7-BA15</f>
        <v>2036.814005708849</v>
      </c>
      <c r="BB25" s="332">
        <f t="shared" si="74"/>
        <v>1983.4149533777354</v>
      </c>
      <c r="BC25" s="333">
        <f t="shared" si="74"/>
        <v>1996.1562066222646</v>
      </c>
      <c r="BD25" s="711">
        <f t="shared" si="74"/>
        <v>1928.6136709441876</v>
      </c>
      <c r="BE25" s="711">
        <f t="shared" si="74"/>
        <v>1945.9709583783224</v>
      </c>
      <c r="BF25" s="711">
        <f t="shared" si="74"/>
        <v>1935.5355557915545</v>
      </c>
      <c r="BG25" s="712">
        <f t="shared" si="74"/>
        <v>1961.8664801935361</v>
      </c>
      <c r="BH25" s="711">
        <f t="shared" ref="BH25:BK25" si="75">BH7-BH15</f>
        <v>1947.1772778047812</v>
      </c>
      <c r="BI25" s="711">
        <f t="shared" si="75"/>
        <v>1964.3006323964682</v>
      </c>
      <c r="BJ25" s="711">
        <f t="shared" si="75"/>
        <v>1984.6044230638008</v>
      </c>
      <c r="BK25" s="712">
        <f t="shared" si="75"/>
        <v>1986.6407689293665</v>
      </c>
      <c r="BL25" s="215"/>
      <c r="BM25" s="334">
        <f t="shared" ref="BM25:BX25" si="76">BM7-BM15</f>
        <v>4291.8020000000015</v>
      </c>
      <c r="BN25" s="332">
        <f t="shared" si="76"/>
        <v>4492.4429999999993</v>
      </c>
      <c r="BO25" s="332">
        <f t="shared" si="76"/>
        <v>3442.8279999999995</v>
      </c>
      <c r="BP25" s="332">
        <f t="shared" si="76"/>
        <v>1430.8049999999998</v>
      </c>
      <c r="BQ25" s="332">
        <f t="shared" si="76"/>
        <v>3715.0019999999995</v>
      </c>
      <c r="BR25" s="332">
        <f t="shared" si="76"/>
        <v>4361</v>
      </c>
      <c r="BS25" s="332">
        <f t="shared" si="76"/>
        <v>3313</v>
      </c>
      <c r="BT25" s="711">
        <f t="shared" si="76"/>
        <v>2991</v>
      </c>
      <c r="BU25" s="711">
        <f t="shared" si="76"/>
        <v>3843</v>
      </c>
      <c r="BV25" s="711">
        <f t="shared" si="76"/>
        <v>3952</v>
      </c>
      <c r="BW25" s="711">
        <f t="shared" si="76"/>
        <v>4511</v>
      </c>
      <c r="BX25" s="711">
        <f t="shared" si="76"/>
        <v>6532</v>
      </c>
      <c r="BY25" s="711">
        <f>BY7-BY15</f>
        <v>7936.3851657088489</v>
      </c>
      <c r="BZ25" s="712">
        <f>BZ7-BZ15</f>
        <v>7771.9866653076006</v>
      </c>
      <c r="CA25" s="712">
        <f>CA7-CA15</f>
        <v>7882.7231021944172</v>
      </c>
      <c r="CB25" s="184"/>
      <c r="CC25" s="184"/>
      <c r="CD25" s="184"/>
    </row>
    <row r="26" spans="1:82" ht="14.25" customHeight="1">
      <c r="A26" s="203"/>
      <c r="B26" s="262" t="s">
        <v>368</v>
      </c>
      <c r="C26" s="261"/>
      <c r="D26" s="275">
        <f t="shared" ref="D26:AQ26" si="77">D25/D7</f>
        <v>0.45095962945576856</v>
      </c>
      <c r="E26" s="275">
        <f t="shared" si="77"/>
        <v>0.46475575325023166</v>
      </c>
      <c r="F26" s="275">
        <f t="shared" si="77"/>
        <v>0.48098345431763173</v>
      </c>
      <c r="G26" s="277">
        <f t="shared" si="77"/>
        <v>0.47100317556376481</v>
      </c>
      <c r="H26" s="275">
        <f t="shared" si="77"/>
        <v>0.46658472634082865</v>
      </c>
      <c r="I26" s="275">
        <f t="shared" si="77"/>
        <v>0.44933093133551633</v>
      </c>
      <c r="J26" s="275">
        <f t="shared" si="77"/>
        <v>0.47496977724187261</v>
      </c>
      <c r="K26" s="277">
        <f t="shared" si="77"/>
        <v>0.45495774476520084</v>
      </c>
      <c r="L26" s="275">
        <f t="shared" si="77"/>
        <v>0.44791719064461627</v>
      </c>
      <c r="M26" s="275">
        <f t="shared" si="77"/>
        <v>0.44968786017475365</v>
      </c>
      <c r="N26" s="275">
        <f t="shared" si="77"/>
        <v>0.40164855143038941</v>
      </c>
      <c r="O26" s="277">
        <f t="shared" si="77"/>
        <v>0.39081762920461499</v>
      </c>
      <c r="P26" s="275">
        <f t="shared" si="77"/>
        <v>0.29366819759471297</v>
      </c>
      <c r="Q26" s="275">
        <f t="shared" si="77"/>
        <v>0.15245809875136879</v>
      </c>
      <c r="R26" s="275">
        <f t="shared" si="77"/>
        <v>0.28655070827526596</v>
      </c>
      <c r="S26" s="277">
        <f t="shared" si="77"/>
        <v>0.36611517078814515</v>
      </c>
      <c r="T26" s="337">
        <f t="shared" si="77"/>
        <v>0.38465207999125967</v>
      </c>
      <c r="U26" s="275">
        <f t="shared" si="77"/>
        <v>0.4037795028620717</v>
      </c>
      <c r="V26" s="275">
        <f t="shared" si="77"/>
        <v>0.34162023044018758</v>
      </c>
      <c r="W26" s="277">
        <f t="shared" si="77"/>
        <v>0.42155738826614847</v>
      </c>
      <c r="X26" s="337">
        <f t="shared" si="77"/>
        <v>0.42293373045420701</v>
      </c>
      <c r="Y26" s="275">
        <f t="shared" si="77"/>
        <v>0.41544374563242487</v>
      </c>
      <c r="Z26" s="275">
        <f t="shared" si="77"/>
        <v>0.42482956584140652</v>
      </c>
      <c r="AA26" s="277">
        <f t="shared" si="77"/>
        <v>0.39046746104491292</v>
      </c>
      <c r="AB26" s="337">
        <f t="shared" si="77"/>
        <v>0.35906806761078119</v>
      </c>
      <c r="AC26" s="275">
        <f t="shared" si="77"/>
        <v>0.39787485242030696</v>
      </c>
      <c r="AD26" s="275">
        <f t="shared" si="77"/>
        <v>0.39692701664532648</v>
      </c>
      <c r="AE26" s="277">
        <f t="shared" si="77"/>
        <v>0.35601458080194409</v>
      </c>
      <c r="AF26" s="337">
        <f t="shared" si="77"/>
        <v>0.36999364272091545</v>
      </c>
      <c r="AG26" s="275">
        <f t="shared" si="77"/>
        <v>0.40952863659401928</v>
      </c>
      <c r="AH26" s="275">
        <f t="shared" si="77"/>
        <v>0.40810126582278483</v>
      </c>
      <c r="AI26" s="277">
        <f t="shared" si="77"/>
        <v>0.3998993963782696</v>
      </c>
      <c r="AJ26" s="337">
        <f t="shared" si="77"/>
        <v>0.40684931506849314</v>
      </c>
      <c r="AK26" s="275">
        <f t="shared" si="77"/>
        <v>0.425414364640884</v>
      </c>
      <c r="AL26" s="275">
        <f t="shared" si="77"/>
        <v>0.43796909492273733</v>
      </c>
      <c r="AM26" s="338">
        <f t="shared" si="77"/>
        <v>0.42358657243816256</v>
      </c>
      <c r="AN26" s="337">
        <f t="shared" si="77"/>
        <v>0.40652818991097922</v>
      </c>
      <c r="AO26" s="275">
        <f t="shared" si="77"/>
        <v>0.41605241605241605</v>
      </c>
      <c r="AP26" s="275">
        <f t="shared" si="77"/>
        <v>0.40883534136546185</v>
      </c>
      <c r="AQ26" s="338">
        <f t="shared" si="77"/>
        <v>0.40498310810810811</v>
      </c>
      <c r="AR26" s="337">
        <f t="shared" ref="AR26:AW26" si="78">AR25/AR7</f>
        <v>0.4058484714222419</v>
      </c>
      <c r="AS26" s="275">
        <f t="shared" si="78"/>
        <v>0.40979591836734691</v>
      </c>
      <c r="AT26" s="275">
        <f t="shared" si="78"/>
        <v>0.42254519673874513</v>
      </c>
      <c r="AU26" s="338">
        <f t="shared" si="78"/>
        <v>0.42432514407036698</v>
      </c>
      <c r="AV26" s="337">
        <f t="shared" si="78"/>
        <v>0.44081757169005492</v>
      </c>
      <c r="AW26" s="275">
        <f t="shared" si="78"/>
        <v>0.45121263395375072</v>
      </c>
      <c r="AX26" s="275">
        <f t="shared" ref="AX26:AZ26" si="79">AX25/AX7</f>
        <v>0.45405982905982906</v>
      </c>
      <c r="AY26" s="705">
        <f t="shared" si="79"/>
        <v>0.45023935500125978</v>
      </c>
      <c r="AZ26" s="713">
        <f t="shared" si="79"/>
        <v>0.45670789724072314</v>
      </c>
      <c r="BA26" s="729">
        <f t="shared" ref="BA26:BK26" si="80">AZ26</f>
        <v>0.45670789724072314</v>
      </c>
      <c r="BB26" s="729">
        <f t="shared" si="80"/>
        <v>0.45670789724072314</v>
      </c>
      <c r="BC26" s="729">
        <f t="shared" si="80"/>
        <v>0.45670789724072314</v>
      </c>
      <c r="BD26" s="728">
        <v>0.45500000000000002</v>
      </c>
      <c r="BE26" s="729">
        <v>0.45500000000000002</v>
      </c>
      <c r="BF26" s="729">
        <v>0.45</v>
      </c>
      <c r="BG26" s="729">
        <v>0.45</v>
      </c>
      <c r="BH26" s="728">
        <f t="shared" si="80"/>
        <v>0.45</v>
      </c>
      <c r="BI26" s="729">
        <f t="shared" si="80"/>
        <v>0.45</v>
      </c>
      <c r="BJ26" s="729">
        <f t="shared" si="80"/>
        <v>0.45</v>
      </c>
      <c r="BK26" s="729">
        <f t="shared" si="80"/>
        <v>0.45</v>
      </c>
      <c r="BL26" s="215"/>
      <c r="BM26" s="337">
        <f t="shared" ref="BM26:BX26" si="81">BM25/BM7</f>
        <v>0.46817884209623778</v>
      </c>
      <c r="BN26" s="275">
        <f t="shared" si="81"/>
        <v>0.46148016981453033</v>
      </c>
      <c r="BO26" s="275">
        <f t="shared" si="81"/>
        <v>0.42351166898750681</v>
      </c>
      <c r="BP26" s="275">
        <f t="shared" si="81"/>
        <v>0.2853843550162587</v>
      </c>
      <c r="BQ26" s="275">
        <f t="shared" si="81"/>
        <v>0.38905975043427526</v>
      </c>
      <c r="BR26" s="275">
        <f t="shared" si="81"/>
        <v>0.41466197584862602</v>
      </c>
      <c r="BS26" s="275">
        <f t="shared" si="81"/>
        <v>0.37997476774859501</v>
      </c>
      <c r="BT26" s="704">
        <f t="shared" si="81"/>
        <v>0.39832201358369956</v>
      </c>
      <c r="BU26" s="704">
        <f t="shared" si="81"/>
        <v>0.4236111111111111</v>
      </c>
      <c r="BV26" s="704">
        <f t="shared" si="81"/>
        <v>0.40915208613728127</v>
      </c>
      <c r="BW26" s="704">
        <f t="shared" si="81"/>
        <v>0.41672055427251731</v>
      </c>
      <c r="BX26" s="704">
        <f t="shared" si="81"/>
        <v>0.44933617665267939</v>
      </c>
      <c r="BY26" s="704">
        <f>BY25/BY7</f>
        <v>0.45670789724072308</v>
      </c>
      <c r="BZ26" s="705">
        <f>BZ25/BZ7</f>
        <v>0.45247884855707576</v>
      </c>
      <c r="CA26" s="705">
        <f>CA25/CA7</f>
        <v>0.45</v>
      </c>
      <c r="CB26" s="184"/>
      <c r="CC26" s="184"/>
      <c r="CD26" s="184"/>
    </row>
    <row r="27" spans="1:82" ht="14.25" customHeight="1">
      <c r="A27" s="203"/>
      <c r="B27" s="321" t="s">
        <v>367</v>
      </c>
      <c r="C27" s="320"/>
      <c r="D27" s="332">
        <f t="shared" ref="D27:AQ27" si="82">D11-D20</f>
        <v>837.69900000000007</v>
      </c>
      <c r="E27" s="332">
        <f t="shared" si="82"/>
        <v>1044.6250000000002</v>
      </c>
      <c r="F27" s="332">
        <f t="shared" si="82"/>
        <v>1223.3540000000003</v>
      </c>
      <c r="G27" s="333">
        <f t="shared" si="82"/>
        <v>1186.124</v>
      </c>
      <c r="H27" s="332">
        <f t="shared" si="82"/>
        <v>1062.5379999999998</v>
      </c>
      <c r="I27" s="332">
        <f t="shared" si="82"/>
        <v>1136.6100000000001</v>
      </c>
      <c r="J27" s="332">
        <f t="shared" si="82"/>
        <v>1216.3899999999999</v>
      </c>
      <c r="K27" s="333">
        <f t="shared" si="82"/>
        <v>1076.905</v>
      </c>
      <c r="L27" s="332">
        <f t="shared" si="82"/>
        <v>934.98099999999999</v>
      </c>
      <c r="M27" s="332">
        <f t="shared" si="82"/>
        <v>966.82799999999997</v>
      </c>
      <c r="N27" s="332">
        <f t="shared" si="82"/>
        <v>742.31399999999985</v>
      </c>
      <c r="O27" s="333">
        <f t="shared" si="82"/>
        <v>798.70499999999993</v>
      </c>
      <c r="P27" s="332">
        <f t="shared" si="82"/>
        <v>391.57599999999991</v>
      </c>
      <c r="Q27" s="332">
        <f t="shared" si="82"/>
        <v>155.51900000000001</v>
      </c>
      <c r="R27" s="332">
        <f t="shared" si="82"/>
        <v>324.87400000000002</v>
      </c>
      <c r="S27" s="333">
        <f t="shared" si="82"/>
        <v>558.83600000000001</v>
      </c>
      <c r="T27" s="334">
        <f t="shared" si="82"/>
        <v>711.18399999999997</v>
      </c>
      <c r="U27" s="332">
        <f t="shared" si="82"/>
        <v>926.89200000000005</v>
      </c>
      <c r="V27" s="332">
        <f t="shared" si="82"/>
        <v>860.12799999999993</v>
      </c>
      <c r="W27" s="333">
        <f t="shared" si="82"/>
        <v>1216.798</v>
      </c>
      <c r="X27" s="334">
        <f t="shared" si="82"/>
        <v>1136</v>
      </c>
      <c r="Y27" s="332">
        <f t="shared" si="82"/>
        <v>1189</v>
      </c>
      <c r="Z27" s="332">
        <f t="shared" si="82"/>
        <v>1184</v>
      </c>
      <c r="AA27" s="333">
        <f t="shared" si="82"/>
        <v>852</v>
      </c>
      <c r="AB27" s="334">
        <f t="shared" si="82"/>
        <v>890</v>
      </c>
      <c r="AC27" s="332">
        <f t="shared" si="82"/>
        <v>1070</v>
      </c>
      <c r="AD27" s="332">
        <f t="shared" si="82"/>
        <v>974</v>
      </c>
      <c r="AE27" s="333">
        <f t="shared" si="82"/>
        <v>632</v>
      </c>
      <c r="AF27" s="334">
        <f t="shared" si="82"/>
        <v>626</v>
      </c>
      <c r="AG27" s="332">
        <f t="shared" si="82"/>
        <v>852</v>
      </c>
      <c r="AH27" s="332">
        <f t="shared" si="82"/>
        <v>847</v>
      </c>
      <c r="AI27" s="333">
        <f t="shared" si="82"/>
        <v>835</v>
      </c>
      <c r="AJ27" s="334">
        <f t="shared" si="82"/>
        <v>930</v>
      </c>
      <c r="AK27" s="332">
        <f t="shared" si="82"/>
        <v>1041</v>
      </c>
      <c r="AL27" s="332">
        <f t="shared" si="82"/>
        <v>1030</v>
      </c>
      <c r="AM27" s="335">
        <f t="shared" si="82"/>
        <v>1001</v>
      </c>
      <c r="AN27" s="334">
        <f t="shared" si="82"/>
        <v>999</v>
      </c>
      <c r="AO27" s="332">
        <f t="shared" si="82"/>
        <v>1055</v>
      </c>
      <c r="AP27" s="332">
        <f t="shared" si="82"/>
        <v>1093</v>
      </c>
      <c r="AQ27" s="335">
        <f t="shared" si="82"/>
        <v>1000</v>
      </c>
      <c r="AR27" s="334">
        <f t="shared" ref="AR27:AU27" si="83">AR11-AR20</f>
        <v>957</v>
      </c>
      <c r="AS27" s="332">
        <f t="shared" si="83"/>
        <v>1045</v>
      </c>
      <c r="AT27" s="332">
        <f t="shared" si="83"/>
        <v>1233</v>
      </c>
      <c r="AU27" s="335">
        <f t="shared" si="83"/>
        <v>1441</v>
      </c>
      <c r="AV27" s="334">
        <f t="shared" ref="AV27:AY27" si="84">AV11-AV20</f>
        <v>1487</v>
      </c>
      <c r="AW27" s="332">
        <f t="shared" si="84"/>
        <v>1641</v>
      </c>
      <c r="AX27" s="332">
        <f t="shared" si="84"/>
        <v>1744</v>
      </c>
      <c r="AY27" s="712">
        <f t="shared" si="84"/>
        <v>1832</v>
      </c>
      <c r="AZ27" s="334">
        <f t="shared" ref="AZ27" si="85">AZ11-AZ20</f>
        <v>1965</v>
      </c>
      <c r="BA27" s="332">
        <f t="shared" ref="BA27:BG27" si="86">BA11-BA20</f>
        <v>2081.814005708849</v>
      </c>
      <c r="BB27" s="332">
        <f t="shared" si="86"/>
        <v>2028.4149533777354</v>
      </c>
      <c r="BC27" s="333">
        <f t="shared" si="86"/>
        <v>2041.1562066222646</v>
      </c>
      <c r="BD27" s="711">
        <f t="shared" si="86"/>
        <v>1973.6136709441876</v>
      </c>
      <c r="BE27" s="711">
        <f t="shared" si="86"/>
        <v>1990.9709583783224</v>
      </c>
      <c r="BF27" s="711">
        <f t="shared" si="86"/>
        <v>1980.5355557915545</v>
      </c>
      <c r="BG27" s="712">
        <f t="shared" si="86"/>
        <v>2006.8664801935361</v>
      </c>
      <c r="BH27" s="711">
        <f t="shared" ref="BH27:BK27" si="87">BH11-BH20</f>
        <v>1992.1772778047812</v>
      </c>
      <c r="BI27" s="711">
        <f t="shared" si="87"/>
        <v>2009.3006323964682</v>
      </c>
      <c r="BJ27" s="711">
        <f t="shared" si="87"/>
        <v>2029.6044230638008</v>
      </c>
      <c r="BK27" s="712">
        <f t="shared" si="87"/>
        <v>2031.6407689293665</v>
      </c>
      <c r="BL27" s="385"/>
      <c r="BM27" s="334">
        <f t="shared" ref="BM27:BX27" si="88">BM11-BM20</f>
        <v>4291.8020000000015</v>
      </c>
      <c r="BN27" s="332">
        <f t="shared" si="88"/>
        <v>4492.4429999999993</v>
      </c>
      <c r="BO27" s="332">
        <f t="shared" si="88"/>
        <v>3442.8279999999995</v>
      </c>
      <c r="BP27" s="332">
        <f t="shared" si="88"/>
        <v>1430.8049999999998</v>
      </c>
      <c r="BQ27" s="332">
        <f t="shared" si="88"/>
        <v>3715.0019999999995</v>
      </c>
      <c r="BR27" s="332">
        <f t="shared" si="88"/>
        <v>4361</v>
      </c>
      <c r="BS27" s="332">
        <f t="shared" si="88"/>
        <v>3566</v>
      </c>
      <c r="BT27" s="711">
        <f t="shared" si="88"/>
        <v>3160</v>
      </c>
      <c r="BU27" s="711">
        <f t="shared" si="88"/>
        <v>4002</v>
      </c>
      <c r="BV27" s="711">
        <f t="shared" si="88"/>
        <v>4147</v>
      </c>
      <c r="BW27" s="711">
        <f t="shared" si="88"/>
        <v>4676</v>
      </c>
      <c r="BX27" s="711">
        <f t="shared" si="88"/>
        <v>6704</v>
      </c>
      <c r="BY27" s="711">
        <f>BY11-BY20</f>
        <v>8116.3851657088489</v>
      </c>
      <c r="BZ27" s="712">
        <f>BZ11-BZ20</f>
        <v>7951.9866653076006</v>
      </c>
      <c r="CA27" s="712">
        <f>CA11-CA20</f>
        <v>8062.7231021944172</v>
      </c>
      <c r="CB27" s="184"/>
      <c r="CC27" s="184"/>
      <c r="CD27" s="184"/>
    </row>
    <row r="28" spans="1:82" ht="14.25" customHeight="1">
      <c r="A28" s="203"/>
      <c r="B28" s="262" t="s">
        <v>366</v>
      </c>
      <c r="C28" s="261"/>
      <c r="D28" s="275">
        <f t="shared" ref="D28:AQ28" si="89">D27/D11</f>
        <v>0.45095962945576856</v>
      </c>
      <c r="E28" s="275">
        <f t="shared" si="89"/>
        <v>0.46475575325023166</v>
      </c>
      <c r="F28" s="275">
        <f t="shared" si="89"/>
        <v>0.48098345431763173</v>
      </c>
      <c r="G28" s="277">
        <f t="shared" si="89"/>
        <v>0.47100317556376481</v>
      </c>
      <c r="H28" s="275">
        <f t="shared" si="89"/>
        <v>0.46658472634082865</v>
      </c>
      <c r="I28" s="275">
        <f t="shared" si="89"/>
        <v>0.44933093133551633</v>
      </c>
      <c r="J28" s="275">
        <f t="shared" si="89"/>
        <v>0.47496977724187261</v>
      </c>
      <c r="K28" s="277">
        <f t="shared" si="89"/>
        <v>0.45495774476520084</v>
      </c>
      <c r="L28" s="275">
        <f t="shared" si="89"/>
        <v>0.44791719064461627</v>
      </c>
      <c r="M28" s="275">
        <f t="shared" si="89"/>
        <v>0.44968786017475365</v>
      </c>
      <c r="N28" s="275">
        <f t="shared" si="89"/>
        <v>0.40164855143038941</v>
      </c>
      <c r="O28" s="277">
        <f t="shared" si="89"/>
        <v>0.39081762920461499</v>
      </c>
      <c r="P28" s="275">
        <f t="shared" si="89"/>
        <v>0.29366819759471297</v>
      </c>
      <c r="Q28" s="275">
        <f t="shared" si="89"/>
        <v>0.15245809875136879</v>
      </c>
      <c r="R28" s="275">
        <f t="shared" si="89"/>
        <v>0.28655070827526596</v>
      </c>
      <c r="S28" s="277">
        <f t="shared" si="89"/>
        <v>0.36611517078814515</v>
      </c>
      <c r="T28" s="337">
        <f t="shared" si="89"/>
        <v>0.38465207999125967</v>
      </c>
      <c r="U28" s="275">
        <f t="shared" si="89"/>
        <v>0.4037795028620717</v>
      </c>
      <c r="V28" s="275">
        <f t="shared" si="89"/>
        <v>0.34162023044018758</v>
      </c>
      <c r="W28" s="277">
        <f t="shared" si="89"/>
        <v>0.42155738826614847</v>
      </c>
      <c r="X28" s="337">
        <f t="shared" si="89"/>
        <v>0.42293373045420701</v>
      </c>
      <c r="Y28" s="275">
        <f t="shared" si="89"/>
        <v>0.41544374563242487</v>
      </c>
      <c r="Z28" s="275">
        <f t="shared" si="89"/>
        <v>0.42482956584140652</v>
      </c>
      <c r="AA28" s="277">
        <f t="shared" si="89"/>
        <v>0.39046746104491292</v>
      </c>
      <c r="AB28" s="337">
        <f t="shared" si="89"/>
        <v>0.40657834627683875</v>
      </c>
      <c r="AC28" s="275">
        <f t="shared" si="89"/>
        <v>0.42109405745769385</v>
      </c>
      <c r="AD28" s="275">
        <f t="shared" si="89"/>
        <v>0.41570635936833122</v>
      </c>
      <c r="AE28" s="277">
        <f t="shared" si="89"/>
        <v>0.3839611178614824</v>
      </c>
      <c r="AF28" s="337">
        <f t="shared" si="89"/>
        <v>0.39796567069294342</v>
      </c>
      <c r="AG28" s="275">
        <f t="shared" si="89"/>
        <v>0.4318297009630005</v>
      </c>
      <c r="AH28" s="275">
        <f t="shared" si="89"/>
        <v>0.42886075949367086</v>
      </c>
      <c r="AI28" s="277">
        <f t="shared" si="89"/>
        <v>0.42002012072434608</v>
      </c>
      <c r="AJ28" s="337">
        <f t="shared" si="89"/>
        <v>0.42465753424657532</v>
      </c>
      <c r="AK28" s="275">
        <f t="shared" si="89"/>
        <v>0.44241393965150871</v>
      </c>
      <c r="AL28" s="275">
        <f t="shared" si="89"/>
        <v>0.45474613686534215</v>
      </c>
      <c r="AM28" s="338">
        <f t="shared" si="89"/>
        <v>0.44213780918727913</v>
      </c>
      <c r="AN28" s="337">
        <f t="shared" si="89"/>
        <v>0.42348452734209413</v>
      </c>
      <c r="AO28" s="275">
        <f t="shared" si="89"/>
        <v>0.43202293202293202</v>
      </c>
      <c r="AP28" s="275">
        <f t="shared" si="89"/>
        <v>0.43895582329317268</v>
      </c>
      <c r="AQ28" s="338">
        <f t="shared" si="89"/>
        <v>0.42229729729729731</v>
      </c>
      <c r="AR28" s="337">
        <f t="shared" ref="AR28:AW28" si="90">AR27/AR11</f>
        <v>0.42401417811253878</v>
      </c>
      <c r="AS28" s="275">
        <f t="shared" si="90"/>
        <v>0.42653061224489797</v>
      </c>
      <c r="AT28" s="275">
        <f t="shared" si="90"/>
        <v>0.43707904998227581</v>
      </c>
      <c r="AU28" s="338">
        <f t="shared" si="90"/>
        <v>0.43706399757355169</v>
      </c>
      <c r="AV28" s="337">
        <f t="shared" si="90"/>
        <v>0.45363026235509457</v>
      </c>
      <c r="AW28" s="275">
        <f t="shared" si="90"/>
        <v>0.46277495769881555</v>
      </c>
      <c r="AX28" s="275">
        <f t="shared" ref="AX28:AZ28" si="91">AX27/AX11</f>
        <v>0.46581196581196582</v>
      </c>
      <c r="AY28" s="705">
        <f t="shared" si="91"/>
        <v>0.46157722348198538</v>
      </c>
      <c r="AZ28" s="713">
        <f t="shared" si="91"/>
        <v>0.4674119885823026</v>
      </c>
      <c r="BA28" s="275">
        <f t="shared" ref="BA28:BG28" si="92">BA27/BA11</f>
        <v>0.46679809463637595</v>
      </c>
      <c r="BB28" s="275">
        <f t="shared" si="92"/>
        <v>0.46706975084116764</v>
      </c>
      <c r="BC28" s="338">
        <f t="shared" si="92"/>
        <v>0.46700361222918524</v>
      </c>
      <c r="BD28" s="713">
        <f t="shared" si="92"/>
        <v>0.46561643413010556</v>
      </c>
      <c r="BE28" s="704">
        <f t="shared" si="92"/>
        <v>0.46552173975764938</v>
      </c>
      <c r="BF28" s="704">
        <f t="shared" si="92"/>
        <v>0.4604622206186848</v>
      </c>
      <c r="BG28" s="338">
        <f t="shared" si="92"/>
        <v>0.46032180334616973</v>
      </c>
      <c r="BH28" s="713">
        <f t="shared" ref="BH28:BK28" si="93">BH27/BH11</f>
        <v>0.46039966942446531</v>
      </c>
      <c r="BI28" s="704">
        <f t="shared" si="93"/>
        <v>0.46030901261549495</v>
      </c>
      <c r="BJ28" s="704">
        <f t="shared" si="93"/>
        <v>0.4602035447289482</v>
      </c>
      <c r="BK28" s="338">
        <f t="shared" si="93"/>
        <v>0.46019308589489638</v>
      </c>
      <c r="BL28" s="215"/>
      <c r="BM28" s="337">
        <f t="shared" ref="BM28:BX28" si="94">BM27/BM11</f>
        <v>0.46817884209623778</v>
      </c>
      <c r="BN28" s="275">
        <f t="shared" si="94"/>
        <v>0.46148016981453033</v>
      </c>
      <c r="BO28" s="275">
        <f t="shared" si="94"/>
        <v>0.42351166898750681</v>
      </c>
      <c r="BP28" s="275">
        <f t="shared" si="94"/>
        <v>0.2853843550162587</v>
      </c>
      <c r="BQ28" s="275">
        <f t="shared" si="94"/>
        <v>0.38905975043427526</v>
      </c>
      <c r="BR28" s="275">
        <f t="shared" si="94"/>
        <v>0.41466197584862602</v>
      </c>
      <c r="BS28" s="275">
        <f t="shared" si="94"/>
        <v>0.40899185686431933</v>
      </c>
      <c r="BT28" s="704">
        <f t="shared" si="94"/>
        <v>0.42082833932614194</v>
      </c>
      <c r="BU28" s="704">
        <f t="shared" si="94"/>
        <v>0.44113756613756616</v>
      </c>
      <c r="BV28" s="704">
        <f t="shared" si="94"/>
        <v>0.42934051144010765</v>
      </c>
      <c r="BW28" s="704">
        <f t="shared" si="94"/>
        <v>0.43196304849884526</v>
      </c>
      <c r="BX28" s="704">
        <f t="shared" si="94"/>
        <v>0.46116805393134758</v>
      </c>
      <c r="BY28" s="704">
        <f>BY27/BY11</f>
        <v>0.46706619258386345</v>
      </c>
      <c r="BZ28" s="705">
        <f>BZ27/BZ11</f>
        <v>0.46295830461479537</v>
      </c>
      <c r="CA28" s="705">
        <f>CA27/CA11</f>
        <v>0.46027563685161677</v>
      </c>
      <c r="CB28" s="184"/>
      <c r="CC28" s="184"/>
      <c r="CD28" s="184"/>
    </row>
    <row r="29" spans="1:82" ht="14.25" hidden="1" customHeight="1" outlineLevel="1">
      <c r="A29" s="203"/>
      <c r="B29" s="321" t="s">
        <v>89</v>
      </c>
      <c r="C29" s="320"/>
      <c r="D29" s="332">
        <f t="shared" ref="D29:AQ29" si="95">D11-D22</f>
        <v>837.69900000000007</v>
      </c>
      <c r="E29" s="332">
        <f t="shared" si="95"/>
        <v>1044.6250000000002</v>
      </c>
      <c r="F29" s="332">
        <f t="shared" si="95"/>
        <v>1223.3540000000003</v>
      </c>
      <c r="G29" s="333">
        <f t="shared" si="95"/>
        <v>1186.124</v>
      </c>
      <c r="H29" s="332">
        <f t="shared" si="95"/>
        <v>1062.5379999999998</v>
      </c>
      <c r="I29" s="332">
        <f t="shared" si="95"/>
        <v>1136.6100000000001</v>
      </c>
      <c r="J29" s="332">
        <f t="shared" si="95"/>
        <v>1216.3899999999999</v>
      </c>
      <c r="K29" s="333">
        <f t="shared" si="95"/>
        <v>1076.905</v>
      </c>
      <c r="L29" s="332">
        <f t="shared" si="95"/>
        <v>934.98099999999999</v>
      </c>
      <c r="M29" s="332">
        <f t="shared" si="95"/>
        <v>966.82799999999997</v>
      </c>
      <c r="N29" s="332">
        <f t="shared" si="95"/>
        <v>742.31399999999985</v>
      </c>
      <c r="O29" s="333">
        <f t="shared" si="95"/>
        <v>798.70499999999993</v>
      </c>
      <c r="P29" s="332">
        <f t="shared" si="95"/>
        <v>391.57599999999991</v>
      </c>
      <c r="Q29" s="332">
        <f t="shared" si="95"/>
        <v>155.51900000000001</v>
      </c>
      <c r="R29" s="332">
        <f t="shared" si="95"/>
        <v>324.87400000000002</v>
      </c>
      <c r="S29" s="333">
        <f t="shared" si="95"/>
        <v>558.83600000000001</v>
      </c>
      <c r="T29" s="334">
        <f t="shared" si="95"/>
        <v>711.18399999999997</v>
      </c>
      <c r="U29" s="332">
        <f t="shared" si="95"/>
        <v>926.89200000000005</v>
      </c>
      <c r="V29" s="332">
        <f t="shared" si="95"/>
        <v>860.12799999999993</v>
      </c>
      <c r="W29" s="333">
        <f t="shared" si="95"/>
        <v>1216.798</v>
      </c>
      <c r="X29" s="334">
        <f t="shared" si="95"/>
        <v>1136</v>
      </c>
      <c r="Y29" s="332">
        <f t="shared" si="95"/>
        <v>1189</v>
      </c>
      <c r="Z29" s="332">
        <f t="shared" si="95"/>
        <v>1184</v>
      </c>
      <c r="AA29" s="333">
        <f t="shared" si="95"/>
        <v>852</v>
      </c>
      <c r="AB29" s="334">
        <f t="shared" si="95"/>
        <v>890</v>
      </c>
      <c r="AC29" s="332">
        <f t="shared" si="95"/>
        <v>1070</v>
      </c>
      <c r="AD29" s="332">
        <f t="shared" si="95"/>
        <v>974</v>
      </c>
      <c r="AE29" s="333">
        <f t="shared" si="95"/>
        <v>632</v>
      </c>
      <c r="AF29" s="334">
        <f t="shared" si="95"/>
        <v>626</v>
      </c>
      <c r="AG29" s="332">
        <f t="shared" si="95"/>
        <v>852</v>
      </c>
      <c r="AH29" s="332">
        <f t="shared" si="95"/>
        <v>847</v>
      </c>
      <c r="AI29" s="333">
        <f t="shared" si="95"/>
        <v>835</v>
      </c>
      <c r="AJ29" s="334">
        <f t="shared" si="95"/>
        <v>930</v>
      </c>
      <c r="AK29" s="332">
        <f t="shared" si="95"/>
        <v>1041</v>
      </c>
      <c r="AL29" s="332">
        <f t="shared" si="95"/>
        <v>1030</v>
      </c>
      <c r="AM29" s="335">
        <f t="shared" si="95"/>
        <v>1001</v>
      </c>
      <c r="AN29" s="334">
        <f t="shared" si="95"/>
        <v>999</v>
      </c>
      <c r="AO29" s="332">
        <f t="shared" si="95"/>
        <v>1055</v>
      </c>
      <c r="AP29" s="332">
        <f t="shared" si="95"/>
        <v>1093</v>
      </c>
      <c r="AQ29" s="335">
        <f t="shared" si="95"/>
        <v>1000</v>
      </c>
      <c r="AR29" s="334">
        <f t="shared" ref="AR29:AW29" si="96">AR11-AR22</f>
        <v>957</v>
      </c>
      <c r="AS29" s="332">
        <f t="shared" si="96"/>
        <v>1045</v>
      </c>
      <c r="AT29" s="332">
        <f t="shared" si="96"/>
        <v>1233</v>
      </c>
      <c r="AU29" s="335">
        <f t="shared" si="96"/>
        <v>1441</v>
      </c>
      <c r="AV29" s="334">
        <f t="shared" si="96"/>
        <v>1487</v>
      </c>
      <c r="AW29" s="332">
        <f t="shared" si="96"/>
        <v>1641</v>
      </c>
      <c r="AX29" s="332">
        <f t="shared" ref="AX29:AZ29" si="97">AX11-AX22</f>
        <v>1744</v>
      </c>
      <c r="AY29" s="712">
        <f t="shared" si="97"/>
        <v>1832</v>
      </c>
      <c r="AZ29" s="334">
        <f t="shared" si="97"/>
        <v>1965</v>
      </c>
      <c r="BA29" s="332">
        <f t="shared" ref="BA29:BG29" si="98">BA11-BA22</f>
        <v>2081.814005708849</v>
      </c>
      <c r="BB29" s="332">
        <f t="shared" si="98"/>
        <v>2028.4149533777354</v>
      </c>
      <c r="BC29" s="333">
        <f t="shared" si="98"/>
        <v>2041.1562066222646</v>
      </c>
      <c r="BD29" s="711">
        <f t="shared" si="98"/>
        <v>1973.6136709441876</v>
      </c>
      <c r="BE29" s="711">
        <f t="shared" si="98"/>
        <v>1990.9709583783224</v>
      </c>
      <c r="BF29" s="711">
        <f t="shared" si="98"/>
        <v>1980.5355557915545</v>
      </c>
      <c r="BG29" s="712">
        <f t="shared" si="98"/>
        <v>2006.8664801935361</v>
      </c>
      <c r="BH29" s="711">
        <f t="shared" ref="BH29:BK29" si="99">BH11-BH22</f>
        <v>1992.1772778047812</v>
      </c>
      <c r="BI29" s="711">
        <f t="shared" si="99"/>
        <v>2009.3006323964682</v>
      </c>
      <c r="BJ29" s="711">
        <f t="shared" si="99"/>
        <v>2029.6044230638008</v>
      </c>
      <c r="BK29" s="712">
        <f t="shared" si="99"/>
        <v>2031.6407689293665</v>
      </c>
      <c r="BL29" s="215"/>
      <c r="BM29" s="334">
        <f t="shared" ref="BM29:BX29" si="100">BM11-BM22</f>
        <v>4291.8020000000015</v>
      </c>
      <c r="BN29" s="332">
        <f t="shared" si="100"/>
        <v>4492.4429999999993</v>
      </c>
      <c r="BO29" s="332">
        <f t="shared" si="100"/>
        <v>3442.8279999999995</v>
      </c>
      <c r="BP29" s="332">
        <f t="shared" si="100"/>
        <v>1430.8049999999998</v>
      </c>
      <c r="BQ29" s="332">
        <f t="shared" si="100"/>
        <v>3715.0019999999995</v>
      </c>
      <c r="BR29" s="332">
        <f t="shared" si="100"/>
        <v>4361</v>
      </c>
      <c r="BS29" s="332">
        <f t="shared" si="100"/>
        <v>3566</v>
      </c>
      <c r="BT29" s="711">
        <f t="shared" si="100"/>
        <v>3160</v>
      </c>
      <c r="BU29" s="711">
        <f t="shared" si="100"/>
        <v>4002</v>
      </c>
      <c r="BV29" s="711">
        <f t="shared" si="100"/>
        <v>4147</v>
      </c>
      <c r="BW29" s="711">
        <f t="shared" si="100"/>
        <v>4676</v>
      </c>
      <c r="BX29" s="711">
        <f t="shared" si="100"/>
        <v>6704</v>
      </c>
      <c r="BY29" s="711">
        <f>BY11-BY22</f>
        <v>8116.3851657088489</v>
      </c>
      <c r="BZ29" s="712">
        <f>BZ11-BZ22</f>
        <v>7951.9866653076006</v>
      </c>
      <c r="CA29" s="712">
        <f>CA11-CA22</f>
        <v>8062.7231021944172</v>
      </c>
      <c r="CB29" s="184"/>
      <c r="CC29" s="184"/>
      <c r="CD29" s="184"/>
    </row>
    <row r="30" spans="1:82" ht="14.25" hidden="1" customHeight="1" outlineLevel="1">
      <c r="A30" s="203"/>
      <c r="B30" s="262" t="s">
        <v>90</v>
      </c>
      <c r="C30" s="261"/>
      <c r="D30" s="275">
        <f t="shared" ref="D30:AQ30" si="101">D29/D11</f>
        <v>0.45095962945576856</v>
      </c>
      <c r="E30" s="275">
        <f t="shared" si="101"/>
        <v>0.46475575325023166</v>
      </c>
      <c r="F30" s="275">
        <f t="shared" si="101"/>
        <v>0.48098345431763173</v>
      </c>
      <c r="G30" s="277">
        <f t="shared" si="101"/>
        <v>0.47100317556376481</v>
      </c>
      <c r="H30" s="275">
        <f t="shared" si="101"/>
        <v>0.46658472634082865</v>
      </c>
      <c r="I30" s="275">
        <f t="shared" si="101"/>
        <v>0.44933093133551633</v>
      </c>
      <c r="J30" s="275">
        <f t="shared" si="101"/>
        <v>0.47496977724187261</v>
      </c>
      <c r="K30" s="277">
        <f t="shared" si="101"/>
        <v>0.45495774476520084</v>
      </c>
      <c r="L30" s="275">
        <f t="shared" si="101"/>
        <v>0.44791719064461627</v>
      </c>
      <c r="M30" s="275">
        <f t="shared" si="101"/>
        <v>0.44968786017475365</v>
      </c>
      <c r="N30" s="275">
        <f t="shared" si="101"/>
        <v>0.40164855143038941</v>
      </c>
      <c r="O30" s="277">
        <f t="shared" si="101"/>
        <v>0.39081762920461499</v>
      </c>
      <c r="P30" s="275">
        <f t="shared" si="101"/>
        <v>0.29366819759471297</v>
      </c>
      <c r="Q30" s="275">
        <f t="shared" si="101"/>
        <v>0.15245809875136879</v>
      </c>
      <c r="R30" s="275">
        <f t="shared" si="101"/>
        <v>0.28655070827526596</v>
      </c>
      <c r="S30" s="277">
        <f t="shared" si="101"/>
        <v>0.36611517078814515</v>
      </c>
      <c r="T30" s="337">
        <f t="shared" si="101"/>
        <v>0.38465207999125967</v>
      </c>
      <c r="U30" s="275">
        <f t="shared" si="101"/>
        <v>0.4037795028620717</v>
      </c>
      <c r="V30" s="275">
        <f t="shared" si="101"/>
        <v>0.34162023044018758</v>
      </c>
      <c r="W30" s="277">
        <f t="shared" si="101"/>
        <v>0.42155738826614847</v>
      </c>
      <c r="X30" s="337">
        <f t="shared" si="101"/>
        <v>0.42293373045420701</v>
      </c>
      <c r="Y30" s="275">
        <f t="shared" si="101"/>
        <v>0.41544374563242487</v>
      </c>
      <c r="Z30" s="275">
        <f t="shared" si="101"/>
        <v>0.42482956584140652</v>
      </c>
      <c r="AA30" s="277">
        <f t="shared" si="101"/>
        <v>0.39046746104491292</v>
      </c>
      <c r="AB30" s="337">
        <f t="shared" si="101"/>
        <v>0.40657834627683875</v>
      </c>
      <c r="AC30" s="275">
        <f t="shared" si="101"/>
        <v>0.42109405745769385</v>
      </c>
      <c r="AD30" s="275">
        <f t="shared" si="101"/>
        <v>0.41570635936833122</v>
      </c>
      <c r="AE30" s="277">
        <f t="shared" si="101"/>
        <v>0.3839611178614824</v>
      </c>
      <c r="AF30" s="337">
        <f t="shared" si="101"/>
        <v>0.39796567069294342</v>
      </c>
      <c r="AG30" s="275">
        <f t="shared" si="101"/>
        <v>0.4318297009630005</v>
      </c>
      <c r="AH30" s="275">
        <f t="shared" si="101"/>
        <v>0.42886075949367086</v>
      </c>
      <c r="AI30" s="277">
        <f t="shared" si="101"/>
        <v>0.42002012072434608</v>
      </c>
      <c r="AJ30" s="337">
        <f t="shared" si="101"/>
        <v>0.42465753424657532</v>
      </c>
      <c r="AK30" s="275">
        <f t="shared" si="101"/>
        <v>0.44241393965150871</v>
      </c>
      <c r="AL30" s="275">
        <f t="shared" si="101"/>
        <v>0.45474613686534215</v>
      </c>
      <c r="AM30" s="338">
        <f t="shared" si="101"/>
        <v>0.44213780918727913</v>
      </c>
      <c r="AN30" s="337">
        <f t="shared" si="101"/>
        <v>0.42348452734209413</v>
      </c>
      <c r="AO30" s="275">
        <f t="shared" si="101"/>
        <v>0.43202293202293202</v>
      </c>
      <c r="AP30" s="275">
        <f t="shared" si="101"/>
        <v>0.43895582329317268</v>
      </c>
      <c r="AQ30" s="338">
        <f t="shared" si="101"/>
        <v>0.42229729729729731</v>
      </c>
      <c r="AR30" s="337">
        <f t="shared" ref="AR30:AW30" si="102">AR29/AR11</f>
        <v>0.42401417811253878</v>
      </c>
      <c r="AS30" s="275">
        <f t="shared" si="102"/>
        <v>0.42653061224489797</v>
      </c>
      <c r="AT30" s="275">
        <f t="shared" si="102"/>
        <v>0.43707904998227581</v>
      </c>
      <c r="AU30" s="338">
        <f t="shared" si="102"/>
        <v>0.43706399757355169</v>
      </c>
      <c r="AV30" s="337">
        <f t="shared" si="102"/>
        <v>0.45363026235509457</v>
      </c>
      <c r="AW30" s="275">
        <f t="shared" si="102"/>
        <v>0.46277495769881555</v>
      </c>
      <c r="AX30" s="275">
        <f t="shared" ref="AX30:AZ30" si="103">AX29/AX11</f>
        <v>0.46581196581196582</v>
      </c>
      <c r="AY30" s="705">
        <f t="shared" si="103"/>
        <v>0.46157722348198538</v>
      </c>
      <c r="AZ30" s="713">
        <f t="shared" si="103"/>
        <v>0.4674119885823026</v>
      </c>
      <c r="BA30" s="275">
        <f t="shared" ref="BA30:BG30" si="104">BA29/BA11</f>
        <v>0.46679809463637595</v>
      </c>
      <c r="BB30" s="275">
        <f t="shared" si="104"/>
        <v>0.46706975084116764</v>
      </c>
      <c r="BC30" s="277">
        <f t="shared" si="104"/>
        <v>0.46700361222918524</v>
      </c>
      <c r="BD30" s="704">
        <f t="shared" si="104"/>
        <v>0.46561643413010556</v>
      </c>
      <c r="BE30" s="704">
        <f t="shared" si="104"/>
        <v>0.46552173975764938</v>
      </c>
      <c r="BF30" s="704">
        <f t="shared" si="104"/>
        <v>0.4604622206186848</v>
      </c>
      <c r="BG30" s="705">
        <f t="shared" si="104"/>
        <v>0.46032180334616973</v>
      </c>
      <c r="BH30" s="704">
        <f t="shared" ref="BH30:BK30" si="105">BH29/BH11</f>
        <v>0.46039966942446531</v>
      </c>
      <c r="BI30" s="704">
        <f t="shared" si="105"/>
        <v>0.46030901261549495</v>
      </c>
      <c r="BJ30" s="704">
        <f t="shared" si="105"/>
        <v>0.4602035447289482</v>
      </c>
      <c r="BK30" s="705">
        <f t="shared" si="105"/>
        <v>0.46019308589489638</v>
      </c>
      <c r="BL30" s="215"/>
      <c r="BM30" s="337">
        <f t="shared" ref="BM30:BX30" si="106">BM29/BM11</f>
        <v>0.46817884209623778</v>
      </c>
      <c r="BN30" s="275">
        <f t="shared" si="106"/>
        <v>0.46148016981453033</v>
      </c>
      <c r="BO30" s="275">
        <f t="shared" si="106"/>
        <v>0.42351166898750681</v>
      </c>
      <c r="BP30" s="275">
        <f t="shared" si="106"/>
        <v>0.2853843550162587</v>
      </c>
      <c r="BQ30" s="275">
        <f t="shared" si="106"/>
        <v>0.38905975043427526</v>
      </c>
      <c r="BR30" s="275">
        <f t="shared" si="106"/>
        <v>0.41466197584862602</v>
      </c>
      <c r="BS30" s="275">
        <f t="shared" si="106"/>
        <v>0.40899185686431933</v>
      </c>
      <c r="BT30" s="704">
        <f t="shared" si="106"/>
        <v>0.42082833932614194</v>
      </c>
      <c r="BU30" s="704">
        <f t="shared" si="106"/>
        <v>0.44113756613756616</v>
      </c>
      <c r="BV30" s="704">
        <f t="shared" si="106"/>
        <v>0.42934051144010765</v>
      </c>
      <c r="BW30" s="704">
        <f t="shared" si="106"/>
        <v>0.43196304849884526</v>
      </c>
      <c r="BX30" s="704">
        <f t="shared" si="106"/>
        <v>0.46116805393134758</v>
      </c>
      <c r="BY30" s="704">
        <f>BY29/BY11</f>
        <v>0.46706619258386345</v>
      </c>
      <c r="BZ30" s="705">
        <f>BZ29/BZ11</f>
        <v>0.46295830461479537</v>
      </c>
      <c r="CA30" s="705">
        <f>CA29/CA11</f>
        <v>0.46027563685161677</v>
      </c>
      <c r="CB30" s="184"/>
      <c r="CC30" s="184"/>
      <c r="CD30" s="184"/>
    </row>
    <row r="31" spans="1:82" ht="14.25" customHeight="1" collapsed="1">
      <c r="A31" s="203"/>
      <c r="B31" s="217"/>
      <c r="C31" s="216"/>
      <c r="D31" s="353"/>
      <c r="E31" s="353"/>
      <c r="F31" s="353"/>
      <c r="G31" s="354"/>
      <c r="H31" s="353"/>
      <c r="I31" s="353"/>
      <c r="J31" s="353"/>
      <c r="K31" s="354"/>
      <c r="L31" s="353"/>
      <c r="M31" s="353"/>
      <c r="N31" s="353"/>
      <c r="O31" s="354"/>
      <c r="P31" s="353"/>
      <c r="Q31" s="353"/>
      <c r="R31" s="353"/>
      <c r="S31" s="354"/>
      <c r="T31" s="355"/>
      <c r="U31" s="353"/>
      <c r="V31" s="353"/>
      <c r="W31" s="354"/>
      <c r="X31" s="355"/>
      <c r="Y31" s="353"/>
      <c r="Z31" s="353"/>
      <c r="AA31" s="354"/>
      <c r="AB31" s="355"/>
      <c r="AC31" s="353"/>
      <c r="AD31" s="353"/>
      <c r="AE31" s="354"/>
      <c r="AF31" s="355"/>
      <c r="AG31" s="353"/>
      <c r="AH31" s="353"/>
      <c r="AI31" s="354"/>
      <c r="AJ31" s="355"/>
      <c r="AK31" s="353"/>
      <c r="AL31" s="353"/>
      <c r="AM31" s="358"/>
      <c r="AN31" s="355"/>
      <c r="AO31" s="353"/>
      <c r="AP31" s="353"/>
      <c r="AQ31" s="358"/>
      <c r="AR31" s="355"/>
      <c r="AS31" s="353"/>
      <c r="AT31" s="353"/>
      <c r="AU31" s="358"/>
      <c r="AV31" s="355"/>
      <c r="AW31" s="353"/>
      <c r="AX31" s="353"/>
      <c r="AY31" s="715"/>
      <c r="AZ31" s="355"/>
      <c r="BA31" s="353"/>
      <c r="BB31" s="353"/>
      <c r="BC31" s="354"/>
      <c r="BD31" s="714"/>
      <c r="BE31" s="714"/>
      <c r="BF31" s="714"/>
      <c r="BG31" s="715"/>
      <c r="BH31" s="714"/>
      <c r="BI31" s="714"/>
      <c r="BJ31" s="714"/>
      <c r="BK31" s="715"/>
      <c r="BL31" s="215"/>
      <c r="BM31" s="257"/>
      <c r="BN31" s="255"/>
      <c r="BO31" s="255"/>
      <c r="BP31" s="255"/>
      <c r="BQ31" s="255"/>
      <c r="BR31" s="255"/>
      <c r="BS31" s="255"/>
      <c r="BT31" s="741"/>
      <c r="BU31" s="741"/>
      <c r="BV31" s="702"/>
      <c r="BW31" s="702"/>
      <c r="BX31" s="702"/>
      <c r="BY31" s="741"/>
      <c r="BZ31" s="742"/>
      <c r="CA31" s="742"/>
      <c r="CB31" s="184"/>
      <c r="CC31" s="184"/>
      <c r="CD31" s="184"/>
    </row>
    <row r="32" spans="1:82" ht="14.25" hidden="1" customHeight="1" outlineLevel="1">
      <c r="A32" s="203"/>
      <c r="B32" s="382" t="s">
        <v>365</v>
      </c>
      <c r="C32" s="216"/>
      <c r="D32" s="275"/>
      <c r="E32" s="275">
        <f t="shared" ref="E32:AZ32" si="107">(E27-D27)/(E7-D7)</f>
        <v>0.53045163473419266</v>
      </c>
      <c r="F32" s="275">
        <f t="shared" si="107"/>
        <v>0.60431029527618962</v>
      </c>
      <c r="G32" s="277">
        <f t="shared" si="107"/>
        <v>1.4803180914512966</v>
      </c>
      <c r="H32" s="275">
        <f t="shared" si="107"/>
        <v>0.51274966186220605</v>
      </c>
      <c r="I32" s="275">
        <f t="shared" si="107"/>
        <v>0.29359398162461353</v>
      </c>
      <c r="J32" s="275">
        <f t="shared" si="107"/>
        <v>2.5389046240015376</v>
      </c>
      <c r="K32" s="277">
        <f t="shared" si="107"/>
        <v>0.7192172836959877</v>
      </c>
      <c r="L32" s="275">
        <f t="shared" si="107"/>
        <v>0.50751125526109708</v>
      </c>
      <c r="M32" s="275">
        <f t="shared" si="107"/>
        <v>0.50872989249372891</v>
      </c>
      <c r="N32" s="275">
        <f t="shared" si="107"/>
        <v>0.74384256038167185</v>
      </c>
      <c r="O32" s="277">
        <f t="shared" si="107"/>
        <v>0.28843173460045357</v>
      </c>
      <c r="P32" s="275">
        <f t="shared" si="107"/>
        <v>0.57319427099978748</v>
      </c>
      <c r="Q32" s="275">
        <f t="shared" si="107"/>
        <v>0.75340786865782139</v>
      </c>
      <c r="R32" s="275">
        <f t="shared" si="107"/>
        <v>1.4899747499186191</v>
      </c>
      <c r="S32" s="277">
        <f t="shared" si="107"/>
        <v>0.59584774381516548</v>
      </c>
      <c r="T32" s="275">
        <f t="shared" si="107"/>
        <v>0.47238518114279315</v>
      </c>
      <c r="U32" s="275">
        <f t="shared" si="107"/>
        <v>0.48295935410780122</v>
      </c>
      <c r="V32" s="275">
        <f t="shared" si="107"/>
        <v>-0.30040044994375759</v>
      </c>
      <c r="W32" s="277">
        <f t="shared" si="107"/>
        <v>0.9675161740970325</v>
      </c>
      <c r="X32" s="275">
        <f t="shared" si="107"/>
        <v>0.4031132287275187</v>
      </c>
      <c r="Y32" s="275">
        <f t="shared" si="107"/>
        <v>0.30113636363636365</v>
      </c>
      <c r="Z32" s="275">
        <f t="shared" si="107"/>
        <v>6.6666666666666666E-2</v>
      </c>
      <c r="AA32" s="277">
        <f t="shared" si="107"/>
        <v>0.54876033057851237</v>
      </c>
      <c r="AB32" s="275">
        <f t="shared" si="107"/>
        <v>5.4285714285714288</v>
      </c>
      <c r="AC32" s="275">
        <f t="shared" si="107"/>
        <v>0.51136363636363635</v>
      </c>
      <c r="AD32" s="275">
        <f t="shared" si="107"/>
        <v>0.48484848484848486</v>
      </c>
      <c r="AE32" s="277">
        <f t="shared" si="107"/>
        <v>0.49067431850789095</v>
      </c>
      <c r="AF32" s="275">
        <f t="shared" si="107"/>
        <v>8.2191780821917804E-2</v>
      </c>
      <c r="AG32" s="275">
        <f t="shared" si="107"/>
        <v>0.56499999999999995</v>
      </c>
      <c r="AH32" s="275">
        <f t="shared" si="107"/>
        <v>-2.5</v>
      </c>
      <c r="AI32" s="277">
        <f t="shared" si="107"/>
        <v>-0.92307692307692313</v>
      </c>
      <c r="AJ32" s="337">
        <f t="shared" si="107"/>
        <v>0.47029702970297027</v>
      </c>
      <c r="AK32" s="275">
        <f t="shared" si="107"/>
        <v>0.68098159509202449</v>
      </c>
      <c r="AL32" s="275">
        <f t="shared" si="107"/>
        <v>0.125</v>
      </c>
      <c r="AM32" s="338">
        <f t="shared" si="107"/>
        <v>29</v>
      </c>
      <c r="AN32" s="337">
        <f t="shared" si="107"/>
        <v>-2.1052631578947368E-2</v>
      </c>
      <c r="AO32" s="275">
        <f t="shared" si="107"/>
        <v>0.67469879518072284</v>
      </c>
      <c r="AP32" s="275">
        <f t="shared" si="107"/>
        <v>0.79166666666666663</v>
      </c>
      <c r="AQ32" s="338">
        <f t="shared" si="107"/>
        <v>0.76229508196721307</v>
      </c>
      <c r="AR32" s="337">
        <f t="shared" si="107"/>
        <v>0.38738738738738737</v>
      </c>
      <c r="AS32" s="275">
        <f t="shared" si="107"/>
        <v>0.45595854922279794</v>
      </c>
      <c r="AT32" s="275">
        <f t="shared" si="107"/>
        <v>0.50673854447439348</v>
      </c>
      <c r="AU32" s="338">
        <f t="shared" si="107"/>
        <v>0.43697478991596639</v>
      </c>
      <c r="AV32" s="337">
        <f t="shared" si="107"/>
        <v>-2.4210526315789473</v>
      </c>
      <c r="AW32" s="275">
        <f t="shared" si="107"/>
        <v>0.57462686567164178</v>
      </c>
      <c r="AX32" s="275">
        <f t="shared" si="107"/>
        <v>0.52020202020202022</v>
      </c>
      <c r="AY32" s="705">
        <f t="shared" si="107"/>
        <v>0.39111111111111113</v>
      </c>
      <c r="AZ32" s="713">
        <f t="shared" si="107"/>
        <v>0.56595744680851068</v>
      </c>
      <c r="BA32" s="275">
        <f t="shared" ref="BA32:BG32" si="108">(BA27-AZ27)/(BA7-AZ7)</f>
        <v>0.45670789724072353</v>
      </c>
      <c r="BB32" s="275">
        <f t="shared" si="108"/>
        <v>0.45670789724072419</v>
      </c>
      <c r="BC32" s="277">
        <f t="shared" si="108"/>
        <v>0.45670789724072136</v>
      </c>
      <c r="BD32" s="704">
        <f t="shared" si="108"/>
        <v>0.51153475643585011</v>
      </c>
      <c r="BE32" s="704">
        <f t="shared" si="108"/>
        <v>0.45500000000000856</v>
      </c>
      <c r="BF32" s="704">
        <f t="shared" si="108"/>
        <v>-0.42889549485411949</v>
      </c>
      <c r="BG32" s="705">
        <f t="shared" si="108"/>
        <v>0.44999999999999379</v>
      </c>
      <c r="BH32" s="704">
        <f t="shared" ref="BH32" si="109">(BH27-BG27)/(BH7-BG7)</f>
        <v>0.44999999999999024</v>
      </c>
      <c r="BI32" s="704">
        <f t="shared" ref="BI32" si="110">(BI27-BH27)/(BI7-BH7)</f>
        <v>0.44999999999999402</v>
      </c>
      <c r="BJ32" s="704">
        <f t="shared" ref="BJ32" si="111">(BJ27-BI27)/(BJ7-BI7)</f>
        <v>0.45</v>
      </c>
      <c r="BK32" s="705">
        <f t="shared" ref="BK32" si="112">(BK27-BJ27)/(BK7-BJ7)</f>
        <v>0.45000000000005025</v>
      </c>
      <c r="BL32" s="215"/>
      <c r="BM32" s="674"/>
      <c r="BN32" s="383">
        <f t="shared" ref="BN32:CA32" si="113">(BN27-BM27)/(BN7-BM7)</f>
        <v>0.35333948527935277</v>
      </c>
      <c r="BO32" s="270">
        <f t="shared" si="113"/>
        <v>0.65371483592589996</v>
      </c>
      <c r="BP32" s="270">
        <f t="shared" si="113"/>
        <v>0.64578305596326646</v>
      </c>
      <c r="BQ32" s="270">
        <f t="shared" si="113"/>
        <v>0.50367514432003102</v>
      </c>
      <c r="BR32" s="270">
        <f t="shared" si="113"/>
        <v>0.66712380968117391</v>
      </c>
      <c r="BS32" s="270">
        <f t="shared" si="113"/>
        <v>0.44215795328142382</v>
      </c>
      <c r="BT32" s="703">
        <f t="shared" si="113"/>
        <v>0.33553719008264465</v>
      </c>
      <c r="BU32" s="703">
        <f t="shared" si="113"/>
        <v>0.53870761356365959</v>
      </c>
      <c r="BV32" s="703">
        <f t="shared" si="113"/>
        <v>0.24701873935264054</v>
      </c>
      <c r="BW32" s="703">
        <f t="shared" si="113"/>
        <v>0.45368782161234994</v>
      </c>
      <c r="BX32" s="703">
        <f t="shared" si="113"/>
        <v>0.54633620689655171</v>
      </c>
      <c r="BY32" s="703">
        <f t="shared" si="113"/>
        <v>0.49725276678783492</v>
      </c>
      <c r="BZ32" s="706">
        <f t="shared" si="113"/>
        <v>0.81825854868631742</v>
      </c>
      <c r="CA32" s="706">
        <f t="shared" si="113"/>
        <v>0.32502773624867409</v>
      </c>
      <c r="CB32" s="184"/>
      <c r="CC32" s="184"/>
      <c r="CD32" s="184"/>
    </row>
    <row r="33" spans="1:82" ht="14.25" hidden="1" customHeight="1" outlineLevel="1">
      <c r="A33" s="203"/>
      <c r="B33" s="382"/>
      <c r="C33" s="216"/>
      <c r="D33" s="275"/>
      <c r="E33" s="275"/>
      <c r="F33" s="275"/>
      <c r="G33" s="277"/>
      <c r="H33" s="275"/>
      <c r="I33" s="275"/>
      <c r="J33" s="275"/>
      <c r="K33" s="277"/>
      <c r="L33" s="275"/>
      <c r="M33" s="275"/>
      <c r="N33" s="275"/>
      <c r="O33" s="277"/>
      <c r="P33" s="275"/>
      <c r="Q33" s="275"/>
      <c r="R33" s="275"/>
      <c r="S33" s="277"/>
      <c r="T33" s="337"/>
      <c r="U33" s="275"/>
      <c r="V33" s="275"/>
      <c r="W33" s="277"/>
      <c r="X33" s="337"/>
      <c r="Y33" s="275"/>
      <c r="Z33" s="275"/>
      <c r="AA33" s="277"/>
      <c r="AB33" s="337"/>
      <c r="AC33" s="275"/>
      <c r="AD33" s="275"/>
      <c r="AE33" s="277"/>
      <c r="AF33" s="337"/>
      <c r="AG33" s="275"/>
      <c r="AH33" s="275"/>
      <c r="AI33" s="277"/>
      <c r="AJ33" s="337"/>
      <c r="AK33" s="275"/>
      <c r="AL33" s="275"/>
      <c r="AM33" s="338"/>
      <c r="AN33" s="337"/>
      <c r="AO33" s="275"/>
      <c r="AP33" s="275"/>
      <c r="AQ33" s="338"/>
      <c r="AR33" s="337"/>
      <c r="AS33" s="275"/>
      <c r="AT33" s="275"/>
      <c r="AU33" s="338"/>
      <c r="AV33" s="337"/>
      <c r="AW33" s="275"/>
      <c r="AX33" s="275"/>
      <c r="AY33" s="705"/>
      <c r="AZ33" s="713"/>
      <c r="BA33" s="380"/>
      <c r="BB33" s="380"/>
      <c r="BC33" s="381"/>
      <c r="BD33" s="380"/>
      <c r="BE33" s="380"/>
      <c r="BF33" s="380"/>
      <c r="BG33" s="381"/>
      <c r="BH33" s="380"/>
      <c r="BI33" s="380"/>
      <c r="BJ33" s="380"/>
      <c r="BK33" s="381"/>
      <c r="BL33" s="215"/>
      <c r="BM33" s="257"/>
      <c r="BN33" s="255"/>
      <c r="BO33" s="255"/>
      <c r="BP33" s="255"/>
      <c r="BQ33" s="255"/>
      <c r="BR33" s="255"/>
      <c r="BS33" s="379"/>
      <c r="BT33" s="719"/>
      <c r="BU33" s="719"/>
      <c r="BV33" s="719"/>
      <c r="BW33" s="719"/>
      <c r="BX33" s="719"/>
      <c r="BY33" s="719"/>
      <c r="BZ33" s="777"/>
      <c r="CA33" s="777"/>
      <c r="CB33" s="184"/>
      <c r="CC33" s="184"/>
      <c r="CD33" s="184"/>
    </row>
    <row r="34" spans="1:82" ht="14.25" hidden="1" customHeight="1" outlineLevel="1">
      <c r="A34" s="203"/>
      <c r="B34" s="217" t="s">
        <v>364</v>
      </c>
      <c r="C34" s="216"/>
      <c r="D34" s="305">
        <v>272.87700000000001</v>
      </c>
      <c r="E34" s="305">
        <v>275.88299999999998</v>
      </c>
      <c r="F34" s="305">
        <v>304.32600000000002</v>
      </c>
      <c r="G34" s="366">
        <v>299.24</v>
      </c>
      <c r="H34" s="305">
        <v>287.56700000000001</v>
      </c>
      <c r="I34" s="305">
        <v>291.04399999999998</v>
      </c>
      <c r="J34" s="305">
        <v>292.584</v>
      </c>
      <c r="K34" s="366">
        <v>270.87799999999999</v>
      </c>
      <c r="L34" s="305">
        <v>273.21899999999999</v>
      </c>
      <c r="M34" s="305">
        <v>287.12200000000001</v>
      </c>
      <c r="N34" s="305">
        <v>268.55900000000003</v>
      </c>
      <c r="O34" s="366">
        <v>275.22199999999998</v>
      </c>
      <c r="P34" s="305">
        <v>229.54</v>
      </c>
      <c r="Q34" s="305">
        <v>236.33500000000001</v>
      </c>
      <c r="R34" s="305">
        <v>234.05199999999999</v>
      </c>
      <c r="S34" s="366">
        <v>234.18799999999999</v>
      </c>
      <c r="T34" s="330">
        <v>269.00299999999999</v>
      </c>
      <c r="U34" s="305">
        <v>305.928</v>
      </c>
      <c r="V34" s="305">
        <v>290.39800000000002</v>
      </c>
      <c r="W34" s="366">
        <v>278.19199999999995</v>
      </c>
      <c r="X34" s="330">
        <v>270</v>
      </c>
      <c r="Y34" s="305">
        <v>297</v>
      </c>
      <c r="Z34" s="305">
        <v>282</v>
      </c>
      <c r="AA34" s="366">
        <v>269</v>
      </c>
      <c r="AB34" s="330">
        <v>304</v>
      </c>
      <c r="AC34" s="305">
        <v>321</v>
      </c>
      <c r="AD34" s="305">
        <v>309</v>
      </c>
      <c r="AE34" s="306">
        <v>303</v>
      </c>
      <c r="AF34" s="330">
        <v>304</v>
      </c>
      <c r="AG34" s="305">
        <v>344</v>
      </c>
      <c r="AH34" s="305">
        <v>334</v>
      </c>
      <c r="AI34" s="306">
        <v>338</v>
      </c>
      <c r="AJ34" s="330">
        <v>356</v>
      </c>
      <c r="AK34" s="305">
        <v>355</v>
      </c>
      <c r="AL34" s="305">
        <v>357</v>
      </c>
      <c r="AM34" s="346">
        <v>360</v>
      </c>
      <c r="AN34" s="330">
        <v>351</v>
      </c>
      <c r="AO34" s="305">
        <v>365</v>
      </c>
      <c r="AP34" s="305">
        <v>372</v>
      </c>
      <c r="AQ34" s="346">
        <v>363</v>
      </c>
      <c r="AR34" s="330">
        <v>374</v>
      </c>
      <c r="AS34" s="305">
        <v>386</v>
      </c>
      <c r="AT34" s="305">
        <v>386</v>
      </c>
      <c r="AU34" s="346">
        <v>394</v>
      </c>
      <c r="AV34" s="330">
        <v>417</v>
      </c>
      <c r="AW34" s="305">
        <v>437</v>
      </c>
      <c r="AX34" s="305">
        <v>454</v>
      </c>
      <c r="AY34" s="306">
        <v>466</v>
      </c>
      <c r="AZ34" s="330">
        <v>488</v>
      </c>
      <c r="BA34" s="378">
        <v>512.40262500000006</v>
      </c>
      <c r="BB34" s="378">
        <v>527</v>
      </c>
      <c r="BC34" s="658">
        <v>527</v>
      </c>
      <c r="BD34" s="378">
        <v>530</v>
      </c>
      <c r="BE34" s="378">
        <v>535</v>
      </c>
      <c r="BF34" s="378">
        <v>535</v>
      </c>
      <c r="BG34" s="378">
        <v>535</v>
      </c>
      <c r="BH34" s="378">
        <f>BD34*1.05</f>
        <v>556.5</v>
      </c>
      <c r="BI34" s="378">
        <f t="shared" ref="BI34:BK34" si="114">BE34*1.05</f>
        <v>561.75</v>
      </c>
      <c r="BJ34" s="378">
        <f t="shared" si="114"/>
        <v>561.75</v>
      </c>
      <c r="BK34" s="378">
        <f t="shared" si="114"/>
        <v>561.75</v>
      </c>
      <c r="BL34" s="215"/>
      <c r="BM34" s="309">
        <f>SUM(D34:G34)</f>
        <v>1152.326</v>
      </c>
      <c r="BN34" s="220">
        <f>SUM(H34:K34)</f>
        <v>1142.0729999999999</v>
      </c>
      <c r="BO34" s="220">
        <f>SUM(L34:O34)</f>
        <v>1104.1220000000001</v>
      </c>
      <c r="BP34" s="220">
        <f>SUM(P34:S34)</f>
        <v>934.11500000000001</v>
      </c>
      <c r="BQ34" s="220">
        <f>SUM(T34:W34)</f>
        <v>1143.521</v>
      </c>
      <c r="BR34" s="220">
        <f>SUM(X34:AA34)</f>
        <v>1118</v>
      </c>
      <c r="BS34" s="220">
        <f>SUM(AB34:AE34)</f>
        <v>1237</v>
      </c>
      <c r="BT34" s="735">
        <f>SUM(AF34:AI34)</f>
        <v>1320</v>
      </c>
      <c r="BU34" s="735">
        <f>SUM(AJ34:AM34)</f>
        <v>1428</v>
      </c>
      <c r="BV34" s="700">
        <f>SUM(AN34:AQ34)</f>
        <v>1451</v>
      </c>
      <c r="BW34" s="700">
        <f>SUM(AR34:AU34)</f>
        <v>1540</v>
      </c>
      <c r="BX34" s="700">
        <f>SUM(AV34:AY34)</f>
        <v>1774</v>
      </c>
      <c r="BY34" s="735">
        <f>SUM(AZ34:BC34)</f>
        <v>2054.4026250000002</v>
      </c>
      <c r="BZ34" s="738">
        <f>SUM(BD34:BG34)</f>
        <v>2135</v>
      </c>
      <c r="CA34" s="738">
        <f>SUM(BH34:BK34)</f>
        <v>2241.75</v>
      </c>
      <c r="CB34" s="184"/>
      <c r="CC34" s="184"/>
      <c r="CD34" s="184"/>
    </row>
    <row r="35" spans="1:82" ht="14.25" hidden="1" customHeight="1" outlineLevel="1">
      <c r="A35" s="203"/>
      <c r="B35" s="262" t="s">
        <v>318</v>
      </c>
      <c r="C35" s="261"/>
      <c r="D35" s="275">
        <f t="shared" ref="D35:AQ35" si="115">D34/D7</f>
        <v>0.14689824245582453</v>
      </c>
      <c r="E35" s="275">
        <f t="shared" si="115"/>
        <v>0.12274089886220761</v>
      </c>
      <c r="F35" s="275">
        <f t="shared" si="115"/>
        <v>0.11965119721574259</v>
      </c>
      <c r="G35" s="277">
        <f t="shared" si="115"/>
        <v>0.11882652256905769</v>
      </c>
      <c r="H35" s="275">
        <f t="shared" si="115"/>
        <v>0.12627724373119184</v>
      </c>
      <c r="I35" s="275">
        <f t="shared" si="115"/>
        <v>0.11505711860674638</v>
      </c>
      <c r="J35" s="275">
        <f t="shared" si="115"/>
        <v>0.11424671142029783</v>
      </c>
      <c r="K35" s="277">
        <f t="shared" si="115"/>
        <v>0.11443724746984002</v>
      </c>
      <c r="L35" s="275">
        <f t="shared" si="115"/>
        <v>0.1308898115691457</v>
      </c>
      <c r="M35" s="275">
        <f t="shared" si="115"/>
        <v>0.13354524050720049</v>
      </c>
      <c r="N35" s="275">
        <f t="shared" si="115"/>
        <v>0.14531092411512375</v>
      </c>
      <c r="O35" s="277">
        <f t="shared" si="115"/>
        <v>0.13467000900827283</v>
      </c>
      <c r="P35" s="275">
        <f t="shared" si="115"/>
        <v>0.17214690909527253</v>
      </c>
      <c r="Q35" s="275">
        <f t="shared" si="115"/>
        <v>0.23168349056002635</v>
      </c>
      <c r="R35" s="275">
        <f t="shared" si="115"/>
        <v>0.20644239419972832</v>
      </c>
      <c r="S35" s="277">
        <f t="shared" si="115"/>
        <v>0.15342565549916992</v>
      </c>
      <c r="T35" s="337">
        <f t="shared" si="115"/>
        <v>0.14549337931377648</v>
      </c>
      <c r="U35" s="275">
        <f t="shared" si="115"/>
        <v>0.13327060299537363</v>
      </c>
      <c r="V35" s="275">
        <f t="shared" si="115"/>
        <v>0.11533845157856693</v>
      </c>
      <c r="W35" s="277">
        <f t="shared" si="115"/>
        <v>9.6379097398694241E-2</v>
      </c>
      <c r="X35" s="337">
        <f t="shared" si="115"/>
        <v>0.10052122114668652</v>
      </c>
      <c r="Y35" s="275">
        <f t="shared" si="115"/>
        <v>0.10377358490566038</v>
      </c>
      <c r="Z35" s="275">
        <f t="shared" si="115"/>
        <v>0.10118406889128095</v>
      </c>
      <c r="AA35" s="277">
        <f t="shared" si="115"/>
        <v>0.1232813932172319</v>
      </c>
      <c r="AB35" s="337">
        <f t="shared" si="115"/>
        <v>0.13887619917770672</v>
      </c>
      <c r="AC35" s="275">
        <f t="shared" si="115"/>
        <v>0.12632821723730814</v>
      </c>
      <c r="AD35" s="275">
        <f t="shared" si="115"/>
        <v>0.13188220230473752</v>
      </c>
      <c r="AE35" s="277">
        <f t="shared" si="115"/>
        <v>0.18408262454434993</v>
      </c>
      <c r="AF35" s="337">
        <f t="shared" si="115"/>
        <v>0.19326128417037508</v>
      </c>
      <c r="AG35" s="275">
        <f t="shared" si="115"/>
        <v>0.17435377597567156</v>
      </c>
      <c r="AH35" s="275">
        <f t="shared" si="115"/>
        <v>0.16911392405063291</v>
      </c>
      <c r="AI35" s="277">
        <f t="shared" si="115"/>
        <v>0.17002012072434608</v>
      </c>
      <c r="AJ35" s="337">
        <f t="shared" si="115"/>
        <v>0.16255707762557078</v>
      </c>
      <c r="AK35" s="275">
        <f t="shared" si="115"/>
        <v>0.15087122821929452</v>
      </c>
      <c r="AL35" s="275">
        <f t="shared" si="115"/>
        <v>0.15761589403973511</v>
      </c>
      <c r="AM35" s="338">
        <f t="shared" si="115"/>
        <v>0.15901060070671377</v>
      </c>
      <c r="AN35" s="337">
        <f t="shared" si="115"/>
        <v>0.14879186095803307</v>
      </c>
      <c r="AO35" s="275">
        <f t="shared" si="115"/>
        <v>0.14946764946764945</v>
      </c>
      <c r="AP35" s="275">
        <f t="shared" si="115"/>
        <v>0.14939759036144579</v>
      </c>
      <c r="AQ35" s="338">
        <f t="shared" si="115"/>
        <v>0.15329391891891891</v>
      </c>
      <c r="AR35" s="337">
        <f t="shared" ref="AR35:AW35" si="116">AR34/AR7</f>
        <v>0.16570669029685423</v>
      </c>
      <c r="AS35" s="275">
        <f t="shared" si="116"/>
        <v>0.15755102040816327</v>
      </c>
      <c r="AT35" s="275">
        <f t="shared" si="116"/>
        <v>0.13683091102445941</v>
      </c>
      <c r="AU35" s="338">
        <f t="shared" si="116"/>
        <v>0.11950257810130421</v>
      </c>
      <c r="AV35" s="337">
        <f t="shared" si="116"/>
        <v>0.1272117144600366</v>
      </c>
      <c r="AW35" s="275">
        <f t="shared" si="116"/>
        <v>0.12323745064861816</v>
      </c>
      <c r="AX35" s="275">
        <f t="shared" ref="AX35:AZ35" si="117">AX34/AX7</f>
        <v>0.12126068376068376</v>
      </c>
      <c r="AY35" s="705">
        <f t="shared" si="117"/>
        <v>0.11740992693373646</v>
      </c>
      <c r="AZ35" s="713">
        <f t="shared" si="117"/>
        <v>0.11607992388201713</v>
      </c>
      <c r="BA35" s="275">
        <f t="shared" ref="BA35:BG35" si="118">BA34/BA7</f>
        <v>0.11489430294001446</v>
      </c>
      <c r="BB35" s="275">
        <f t="shared" si="118"/>
        <v>0.12134881883187221</v>
      </c>
      <c r="BC35" s="277">
        <f t="shared" si="118"/>
        <v>0.12057426219821195</v>
      </c>
      <c r="BD35" s="704">
        <f t="shared" si="118"/>
        <v>0.12503800197679854</v>
      </c>
      <c r="BE35" s="704">
        <f t="shared" si="118"/>
        <v>0.12509179489649661</v>
      </c>
      <c r="BF35" s="704">
        <f t="shared" si="118"/>
        <v>0.12438417846658628</v>
      </c>
      <c r="BG35" s="705">
        <f t="shared" si="118"/>
        <v>0.12271477311557422</v>
      </c>
      <c r="BH35" s="704">
        <f t="shared" ref="BH35:BK35" si="119">BH34/BH7</f>
        <v>0.12860924521588782</v>
      </c>
      <c r="BI35" s="704">
        <f t="shared" si="119"/>
        <v>0.12869084081676258</v>
      </c>
      <c r="BJ35" s="704">
        <f t="shared" si="119"/>
        <v>0.12737425003303712</v>
      </c>
      <c r="BK35" s="705">
        <f t="shared" si="119"/>
        <v>0.12724368892128965</v>
      </c>
      <c r="BL35" s="215"/>
      <c r="BM35" s="337">
        <f t="shared" ref="BM35:BX35" si="120">BM34/BM7</f>
        <v>0.12570352788814329</v>
      </c>
      <c r="BN35" s="275">
        <f t="shared" si="120"/>
        <v>0.11731791410165696</v>
      </c>
      <c r="BO35" s="275">
        <f t="shared" si="120"/>
        <v>0.13582106076336781</v>
      </c>
      <c r="BP35" s="275">
        <f t="shared" si="120"/>
        <v>0.18631595974714413</v>
      </c>
      <c r="BQ35" s="275">
        <f t="shared" si="120"/>
        <v>0.1197571346869673</v>
      </c>
      <c r="BR35" s="275">
        <f t="shared" si="120"/>
        <v>0.10630407911001236</v>
      </c>
      <c r="BS35" s="275">
        <f t="shared" si="120"/>
        <v>0.14187406812707878</v>
      </c>
      <c r="BT35" s="704">
        <f t="shared" si="120"/>
        <v>0.17578905313623652</v>
      </c>
      <c r="BU35" s="704">
        <f t="shared" si="120"/>
        <v>0.15740740740740741</v>
      </c>
      <c r="BV35" s="704">
        <f t="shared" si="120"/>
        <v>0.15022259033026192</v>
      </c>
      <c r="BW35" s="704">
        <f t="shared" si="120"/>
        <v>0.14226327944572748</v>
      </c>
      <c r="BX35" s="704">
        <f t="shared" si="120"/>
        <v>0.12203343193231066</v>
      </c>
      <c r="BY35" s="704">
        <f>BY34/BY7</f>
        <v>0.118222828574849</v>
      </c>
      <c r="BZ35" s="705">
        <f>BZ34/BZ7</f>
        <v>0.12429799268461851</v>
      </c>
      <c r="CA35" s="705">
        <f>CA34/CA7</f>
        <v>0.12797449395617747</v>
      </c>
      <c r="CB35" s="184"/>
      <c r="CC35" s="184"/>
      <c r="CD35" s="184"/>
    </row>
    <row r="36" spans="1:82" ht="14.25" hidden="1" customHeight="1" outlineLevel="1">
      <c r="A36" s="203"/>
      <c r="B36" s="227" t="s">
        <v>287</v>
      </c>
      <c r="C36" s="331"/>
      <c r="D36" s="305">
        <v>0</v>
      </c>
      <c r="E36" s="305">
        <v>0</v>
      </c>
      <c r="F36" s="305">
        <v>0</v>
      </c>
      <c r="G36" s="306">
        <v>0</v>
      </c>
      <c r="H36" s="305">
        <v>0</v>
      </c>
      <c r="I36" s="305">
        <v>0</v>
      </c>
      <c r="J36" s="305">
        <v>0</v>
      </c>
      <c r="K36" s="306">
        <v>0</v>
      </c>
      <c r="L36" s="305">
        <v>0</v>
      </c>
      <c r="M36" s="305">
        <v>0</v>
      </c>
      <c r="N36" s="305">
        <v>0</v>
      </c>
      <c r="O36" s="306">
        <v>0</v>
      </c>
      <c r="P36" s="305">
        <v>0</v>
      </c>
      <c r="Q36" s="305">
        <v>0</v>
      </c>
      <c r="R36" s="305">
        <v>0</v>
      </c>
      <c r="S36" s="306">
        <v>0</v>
      </c>
      <c r="T36" s="330">
        <v>0</v>
      </c>
      <c r="U36" s="305">
        <v>0</v>
      </c>
      <c r="V36" s="305">
        <v>0</v>
      </c>
      <c r="W36" s="306">
        <v>0</v>
      </c>
      <c r="X36" s="330">
        <v>0</v>
      </c>
      <c r="Y36" s="305">
        <v>0</v>
      </c>
      <c r="Z36" s="305">
        <v>0</v>
      </c>
      <c r="AA36" s="306">
        <v>0</v>
      </c>
      <c r="AB36" s="330">
        <v>0</v>
      </c>
      <c r="AC36" s="305">
        <v>0</v>
      </c>
      <c r="AD36" s="305">
        <v>0</v>
      </c>
      <c r="AE36" s="306">
        <v>0</v>
      </c>
      <c r="AF36" s="330">
        <v>0</v>
      </c>
      <c r="AG36" s="305">
        <v>0</v>
      </c>
      <c r="AH36" s="305">
        <v>0</v>
      </c>
      <c r="AI36" s="306">
        <v>0</v>
      </c>
      <c r="AJ36" s="330">
        <v>0</v>
      </c>
      <c r="AK36" s="305">
        <v>0</v>
      </c>
      <c r="AL36" s="305">
        <v>0</v>
      </c>
      <c r="AM36" s="346">
        <v>0</v>
      </c>
      <c r="AN36" s="330">
        <v>0</v>
      </c>
      <c r="AO36" s="305">
        <v>0</v>
      </c>
      <c r="AP36" s="305">
        <v>0</v>
      </c>
      <c r="AQ36" s="346">
        <v>0</v>
      </c>
      <c r="AR36" s="330">
        <v>0</v>
      </c>
      <c r="AS36" s="305">
        <v>0</v>
      </c>
      <c r="AT36" s="305">
        <v>0</v>
      </c>
      <c r="AU36" s="346">
        <v>0</v>
      </c>
      <c r="AV36" s="330">
        <v>0</v>
      </c>
      <c r="AW36" s="305">
        <v>0</v>
      </c>
      <c r="AX36" s="305">
        <v>0</v>
      </c>
      <c r="AY36" s="306">
        <v>0</v>
      </c>
      <c r="AZ36" s="330">
        <v>0</v>
      </c>
      <c r="BA36" s="360">
        <f t="shared" ref="BA36:BC36" si="121">AZ36</f>
        <v>0</v>
      </c>
      <c r="BB36" s="360">
        <f t="shared" si="121"/>
        <v>0</v>
      </c>
      <c r="BC36" s="308">
        <f t="shared" si="121"/>
        <v>0</v>
      </c>
      <c r="BD36" s="360">
        <f t="shared" ref="BD36" si="122">BC36</f>
        <v>0</v>
      </c>
      <c r="BE36" s="360">
        <f t="shared" ref="BE36" si="123">BD36</f>
        <v>0</v>
      </c>
      <c r="BF36" s="360">
        <f t="shared" ref="BF36" si="124">BE36</f>
        <v>0</v>
      </c>
      <c r="BG36" s="308">
        <f t="shared" ref="BG36" si="125">BF36</f>
        <v>0</v>
      </c>
      <c r="BH36" s="360">
        <f t="shared" ref="BH36" si="126">BG36</f>
        <v>0</v>
      </c>
      <c r="BI36" s="360">
        <f t="shared" ref="BI36" si="127">BH36</f>
        <v>0</v>
      </c>
      <c r="BJ36" s="360">
        <f t="shared" ref="BJ36" si="128">BI36</f>
        <v>0</v>
      </c>
      <c r="BK36" s="308">
        <f t="shared" ref="BK36" si="129">BJ36</f>
        <v>0</v>
      </c>
      <c r="BL36" s="215"/>
      <c r="BM36" s="309">
        <f>SUM(D36:G36)</f>
        <v>0</v>
      </c>
      <c r="BN36" s="220">
        <f>SUM(H36:K36)</f>
        <v>0</v>
      </c>
      <c r="BO36" s="220">
        <f>SUM(L36:O36)</f>
        <v>0</v>
      </c>
      <c r="BP36" s="220">
        <f>SUM(P36:S36)</f>
        <v>0</v>
      </c>
      <c r="BQ36" s="220">
        <f>SUM(T36:W36)</f>
        <v>0</v>
      </c>
      <c r="BR36" s="220">
        <f>SUM(X36:AA36)</f>
        <v>0</v>
      </c>
      <c r="BS36" s="220">
        <f>SUM(AB36:AE36)</f>
        <v>0</v>
      </c>
      <c r="BT36" s="735">
        <f>SUM(AF36:AI36)</f>
        <v>0</v>
      </c>
      <c r="BU36" s="735">
        <f>SUM(AJ36:AM36)</f>
        <v>0</v>
      </c>
      <c r="BV36" s="700">
        <f>SUM(AN36:AQ36)</f>
        <v>0</v>
      </c>
      <c r="BW36" s="700">
        <f>SUM(AR36:AU36)</f>
        <v>0</v>
      </c>
      <c r="BX36" s="700">
        <f>SUM(AV36:AY36)</f>
        <v>0</v>
      </c>
      <c r="BY36" s="735">
        <f>SUM(AZ36:BC36)</f>
        <v>0</v>
      </c>
      <c r="BZ36" s="738">
        <f>SUM(BD36:BG36)</f>
        <v>0</v>
      </c>
      <c r="CA36" s="738">
        <f>SUM(BH36:BK36)</f>
        <v>0</v>
      </c>
      <c r="CB36" s="184"/>
      <c r="CC36" s="184"/>
      <c r="CD36" s="184"/>
    </row>
    <row r="37" spans="1:82" ht="14.25" hidden="1" customHeight="1" outlineLevel="1">
      <c r="A37" s="203"/>
      <c r="B37" s="227" t="s">
        <v>361</v>
      </c>
      <c r="C37" s="216"/>
      <c r="D37" s="305">
        <v>0</v>
      </c>
      <c r="E37" s="305">
        <v>0</v>
      </c>
      <c r="F37" s="305">
        <v>0</v>
      </c>
      <c r="G37" s="366">
        <v>0</v>
      </c>
      <c r="H37" s="305">
        <v>0</v>
      </c>
      <c r="I37" s="305">
        <v>0</v>
      </c>
      <c r="J37" s="305">
        <v>0</v>
      </c>
      <c r="K37" s="366">
        <v>0</v>
      </c>
      <c r="L37" s="305">
        <v>0</v>
      </c>
      <c r="M37" s="305">
        <v>0</v>
      </c>
      <c r="N37" s="305">
        <v>0</v>
      </c>
      <c r="O37" s="366">
        <v>0</v>
      </c>
      <c r="P37" s="305">
        <v>0</v>
      </c>
      <c r="Q37" s="305">
        <v>0</v>
      </c>
      <c r="R37" s="305">
        <v>0</v>
      </c>
      <c r="S37" s="366">
        <v>0</v>
      </c>
      <c r="T37" s="330">
        <v>0</v>
      </c>
      <c r="U37" s="305">
        <v>0</v>
      </c>
      <c r="V37" s="305">
        <v>0</v>
      </c>
      <c r="W37" s="366">
        <v>0</v>
      </c>
      <c r="X37" s="330">
        <v>0</v>
      </c>
      <c r="Y37" s="305">
        <v>0</v>
      </c>
      <c r="Z37" s="305">
        <v>0</v>
      </c>
      <c r="AA37" s="366">
        <v>0</v>
      </c>
      <c r="AB37" s="330">
        <v>0</v>
      </c>
      <c r="AC37" s="305">
        <v>0</v>
      </c>
      <c r="AD37" s="305">
        <v>0</v>
      </c>
      <c r="AE37" s="306">
        <v>0</v>
      </c>
      <c r="AF37" s="330">
        <v>0</v>
      </c>
      <c r="AG37" s="305">
        <v>0</v>
      </c>
      <c r="AH37" s="305">
        <v>0</v>
      </c>
      <c r="AI37" s="306">
        <v>0</v>
      </c>
      <c r="AJ37" s="330">
        <v>0</v>
      </c>
      <c r="AK37" s="305">
        <v>0</v>
      </c>
      <c r="AL37" s="305">
        <v>0</v>
      </c>
      <c r="AM37" s="346">
        <v>0</v>
      </c>
      <c r="AN37" s="330">
        <v>0</v>
      </c>
      <c r="AO37" s="305">
        <v>0</v>
      </c>
      <c r="AP37" s="305">
        <v>0</v>
      </c>
      <c r="AQ37" s="346">
        <v>0</v>
      </c>
      <c r="AR37" s="330">
        <v>0</v>
      </c>
      <c r="AS37" s="305">
        <v>0</v>
      </c>
      <c r="AT37" s="305">
        <v>0</v>
      </c>
      <c r="AU37" s="346">
        <v>0</v>
      </c>
      <c r="AV37" s="330">
        <v>0</v>
      </c>
      <c r="AW37" s="305">
        <v>0</v>
      </c>
      <c r="AX37" s="305">
        <v>0</v>
      </c>
      <c r="AY37" s="306">
        <v>0</v>
      </c>
      <c r="AZ37" s="330">
        <v>0</v>
      </c>
      <c r="BA37" s="360">
        <v>0</v>
      </c>
      <c r="BB37" s="360">
        <v>0</v>
      </c>
      <c r="BC37" s="308">
        <v>0</v>
      </c>
      <c r="BD37" s="360">
        <v>0</v>
      </c>
      <c r="BE37" s="360">
        <v>0</v>
      </c>
      <c r="BF37" s="360">
        <v>0</v>
      </c>
      <c r="BG37" s="308">
        <v>0</v>
      </c>
      <c r="BH37" s="360">
        <v>0</v>
      </c>
      <c r="BI37" s="360">
        <v>0</v>
      </c>
      <c r="BJ37" s="360">
        <v>0</v>
      </c>
      <c r="BK37" s="308">
        <v>0</v>
      </c>
      <c r="BL37" s="215"/>
      <c r="BM37" s="309">
        <f>SUM(D37:G37)</f>
        <v>0</v>
      </c>
      <c r="BN37" s="220">
        <f>SUM(H37:K37)</f>
        <v>0</v>
      </c>
      <c r="BO37" s="220">
        <f>SUM(L37:O37)</f>
        <v>0</v>
      </c>
      <c r="BP37" s="220">
        <f>SUM(P37:S37)</f>
        <v>0</v>
      </c>
      <c r="BQ37" s="220">
        <f>SUM(T37:W37)</f>
        <v>0</v>
      </c>
      <c r="BR37" s="220">
        <f>SUM(X37:AA37)</f>
        <v>0</v>
      </c>
      <c r="BS37" s="220">
        <f>SUM(AB37:AE37)</f>
        <v>0</v>
      </c>
      <c r="BT37" s="735">
        <f>SUM(AF37:AI37)</f>
        <v>0</v>
      </c>
      <c r="BU37" s="735">
        <f>SUM(AJ37:AM37)</f>
        <v>0</v>
      </c>
      <c r="BV37" s="700">
        <f>SUM(AN37:AQ37)</f>
        <v>0</v>
      </c>
      <c r="BW37" s="700">
        <f>SUM(AR37:AU37)</f>
        <v>0</v>
      </c>
      <c r="BX37" s="700">
        <f>SUM(AV37:AY37)</f>
        <v>0</v>
      </c>
      <c r="BY37" s="735">
        <f>SUM(AZ37:BC37)</f>
        <v>0</v>
      </c>
      <c r="BZ37" s="738">
        <f>SUM(BD37:BG37)</f>
        <v>0</v>
      </c>
      <c r="CA37" s="738">
        <f>SUM(BH37:BK37)</f>
        <v>0</v>
      </c>
      <c r="CB37" s="184"/>
      <c r="CC37" s="184"/>
      <c r="CD37" s="184"/>
    </row>
    <row r="38" spans="1:82" ht="14.25" hidden="1" customHeight="1" outlineLevel="1">
      <c r="A38" s="203"/>
      <c r="B38" s="227" t="s">
        <v>356</v>
      </c>
      <c r="C38" s="331"/>
      <c r="D38" s="305">
        <v>0</v>
      </c>
      <c r="E38" s="305">
        <v>0</v>
      </c>
      <c r="F38" s="305">
        <v>0</v>
      </c>
      <c r="G38" s="306">
        <v>0</v>
      </c>
      <c r="H38" s="305">
        <v>0</v>
      </c>
      <c r="I38" s="305">
        <v>0</v>
      </c>
      <c r="J38" s="305">
        <v>0</v>
      </c>
      <c r="K38" s="306">
        <v>0</v>
      </c>
      <c r="L38" s="305">
        <v>0</v>
      </c>
      <c r="M38" s="305">
        <v>0</v>
      </c>
      <c r="N38" s="305">
        <v>0</v>
      </c>
      <c r="O38" s="306">
        <v>0</v>
      </c>
      <c r="P38" s="305">
        <v>0</v>
      </c>
      <c r="Q38" s="305">
        <v>0</v>
      </c>
      <c r="R38" s="305">
        <v>0</v>
      </c>
      <c r="S38" s="306">
        <v>0</v>
      </c>
      <c r="T38" s="330">
        <v>0</v>
      </c>
      <c r="U38" s="305">
        <v>0</v>
      </c>
      <c r="V38" s="305">
        <v>0</v>
      </c>
      <c r="W38" s="306">
        <v>0</v>
      </c>
      <c r="X38" s="330">
        <v>0</v>
      </c>
      <c r="Y38" s="305">
        <v>0</v>
      </c>
      <c r="Z38" s="305">
        <v>0</v>
      </c>
      <c r="AA38" s="306">
        <v>0</v>
      </c>
      <c r="AB38" s="330">
        <v>0</v>
      </c>
      <c r="AC38" s="305">
        <v>0</v>
      </c>
      <c r="AD38" s="305">
        <v>0</v>
      </c>
      <c r="AE38" s="306">
        <v>0</v>
      </c>
      <c r="AF38" s="330">
        <v>0</v>
      </c>
      <c r="AG38" s="305">
        <v>0</v>
      </c>
      <c r="AH38" s="305">
        <v>0</v>
      </c>
      <c r="AI38" s="306">
        <v>0</v>
      </c>
      <c r="AJ38" s="330">
        <v>0</v>
      </c>
      <c r="AK38" s="305">
        <v>0</v>
      </c>
      <c r="AL38" s="305">
        <v>0</v>
      </c>
      <c r="AM38" s="346">
        <v>0</v>
      </c>
      <c r="AN38" s="330">
        <v>0</v>
      </c>
      <c r="AO38" s="305">
        <v>0</v>
      </c>
      <c r="AP38" s="305">
        <v>0</v>
      </c>
      <c r="AQ38" s="346">
        <v>0</v>
      </c>
      <c r="AR38" s="330">
        <v>0</v>
      </c>
      <c r="AS38" s="305">
        <v>0</v>
      </c>
      <c r="AT38" s="305">
        <v>0</v>
      </c>
      <c r="AU38" s="346">
        <v>0</v>
      </c>
      <c r="AV38" s="330">
        <v>0</v>
      </c>
      <c r="AW38" s="305">
        <v>0</v>
      </c>
      <c r="AX38" s="305">
        <v>0</v>
      </c>
      <c r="AY38" s="306">
        <v>0</v>
      </c>
      <c r="AZ38" s="330">
        <v>0</v>
      </c>
      <c r="BA38" s="329">
        <v>0</v>
      </c>
      <c r="BB38" s="329">
        <v>0</v>
      </c>
      <c r="BC38" s="328">
        <v>0</v>
      </c>
      <c r="BD38" s="329">
        <v>0</v>
      </c>
      <c r="BE38" s="329">
        <v>0</v>
      </c>
      <c r="BF38" s="329">
        <v>0</v>
      </c>
      <c r="BG38" s="328">
        <v>0</v>
      </c>
      <c r="BH38" s="329">
        <v>0</v>
      </c>
      <c r="BI38" s="329">
        <v>0</v>
      </c>
      <c r="BJ38" s="329">
        <v>0</v>
      </c>
      <c r="BK38" s="328">
        <v>0</v>
      </c>
      <c r="BL38" s="215"/>
      <c r="BM38" s="309">
        <f>SUM(D38:G38)</f>
        <v>0</v>
      </c>
      <c r="BN38" s="220">
        <f>SUM(H38:K38)</f>
        <v>0</v>
      </c>
      <c r="BO38" s="220">
        <f>SUM(L38:O38)</f>
        <v>0</v>
      </c>
      <c r="BP38" s="220">
        <f>SUM(P38:S38)</f>
        <v>0</v>
      </c>
      <c r="BQ38" s="220">
        <f>SUM(T38:W38)</f>
        <v>0</v>
      </c>
      <c r="BR38" s="220">
        <f>SUM(X38:AA38)</f>
        <v>0</v>
      </c>
      <c r="BS38" s="220">
        <f>SUM(AB38:AE38)</f>
        <v>0</v>
      </c>
      <c r="BT38" s="735">
        <f>SUM(AF38:AI38)</f>
        <v>0</v>
      </c>
      <c r="BU38" s="735">
        <f>SUM(AJ38:AM38)</f>
        <v>0</v>
      </c>
      <c r="BV38" s="700">
        <f>SUM(AN38:AQ38)</f>
        <v>0</v>
      </c>
      <c r="BW38" s="700">
        <f>SUM(AR38:AU38)</f>
        <v>0</v>
      </c>
      <c r="BX38" s="700">
        <f>SUM(AV38:AY38)</f>
        <v>0</v>
      </c>
      <c r="BY38" s="735">
        <f>SUM(AZ38:BC38)</f>
        <v>0</v>
      </c>
      <c r="BZ38" s="738">
        <f>SUM(BD38:BG38)</f>
        <v>0</v>
      </c>
      <c r="CA38" s="738">
        <f>SUM(BH38:BK38)</f>
        <v>0</v>
      </c>
      <c r="CB38" s="184"/>
      <c r="CC38" s="184"/>
      <c r="CD38" s="184"/>
    </row>
    <row r="39" spans="1:82" ht="14.25" customHeight="1" collapsed="1">
      <c r="A39" s="203"/>
      <c r="B39" s="217" t="s">
        <v>363</v>
      </c>
      <c r="C39" s="216"/>
      <c r="D39" s="220">
        <f t="shared" ref="D39:AQ39" si="130">D34-D37-D36-D38</f>
        <v>272.87700000000001</v>
      </c>
      <c r="E39" s="220">
        <f t="shared" si="130"/>
        <v>275.88299999999998</v>
      </c>
      <c r="F39" s="220">
        <f t="shared" si="130"/>
        <v>304.32600000000002</v>
      </c>
      <c r="G39" s="226">
        <f t="shared" si="130"/>
        <v>299.24</v>
      </c>
      <c r="H39" s="220">
        <f t="shared" si="130"/>
        <v>287.56700000000001</v>
      </c>
      <c r="I39" s="220">
        <f t="shared" si="130"/>
        <v>291.04399999999998</v>
      </c>
      <c r="J39" s="220">
        <f t="shared" si="130"/>
        <v>292.584</v>
      </c>
      <c r="K39" s="226">
        <f t="shared" si="130"/>
        <v>270.87799999999999</v>
      </c>
      <c r="L39" s="220">
        <f t="shared" si="130"/>
        <v>273.21899999999999</v>
      </c>
      <c r="M39" s="220">
        <f t="shared" si="130"/>
        <v>287.12200000000001</v>
      </c>
      <c r="N39" s="220">
        <f t="shared" si="130"/>
        <v>268.55900000000003</v>
      </c>
      <c r="O39" s="226">
        <f t="shared" si="130"/>
        <v>275.22199999999998</v>
      </c>
      <c r="P39" s="220">
        <f t="shared" si="130"/>
        <v>229.54</v>
      </c>
      <c r="Q39" s="220">
        <f t="shared" si="130"/>
        <v>236.33500000000001</v>
      </c>
      <c r="R39" s="220">
        <f t="shared" si="130"/>
        <v>234.05199999999999</v>
      </c>
      <c r="S39" s="226">
        <f t="shared" si="130"/>
        <v>234.18799999999999</v>
      </c>
      <c r="T39" s="309">
        <f t="shared" si="130"/>
        <v>269.00299999999999</v>
      </c>
      <c r="U39" s="220">
        <f t="shared" si="130"/>
        <v>305.928</v>
      </c>
      <c r="V39" s="220">
        <f t="shared" si="130"/>
        <v>290.39800000000002</v>
      </c>
      <c r="W39" s="226">
        <f t="shared" si="130"/>
        <v>278.19199999999995</v>
      </c>
      <c r="X39" s="309">
        <f t="shared" si="130"/>
        <v>270</v>
      </c>
      <c r="Y39" s="220">
        <f t="shared" si="130"/>
        <v>297</v>
      </c>
      <c r="Z39" s="220">
        <f t="shared" si="130"/>
        <v>282</v>
      </c>
      <c r="AA39" s="226">
        <f t="shared" si="130"/>
        <v>269</v>
      </c>
      <c r="AB39" s="309">
        <f t="shared" si="130"/>
        <v>304</v>
      </c>
      <c r="AC39" s="220">
        <f t="shared" si="130"/>
        <v>321</v>
      </c>
      <c r="AD39" s="220">
        <f t="shared" si="130"/>
        <v>309</v>
      </c>
      <c r="AE39" s="226">
        <f t="shared" si="130"/>
        <v>303</v>
      </c>
      <c r="AF39" s="309">
        <f t="shared" si="130"/>
        <v>304</v>
      </c>
      <c r="AG39" s="220">
        <f t="shared" si="130"/>
        <v>344</v>
      </c>
      <c r="AH39" s="220">
        <f t="shared" si="130"/>
        <v>334</v>
      </c>
      <c r="AI39" s="226">
        <f t="shared" si="130"/>
        <v>338</v>
      </c>
      <c r="AJ39" s="309">
        <f t="shared" si="130"/>
        <v>356</v>
      </c>
      <c r="AK39" s="220">
        <f t="shared" si="130"/>
        <v>355</v>
      </c>
      <c r="AL39" s="220">
        <f t="shared" si="130"/>
        <v>357</v>
      </c>
      <c r="AM39" s="345">
        <f t="shared" si="130"/>
        <v>360</v>
      </c>
      <c r="AN39" s="309">
        <f t="shared" si="130"/>
        <v>351</v>
      </c>
      <c r="AO39" s="220">
        <f t="shared" si="130"/>
        <v>365</v>
      </c>
      <c r="AP39" s="220">
        <f t="shared" si="130"/>
        <v>372</v>
      </c>
      <c r="AQ39" s="345">
        <f t="shared" si="130"/>
        <v>363</v>
      </c>
      <c r="AR39" s="309">
        <f t="shared" ref="AR39:AW39" si="131">AR34-AR37-AR36-AR38</f>
        <v>374</v>
      </c>
      <c r="AS39" s="220">
        <f t="shared" si="131"/>
        <v>386</v>
      </c>
      <c r="AT39" s="220">
        <f t="shared" si="131"/>
        <v>386</v>
      </c>
      <c r="AU39" s="345">
        <f t="shared" si="131"/>
        <v>394</v>
      </c>
      <c r="AV39" s="309">
        <f t="shared" si="131"/>
        <v>417</v>
      </c>
      <c r="AW39" s="220">
        <f t="shared" si="131"/>
        <v>437</v>
      </c>
      <c r="AX39" s="220">
        <f t="shared" ref="AX39:AZ39" si="132">AX34-AX37-AX36-AX38</f>
        <v>454</v>
      </c>
      <c r="AY39" s="738">
        <f t="shared" si="132"/>
        <v>466</v>
      </c>
      <c r="AZ39" s="747">
        <f t="shared" si="132"/>
        <v>488</v>
      </c>
      <c r="BA39" s="220">
        <f t="shared" ref="BA39:BG39" si="133">BA34-BA37-BA36-BA38</f>
        <v>512.40262500000006</v>
      </c>
      <c r="BB39" s="220">
        <f t="shared" si="133"/>
        <v>527</v>
      </c>
      <c r="BC39" s="226">
        <f t="shared" si="133"/>
        <v>527</v>
      </c>
      <c r="BD39" s="735">
        <f t="shared" si="133"/>
        <v>530</v>
      </c>
      <c r="BE39" s="735">
        <f t="shared" si="133"/>
        <v>535</v>
      </c>
      <c r="BF39" s="735">
        <f t="shared" si="133"/>
        <v>535</v>
      </c>
      <c r="BG39" s="738">
        <f t="shared" si="133"/>
        <v>535</v>
      </c>
      <c r="BH39" s="735">
        <f t="shared" ref="BH39:BK39" si="134">BH34-BH37-BH36-BH38</f>
        <v>556.5</v>
      </c>
      <c r="BI39" s="735">
        <f t="shared" si="134"/>
        <v>561.75</v>
      </c>
      <c r="BJ39" s="735">
        <f t="shared" si="134"/>
        <v>561.75</v>
      </c>
      <c r="BK39" s="738">
        <f t="shared" si="134"/>
        <v>561.75</v>
      </c>
      <c r="BL39" s="215"/>
      <c r="BM39" s="309">
        <f t="shared" ref="BM39:BX39" si="135">BM34-BM37-BM36-BM38</f>
        <v>1152.326</v>
      </c>
      <c r="BN39" s="220">
        <f t="shared" si="135"/>
        <v>1142.0729999999999</v>
      </c>
      <c r="BO39" s="220">
        <f t="shared" si="135"/>
        <v>1104.1220000000001</v>
      </c>
      <c r="BP39" s="220">
        <f t="shared" si="135"/>
        <v>934.11500000000001</v>
      </c>
      <c r="BQ39" s="220">
        <f t="shared" si="135"/>
        <v>1143.521</v>
      </c>
      <c r="BR39" s="220">
        <f t="shared" si="135"/>
        <v>1118</v>
      </c>
      <c r="BS39" s="220">
        <f t="shared" si="135"/>
        <v>1237</v>
      </c>
      <c r="BT39" s="735">
        <f t="shared" si="135"/>
        <v>1320</v>
      </c>
      <c r="BU39" s="735">
        <f t="shared" si="135"/>
        <v>1428</v>
      </c>
      <c r="BV39" s="700">
        <f t="shared" si="135"/>
        <v>1451</v>
      </c>
      <c r="BW39" s="700">
        <f t="shared" si="135"/>
        <v>1540</v>
      </c>
      <c r="BX39" s="700">
        <f t="shared" si="135"/>
        <v>1774</v>
      </c>
      <c r="BY39" s="735">
        <f>BY34-BY37-BY36-BY38</f>
        <v>2054.4026250000002</v>
      </c>
      <c r="BZ39" s="738">
        <f>BZ34-BZ37-BZ36-BZ38</f>
        <v>2135</v>
      </c>
      <c r="CA39" s="738">
        <f>CA34-CA37-CA36-CA38</f>
        <v>2241.75</v>
      </c>
      <c r="CB39" s="184"/>
      <c r="CC39" s="184"/>
      <c r="CD39" s="184"/>
    </row>
    <row r="40" spans="1:82" ht="14.25" customHeight="1">
      <c r="A40" s="203"/>
      <c r="B40" s="262" t="s">
        <v>318</v>
      </c>
      <c r="C40" s="261"/>
      <c r="D40" s="275">
        <f t="shared" ref="D40:AQ40" si="136">D39/D11</f>
        <v>0.14689824245582453</v>
      </c>
      <c r="E40" s="275">
        <f t="shared" si="136"/>
        <v>0.12274089886220761</v>
      </c>
      <c r="F40" s="275">
        <f t="shared" si="136"/>
        <v>0.11965119721574259</v>
      </c>
      <c r="G40" s="277">
        <f t="shared" si="136"/>
        <v>0.11882652256905769</v>
      </c>
      <c r="H40" s="275">
        <f t="shared" si="136"/>
        <v>0.12627724373119184</v>
      </c>
      <c r="I40" s="275">
        <f t="shared" si="136"/>
        <v>0.11505711860674638</v>
      </c>
      <c r="J40" s="275">
        <f t="shared" si="136"/>
        <v>0.11424671142029783</v>
      </c>
      <c r="K40" s="277">
        <f t="shared" si="136"/>
        <v>0.11443724746984002</v>
      </c>
      <c r="L40" s="275">
        <f t="shared" si="136"/>
        <v>0.1308898115691457</v>
      </c>
      <c r="M40" s="275">
        <f t="shared" si="136"/>
        <v>0.13354524050720049</v>
      </c>
      <c r="N40" s="275">
        <f t="shared" si="136"/>
        <v>0.14531092411512375</v>
      </c>
      <c r="O40" s="277">
        <f t="shared" si="136"/>
        <v>0.13467000900827283</v>
      </c>
      <c r="P40" s="275">
        <f t="shared" si="136"/>
        <v>0.17214690909527253</v>
      </c>
      <c r="Q40" s="275">
        <f t="shared" si="136"/>
        <v>0.23168349056002635</v>
      </c>
      <c r="R40" s="275">
        <f t="shared" si="136"/>
        <v>0.20644239419972832</v>
      </c>
      <c r="S40" s="277">
        <f t="shared" si="136"/>
        <v>0.15342565549916992</v>
      </c>
      <c r="T40" s="337">
        <f t="shared" si="136"/>
        <v>0.14549337931377648</v>
      </c>
      <c r="U40" s="275">
        <f t="shared" si="136"/>
        <v>0.13327060299537363</v>
      </c>
      <c r="V40" s="275">
        <f t="shared" si="136"/>
        <v>0.11533845157856693</v>
      </c>
      <c r="W40" s="277">
        <f t="shared" si="136"/>
        <v>9.6379097398694241E-2</v>
      </c>
      <c r="X40" s="337">
        <f t="shared" si="136"/>
        <v>0.10052122114668652</v>
      </c>
      <c r="Y40" s="275">
        <f t="shared" si="136"/>
        <v>0.10377358490566038</v>
      </c>
      <c r="Z40" s="275">
        <f t="shared" si="136"/>
        <v>0.10118406889128095</v>
      </c>
      <c r="AA40" s="277">
        <f t="shared" si="136"/>
        <v>0.1232813932172319</v>
      </c>
      <c r="AB40" s="337">
        <f t="shared" si="136"/>
        <v>0.13887619917770672</v>
      </c>
      <c r="AC40" s="275">
        <f t="shared" si="136"/>
        <v>0.12632821723730814</v>
      </c>
      <c r="AD40" s="275">
        <f t="shared" si="136"/>
        <v>0.13188220230473752</v>
      </c>
      <c r="AE40" s="277">
        <f t="shared" si="136"/>
        <v>0.18408262454434993</v>
      </c>
      <c r="AF40" s="337">
        <f t="shared" si="136"/>
        <v>0.19326128417037508</v>
      </c>
      <c r="AG40" s="275">
        <f t="shared" si="136"/>
        <v>0.17435377597567156</v>
      </c>
      <c r="AH40" s="275">
        <f t="shared" si="136"/>
        <v>0.16911392405063291</v>
      </c>
      <c r="AI40" s="277">
        <f t="shared" si="136"/>
        <v>0.17002012072434608</v>
      </c>
      <c r="AJ40" s="337">
        <f t="shared" si="136"/>
        <v>0.16255707762557078</v>
      </c>
      <c r="AK40" s="275">
        <f t="shared" si="136"/>
        <v>0.15087122821929452</v>
      </c>
      <c r="AL40" s="275">
        <f t="shared" si="136"/>
        <v>0.15761589403973511</v>
      </c>
      <c r="AM40" s="338">
        <f t="shared" si="136"/>
        <v>0.15901060070671377</v>
      </c>
      <c r="AN40" s="337">
        <f t="shared" si="136"/>
        <v>0.14879186095803307</v>
      </c>
      <c r="AO40" s="275">
        <f t="shared" si="136"/>
        <v>0.14946764946764945</v>
      </c>
      <c r="AP40" s="275">
        <f t="shared" si="136"/>
        <v>0.14939759036144579</v>
      </c>
      <c r="AQ40" s="338">
        <f t="shared" si="136"/>
        <v>0.15329391891891891</v>
      </c>
      <c r="AR40" s="337">
        <f t="shared" ref="AR40:AW40" si="137">AR39/AR11</f>
        <v>0.16570669029685423</v>
      </c>
      <c r="AS40" s="275">
        <f t="shared" si="137"/>
        <v>0.15755102040816327</v>
      </c>
      <c r="AT40" s="275">
        <f t="shared" si="137"/>
        <v>0.13683091102445941</v>
      </c>
      <c r="AU40" s="338">
        <f t="shared" si="137"/>
        <v>0.11950257810130421</v>
      </c>
      <c r="AV40" s="337">
        <f t="shared" si="137"/>
        <v>0.1272117144600366</v>
      </c>
      <c r="AW40" s="275">
        <f t="shared" si="137"/>
        <v>0.12323745064861816</v>
      </c>
      <c r="AX40" s="275">
        <f t="shared" ref="AX40:AZ40" si="138">AX39/AX11</f>
        <v>0.12126068376068376</v>
      </c>
      <c r="AY40" s="705">
        <f t="shared" si="138"/>
        <v>0.11740992693373646</v>
      </c>
      <c r="AZ40" s="713">
        <f t="shared" si="138"/>
        <v>0.11607992388201713</v>
      </c>
      <c r="BA40" s="275">
        <f t="shared" ref="BA40:BG40" si="139">BA39/BA11</f>
        <v>0.11489430294001446</v>
      </c>
      <c r="BB40" s="275">
        <f t="shared" si="139"/>
        <v>0.12134881883187221</v>
      </c>
      <c r="BC40" s="277">
        <f t="shared" si="139"/>
        <v>0.12057426219821195</v>
      </c>
      <c r="BD40" s="704">
        <f t="shared" si="139"/>
        <v>0.12503800197679854</v>
      </c>
      <c r="BE40" s="704">
        <f t="shared" si="139"/>
        <v>0.12509179489649661</v>
      </c>
      <c r="BF40" s="704">
        <f t="shared" si="139"/>
        <v>0.12438417846658628</v>
      </c>
      <c r="BG40" s="705">
        <f t="shared" si="139"/>
        <v>0.12271477311557422</v>
      </c>
      <c r="BH40" s="704">
        <f t="shared" ref="BH40:BK40" si="140">BH39/BH11</f>
        <v>0.12860924521588782</v>
      </c>
      <c r="BI40" s="704">
        <f t="shared" si="140"/>
        <v>0.12869084081676258</v>
      </c>
      <c r="BJ40" s="704">
        <f t="shared" si="140"/>
        <v>0.12737425003303712</v>
      </c>
      <c r="BK40" s="705">
        <f t="shared" si="140"/>
        <v>0.12724368892128965</v>
      </c>
      <c r="BL40" s="215"/>
      <c r="BM40" s="337">
        <f t="shared" ref="BM40:BX40" si="141">BM39/BM11</f>
        <v>0.12570352788814329</v>
      </c>
      <c r="BN40" s="275">
        <f t="shared" si="141"/>
        <v>0.11731791410165696</v>
      </c>
      <c r="BO40" s="275">
        <f t="shared" si="141"/>
        <v>0.13582106076336781</v>
      </c>
      <c r="BP40" s="275">
        <f t="shared" si="141"/>
        <v>0.18631595974714413</v>
      </c>
      <c r="BQ40" s="275">
        <f t="shared" si="141"/>
        <v>0.1197571346869673</v>
      </c>
      <c r="BR40" s="275">
        <f t="shared" si="141"/>
        <v>0.10630407911001236</v>
      </c>
      <c r="BS40" s="275">
        <f t="shared" si="141"/>
        <v>0.14187406812707878</v>
      </c>
      <c r="BT40" s="704">
        <f t="shared" si="141"/>
        <v>0.17578905313623652</v>
      </c>
      <c r="BU40" s="704">
        <f t="shared" si="141"/>
        <v>0.15740740740740741</v>
      </c>
      <c r="BV40" s="704">
        <f t="shared" si="141"/>
        <v>0.15022259033026192</v>
      </c>
      <c r="BW40" s="704">
        <f t="shared" si="141"/>
        <v>0.14226327944572748</v>
      </c>
      <c r="BX40" s="704">
        <f t="shared" si="141"/>
        <v>0.12203343193231066</v>
      </c>
      <c r="BY40" s="704">
        <f>BY39/BY11</f>
        <v>0.118222828574849</v>
      </c>
      <c r="BZ40" s="705">
        <f>BZ39/BZ11</f>
        <v>0.12429799268461851</v>
      </c>
      <c r="CA40" s="705">
        <f>CA39/CA11</f>
        <v>0.12797449395617747</v>
      </c>
      <c r="CB40" s="184"/>
      <c r="CC40" s="184"/>
      <c r="CD40" s="184"/>
    </row>
    <row r="41" spans="1:82" ht="14.25" hidden="1" customHeight="1" outlineLevel="1">
      <c r="A41" s="203"/>
      <c r="B41" s="217" t="s">
        <v>92</v>
      </c>
      <c r="C41" s="216"/>
      <c r="D41" s="220">
        <f t="shared" ref="D41:AQ41" si="142">D34-D37-D38</f>
        <v>272.87700000000001</v>
      </c>
      <c r="E41" s="220">
        <f t="shared" si="142"/>
        <v>275.88299999999998</v>
      </c>
      <c r="F41" s="220">
        <f t="shared" si="142"/>
        <v>304.32600000000002</v>
      </c>
      <c r="G41" s="226">
        <f t="shared" si="142"/>
        <v>299.24</v>
      </c>
      <c r="H41" s="220">
        <f t="shared" si="142"/>
        <v>287.56700000000001</v>
      </c>
      <c r="I41" s="220">
        <f t="shared" si="142"/>
        <v>291.04399999999998</v>
      </c>
      <c r="J41" s="220">
        <f t="shared" si="142"/>
        <v>292.584</v>
      </c>
      <c r="K41" s="226">
        <f t="shared" si="142"/>
        <v>270.87799999999999</v>
      </c>
      <c r="L41" s="220">
        <f t="shared" si="142"/>
        <v>273.21899999999999</v>
      </c>
      <c r="M41" s="220">
        <f t="shared" si="142"/>
        <v>287.12200000000001</v>
      </c>
      <c r="N41" s="220">
        <f t="shared" si="142"/>
        <v>268.55900000000003</v>
      </c>
      <c r="O41" s="226">
        <f t="shared" si="142"/>
        <v>275.22199999999998</v>
      </c>
      <c r="P41" s="220">
        <f t="shared" si="142"/>
        <v>229.54</v>
      </c>
      <c r="Q41" s="220">
        <f t="shared" si="142"/>
        <v>236.33500000000001</v>
      </c>
      <c r="R41" s="220">
        <f t="shared" si="142"/>
        <v>234.05199999999999</v>
      </c>
      <c r="S41" s="226">
        <f t="shared" si="142"/>
        <v>234.18799999999999</v>
      </c>
      <c r="T41" s="309">
        <f t="shared" si="142"/>
        <v>269.00299999999999</v>
      </c>
      <c r="U41" s="220">
        <f t="shared" si="142"/>
        <v>305.928</v>
      </c>
      <c r="V41" s="220">
        <f t="shared" si="142"/>
        <v>290.39800000000002</v>
      </c>
      <c r="W41" s="226">
        <f t="shared" si="142"/>
        <v>278.19199999999995</v>
      </c>
      <c r="X41" s="309">
        <f t="shared" si="142"/>
        <v>270</v>
      </c>
      <c r="Y41" s="220">
        <f t="shared" si="142"/>
        <v>297</v>
      </c>
      <c r="Z41" s="220">
        <f t="shared" si="142"/>
        <v>282</v>
      </c>
      <c r="AA41" s="226">
        <f t="shared" si="142"/>
        <v>269</v>
      </c>
      <c r="AB41" s="309">
        <f t="shared" si="142"/>
        <v>304</v>
      </c>
      <c r="AC41" s="220">
        <f t="shared" si="142"/>
        <v>321</v>
      </c>
      <c r="AD41" s="220">
        <f t="shared" si="142"/>
        <v>309</v>
      </c>
      <c r="AE41" s="226">
        <f t="shared" si="142"/>
        <v>303</v>
      </c>
      <c r="AF41" s="309">
        <f t="shared" si="142"/>
        <v>304</v>
      </c>
      <c r="AG41" s="220">
        <f t="shared" si="142"/>
        <v>344</v>
      </c>
      <c r="AH41" s="220">
        <f t="shared" si="142"/>
        <v>334</v>
      </c>
      <c r="AI41" s="226">
        <f t="shared" si="142"/>
        <v>338</v>
      </c>
      <c r="AJ41" s="309">
        <f t="shared" si="142"/>
        <v>356</v>
      </c>
      <c r="AK41" s="220">
        <f t="shared" si="142"/>
        <v>355</v>
      </c>
      <c r="AL41" s="220">
        <f t="shared" si="142"/>
        <v>357</v>
      </c>
      <c r="AM41" s="345">
        <f t="shared" si="142"/>
        <v>360</v>
      </c>
      <c r="AN41" s="309">
        <f t="shared" si="142"/>
        <v>351</v>
      </c>
      <c r="AO41" s="220">
        <f t="shared" si="142"/>
        <v>365</v>
      </c>
      <c r="AP41" s="220">
        <f t="shared" si="142"/>
        <v>372</v>
      </c>
      <c r="AQ41" s="345">
        <f t="shared" si="142"/>
        <v>363</v>
      </c>
      <c r="AR41" s="309">
        <f t="shared" ref="AR41:AW41" si="143">AR34-AR37-AR38</f>
        <v>374</v>
      </c>
      <c r="AS41" s="220">
        <f t="shared" si="143"/>
        <v>386</v>
      </c>
      <c r="AT41" s="220">
        <f t="shared" si="143"/>
        <v>386</v>
      </c>
      <c r="AU41" s="345">
        <f t="shared" si="143"/>
        <v>394</v>
      </c>
      <c r="AV41" s="309">
        <f t="shared" si="143"/>
        <v>417</v>
      </c>
      <c r="AW41" s="220">
        <f t="shared" si="143"/>
        <v>437</v>
      </c>
      <c r="AX41" s="220">
        <f t="shared" ref="AX41:AZ41" si="144">AX34-AX37-AX38</f>
        <v>454</v>
      </c>
      <c r="AY41" s="738">
        <f t="shared" si="144"/>
        <v>466</v>
      </c>
      <c r="AZ41" s="747">
        <f t="shared" si="144"/>
        <v>488</v>
      </c>
      <c r="BA41" s="220">
        <f t="shared" ref="BA41:BG41" si="145">BA34-BA37-BA38</f>
        <v>512.40262500000006</v>
      </c>
      <c r="BB41" s="220">
        <f t="shared" si="145"/>
        <v>527</v>
      </c>
      <c r="BC41" s="226">
        <f t="shared" si="145"/>
        <v>527</v>
      </c>
      <c r="BD41" s="735">
        <f t="shared" si="145"/>
        <v>530</v>
      </c>
      <c r="BE41" s="735">
        <f t="shared" si="145"/>
        <v>535</v>
      </c>
      <c r="BF41" s="735">
        <f t="shared" si="145"/>
        <v>535</v>
      </c>
      <c r="BG41" s="738">
        <f t="shared" si="145"/>
        <v>535</v>
      </c>
      <c r="BH41" s="735">
        <f t="shared" ref="BH41:BK41" si="146">BH34-BH37-BH38</f>
        <v>556.5</v>
      </c>
      <c r="BI41" s="735">
        <f t="shared" si="146"/>
        <v>561.75</v>
      </c>
      <c r="BJ41" s="735">
        <f t="shared" si="146"/>
        <v>561.75</v>
      </c>
      <c r="BK41" s="738">
        <f t="shared" si="146"/>
        <v>561.75</v>
      </c>
      <c r="BL41" s="215"/>
      <c r="BM41" s="309">
        <f t="shared" ref="BM41:BX41" si="147">BM34-BM37-BM38</f>
        <v>1152.326</v>
      </c>
      <c r="BN41" s="220">
        <f t="shared" si="147"/>
        <v>1142.0729999999999</v>
      </c>
      <c r="BO41" s="220">
        <f t="shared" si="147"/>
        <v>1104.1220000000001</v>
      </c>
      <c r="BP41" s="220">
        <f t="shared" si="147"/>
        <v>934.11500000000001</v>
      </c>
      <c r="BQ41" s="220">
        <f t="shared" si="147"/>
        <v>1143.521</v>
      </c>
      <c r="BR41" s="220">
        <f t="shared" si="147"/>
        <v>1118</v>
      </c>
      <c r="BS41" s="220">
        <f t="shared" si="147"/>
        <v>1237</v>
      </c>
      <c r="BT41" s="735">
        <f t="shared" si="147"/>
        <v>1320</v>
      </c>
      <c r="BU41" s="735">
        <f t="shared" si="147"/>
        <v>1428</v>
      </c>
      <c r="BV41" s="700">
        <f t="shared" si="147"/>
        <v>1451</v>
      </c>
      <c r="BW41" s="700">
        <f t="shared" si="147"/>
        <v>1540</v>
      </c>
      <c r="BX41" s="700">
        <f t="shared" si="147"/>
        <v>1774</v>
      </c>
      <c r="BY41" s="735">
        <f>BY34-BY37-BY38</f>
        <v>2054.4026250000002</v>
      </c>
      <c r="BZ41" s="738">
        <f>BZ34-BZ37-BZ38</f>
        <v>2135</v>
      </c>
      <c r="CA41" s="738">
        <f>CA34-CA37-CA38</f>
        <v>2241.75</v>
      </c>
      <c r="CB41" s="184"/>
      <c r="CC41" s="184"/>
      <c r="CD41" s="184"/>
    </row>
    <row r="42" spans="1:82" ht="14.25" hidden="1" customHeight="1" outlineLevel="1">
      <c r="A42" s="203"/>
      <c r="B42" s="262" t="s">
        <v>318</v>
      </c>
      <c r="C42" s="261"/>
      <c r="D42" s="275">
        <f t="shared" ref="D42:AQ42" si="148">D41/D11</f>
        <v>0.14689824245582453</v>
      </c>
      <c r="E42" s="275">
        <f t="shared" si="148"/>
        <v>0.12274089886220761</v>
      </c>
      <c r="F42" s="275">
        <f t="shared" si="148"/>
        <v>0.11965119721574259</v>
      </c>
      <c r="G42" s="277">
        <f t="shared" si="148"/>
        <v>0.11882652256905769</v>
      </c>
      <c r="H42" s="275">
        <f t="shared" si="148"/>
        <v>0.12627724373119184</v>
      </c>
      <c r="I42" s="275">
        <f t="shared" si="148"/>
        <v>0.11505711860674638</v>
      </c>
      <c r="J42" s="275">
        <f t="shared" si="148"/>
        <v>0.11424671142029783</v>
      </c>
      <c r="K42" s="277">
        <f t="shared" si="148"/>
        <v>0.11443724746984002</v>
      </c>
      <c r="L42" s="275">
        <f t="shared" si="148"/>
        <v>0.1308898115691457</v>
      </c>
      <c r="M42" s="275">
        <f t="shared" si="148"/>
        <v>0.13354524050720049</v>
      </c>
      <c r="N42" s="275">
        <f t="shared" si="148"/>
        <v>0.14531092411512375</v>
      </c>
      <c r="O42" s="277">
        <f t="shared" si="148"/>
        <v>0.13467000900827283</v>
      </c>
      <c r="P42" s="275">
        <f t="shared" si="148"/>
        <v>0.17214690909527253</v>
      </c>
      <c r="Q42" s="275">
        <f t="shared" si="148"/>
        <v>0.23168349056002635</v>
      </c>
      <c r="R42" s="275">
        <f t="shared" si="148"/>
        <v>0.20644239419972832</v>
      </c>
      <c r="S42" s="277">
        <f t="shared" si="148"/>
        <v>0.15342565549916992</v>
      </c>
      <c r="T42" s="337">
        <f t="shared" si="148"/>
        <v>0.14549337931377648</v>
      </c>
      <c r="U42" s="275">
        <f t="shared" si="148"/>
        <v>0.13327060299537363</v>
      </c>
      <c r="V42" s="275">
        <f t="shared" si="148"/>
        <v>0.11533845157856693</v>
      </c>
      <c r="W42" s="277">
        <f t="shared" si="148"/>
        <v>9.6379097398694241E-2</v>
      </c>
      <c r="X42" s="337">
        <f t="shared" si="148"/>
        <v>0.10052122114668652</v>
      </c>
      <c r="Y42" s="275">
        <f t="shared" si="148"/>
        <v>0.10377358490566038</v>
      </c>
      <c r="Z42" s="275">
        <f t="shared" si="148"/>
        <v>0.10118406889128095</v>
      </c>
      <c r="AA42" s="277">
        <f t="shared" si="148"/>
        <v>0.1232813932172319</v>
      </c>
      <c r="AB42" s="337">
        <f t="shared" si="148"/>
        <v>0.13887619917770672</v>
      </c>
      <c r="AC42" s="275">
        <f t="shared" si="148"/>
        <v>0.12632821723730814</v>
      </c>
      <c r="AD42" s="275">
        <f t="shared" si="148"/>
        <v>0.13188220230473752</v>
      </c>
      <c r="AE42" s="277">
        <f t="shared" si="148"/>
        <v>0.18408262454434993</v>
      </c>
      <c r="AF42" s="337">
        <f t="shared" si="148"/>
        <v>0.19326128417037508</v>
      </c>
      <c r="AG42" s="275">
        <f t="shared" si="148"/>
        <v>0.17435377597567156</v>
      </c>
      <c r="AH42" s="275">
        <f t="shared" si="148"/>
        <v>0.16911392405063291</v>
      </c>
      <c r="AI42" s="277">
        <f t="shared" si="148"/>
        <v>0.17002012072434608</v>
      </c>
      <c r="AJ42" s="337">
        <f t="shared" si="148"/>
        <v>0.16255707762557078</v>
      </c>
      <c r="AK42" s="275">
        <f t="shared" si="148"/>
        <v>0.15087122821929452</v>
      </c>
      <c r="AL42" s="275">
        <f t="shared" si="148"/>
        <v>0.15761589403973511</v>
      </c>
      <c r="AM42" s="338">
        <f t="shared" si="148"/>
        <v>0.15901060070671377</v>
      </c>
      <c r="AN42" s="337">
        <f t="shared" si="148"/>
        <v>0.14879186095803307</v>
      </c>
      <c r="AO42" s="275">
        <f t="shared" si="148"/>
        <v>0.14946764946764945</v>
      </c>
      <c r="AP42" s="275">
        <f t="shared" si="148"/>
        <v>0.14939759036144579</v>
      </c>
      <c r="AQ42" s="338">
        <f t="shared" si="148"/>
        <v>0.15329391891891891</v>
      </c>
      <c r="AR42" s="337">
        <f t="shared" ref="AR42:AW42" si="149">AR41/AR11</f>
        <v>0.16570669029685423</v>
      </c>
      <c r="AS42" s="275">
        <f t="shared" si="149"/>
        <v>0.15755102040816327</v>
      </c>
      <c r="AT42" s="275">
        <f t="shared" si="149"/>
        <v>0.13683091102445941</v>
      </c>
      <c r="AU42" s="338">
        <f t="shared" si="149"/>
        <v>0.11950257810130421</v>
      </c>
      <c r="AV42" s="337">
        <f t="shared" si="149"/>
        <v>0.1272117144600366</v>
      </c>
      <c r="AW42" s="275">
        <f t="shared" si="149"/>
        <v>0.12323745064861816</v>
      </c>
      <c r="AX42" s="275">
        <f t="shared" ref="AX42:AZ42" si="150">AX41/AX11</f>
        <v>0.12126068376068376</v>
      </c>
      <c r="AY42" s="705">
        <f t="shared" si="150"/>
        <v>0.11740992693373646</v>
      </c>
      <c r="AZ42" s="713">
        <f t="shared" si="150"/>
        <v>0.11607992388201713</v>
      </c>
      <c r="BA42" s="275">
        <f t="shared" ref="BA42:BG42" si="151">BA41/BA11</f>
        <v>0.11489430294001446</v>
      </c>
      <c r="BB42" s="275">
        <f t="shared" si="151"/>
        <v>0.12134881883187221</v>
      </c>
      <c r="BC42" s="277">
        <f t="shared" si="151"/>
        <v>0.12057426219821195</v>
      </c>
      <c r="BD42" s="704">
        <f t="shared" si="151"/>
        <v>0.12503800197679854</v>
      </c>
      <c r="BE42" s="704">
        <f t="shared" si="151"/>
        <v>0.12509179489649661</v>
      </c>
      <c r="BF42" s="704">
        <f t="shared" si="151"/>
        <v>0.12438417846658628</v>
      </c>
      <c r="BG42" s="705">
        <f t="shared" si="151"/>
        <v>0.12271477311557422</v>
      </c>
      <c r="BH42" s="704">
        <f t="shared" ref="BH42:BK42" si="152">BH41/BH11</f>
        <v>0.12860924521588782</v>
      </c>
      <c r="BI42" s="704">
        <f t="shared" si="152"/>
        <v>0.12869084081676258</v>
      </c>
      <c r="BJ42" s="704">
        <f t="shared" si="152"/>
        <v>0.12737425003303712</v>
      </c>
      <c r="BK42" s="705">
        <f t="shared" si="152"/>
        <v>0.12724368892128965</v>
      </c>
      <c r="BL42" s="215"/>
      <c r="BM42" s="337">
        <f t="shared" ref="BM42:BX42" si="153">BM41/BM11</f>
        <v>0.12570352788814329</v>
      </c>
      <c r="BN42" s="275">
        <f t="shared" si="153"/>
        <v>0.11731791410165696</v>
      </c>
      <c r="BO42" s="275">
        <f t="shared" si="153"/>
        <v>0.13582106076336781</v>
      </c>
      <c r="BP42" s="275">
        <f t="shared" si="153"/>
        <v>0.18631595974714413</v>
      </c>
      <c r="BQ42" s="275">
        <f t="shared" si="153"/>
        <v>0.1197571346869673</v>
      </c>
      <c r="BR42" s="275">
        <f t="shared" si="153"/>
        <v>0.10630407911001236</v>
      </c>
      <c r="BS42" s="275">
        <f t="shared" si="153"/>
        <v>0.14187406812707878</v>
      </c>
      <c r="BT42" s="704">
        <f t="shared" si="153"/>
        <v>0.17578905313623652</v>
      </c>
      <c r="BU42" s="704">
        <f t="shared" si="153"/>
        <v>0.15740740740740741</v>
      </c>
      <c r="BV42" s="704">
        <f t="shared" si="153"/>
        <v>0.15022259033026192</v>
      </c>
      <c r="BW42" s="704">
        <f t="shared" si="153"/>
        <v>0.14226327944572748</v>
      </c>
      <c r="BX42" s="704">
        <f t="shared" si="153"/>
        <v>0.12203343193231066</v>
      </c>
      <c r="BY42" s="704">
        <f>BY41/BY11</f>
        <v>0.118222828574849</v>
      </c>
      <c r="BZ42" s="705">
        <f>BZ41/BZ11</f>
        <v>0.12429799268461851</v>
      </c>
      <c r="CA42" s="705">
        <f>CA41/CA11</f>
        <v>0.12797449395617747</v>
      </c>
      <c r="CB42" s="184"/>
      <c r="CC42" s="184"/>
      <c r="CD42" s="184"/>
    </row>
    <row r="43" spans="1:82" ht="14.25" customHeight="1" collapsed="1">
      <c r="A43" s="203"/>
      <c r="B43" s="377"/>
      <c r="C43" s="376"/>
      <c r="D43" s="353"/>
      <c r="E43" s="353"/>
      <c r="F43" s="353"/>
      <c r="G43" s="354"/>
      <c r="H43" s="353"/>
      <c r="I43" s="353"/>
      <c r="J43" s="353"/>
      <c r="K43" s="354"/>
      <c r="L43" s="353"/>
      <c r="M43" s="353"/>
      <c r="N43" s="353"/>
      <c r="O43" s="354"/>
      <c r="P43" s="353"/>
      <c r="Q43" s="353"/>
      <c r="R43" s="353"/>
      <c r="S43" s="354"/>
      <c r="T43" s="355"/>
      <c r="U43" s="353"/>
      <c r="V43" s="353"/>
      <c r="W43" s="354"/>
      <c r="X43" s="355"/>
      <c r="Y43" s="353"/>
      <c r="Z43" s="353"/>
      <c r="AA43" s="354"/>
      <c r="AB43" s="355"/>
      <c r="AC43" s="353"/>
      <c r="AD43" s="353"/>
      <c r="AE43" s="354"/>
      <c r="AF43" s="355"/>
      <c r="AG43" s="353"/>
      <c r="AH43" s="353"/>
      <c r="AI43" s="354"/>
      <c r="AJ43" s="355"/>
      <c r="AK43" s="353"/>
      <c r="AL43" s="353"/>
      <c r="AM43" s="358"/>
      <c r="AN43" s="355"/>
      <c r="AO43" s="353"/>
      <c r="AP43" s="353"/>
      <c r="AQ43" s="358"/>
      <c r="AR43" s="355"/>
      <c r="AS43" s="353"/>
      <c r="AT43" s="353"/>
      <c r="AU43" s="358"/>
      <c r="AV43" s="355"/>
      <c r="AW43" s="353"/>
      <c r="AX43" s="353"/>
      <c r="AY43" s="715"/>
      <c r="AZ43" s="355"/>
      <c r="BA43" s="353"/>
      <c r="BB43" s="353"/>
      <c r="BC43" s="354"/>
      <c r="BD43" s="714"/>
      <c r="BE43" s="714"/>
      <c r="BF43" s="714"/>
      <c r="BG43" s="715"/>
      <c r="BH43" s="714"/>
      <c r="BI43" s="714"/>
      <c r="BJ43" s="714"/>
      <c r="BK43" s="715"/>
      <c r="BL43" s="215"/>
      <c r="BM43" s="257"/>
      <c r="BN43" s="255"/>
      <c r="BO43" s="255"/>
      <c r="BP43" s="255"/>
      <c r="BQ43" s="255"/>
      <c r="BR43" s="255"/>
      <c r="BS43" s="255"/>
      <c r="BT43" s="741"/>
      <c r="BU43" s="741"/>
      <c r="BV43" s="702"/>
      <c r="BW43" s="702"/>
      <c r="BX43" s="702"/>
      <c r="BY43" s="741"/>
      <c r="BZ43" s="742"/>
      <c r="CA43" s="742"/>
      <c r="CB43" s="184"/>
      <c r="CC43" s="184"/>
      <c r="CD43" s="184"/>
    </row>
    <row r="44" spans="1:82" ht="14.25" hidden="1" customHeight="1" outlineLevel="1">
      <c r="A44" s="203"/>
      <c r="B44" s="217" t="s">
        <v>362</v>
      </c>
      <c r="C44" s="216"/>
      <c r="D44" s="305">
        <v>206.036</v>
      </c>
      <c r="E44" s="305">
        <v>209.24900000000002</v>
      </c>
      <c r="F44" s="305">
        <v>240.893</v>
      </c>
      <c r="G44" s="366">
        <v>250.56400000000002</v>
      </c>
      <c r="H44" s="305">
        <v>228.72300000000001</v>
      </c>
      <c r="I44" s="305">
        <v>231.49799999999999</v>
      </c>
      <c r="J44" s="305">
        <v>250.328</v>
      </c>
      <c r="K44" s="366">
        <v>241.89400000000001</v>
      </c>
      <c r="L44" s="305">
        <v>239.893</v>
      </c>
      <c r="M44" s="305">
        <v>241.44499999999999</v>
      </c>
      <c r="N44" s="305">
        <v>245.28500000000003</v>
      </c>
      <c r="O44" s="366">
        <v>238.541</v>
      </c>
      <c r="P44" s="305">
        <v>225.35599999999999</v>
      </c>
      <c r="Q44" s="305">
        <v>185.75799999999998</v>
      </c>
      <c r="R44" s="305">
        <v>168.005</v>
      </c>
      <c r="S44" s="366">
        <v>155.399</v>
      </c>
      <c r="T44" s="330">
        <v>221.994</v>
      </c>
      <c r="U44" s="305">
        <v>226.19900000000001</v>
      </c>
      <c r="V44" s="305">
        <v>251.74799999999999</v>
      </c>
      <c r="W44" s="366">
        <v>241.90700000000012</v>
      </c>
      <c r="X44" s="330">
        <v>221</v>
      </c>
      <c r="Y44" s="305">
        <v>219</v>
      </c>
      <c r="Z44" s="305">
        <v>240</v>
      </c>
      <c r="AA44" s="366">
        <v>222</v>
      </c>
      <c r="AB44" s="330">
        <v>303</v>
      </c>
      <c r="AC44" s="305">
        <v>281</v>
      </c>
      <c r="AD44" s="305">
        <v>255</v>
      </c>
      <c r="AE44" s="306">
        <v>237</v>
      </c>
      <c r="AF44" s="330">
        <v>230</v>
      </c>
      <c r="AG44" s="305">
        <v>244</v>
      </c>
      <c r="AH44" s="305">
        <v>208</v>
      </c>
      <c r="AI44" s="306">
        <v>216</v>
      </c>
      <c r="AJ44" s="330">
        <v>198</v>
      </c>
      <c r="AK44" s="305">
        <v>259</v>
      </c>
      <c r="AL44" s="305">
        <v>244</v>
      </c>
      <c r="AM44" s="346">
        <v>187</v>
      </c>
      <c r="AN44" s="330">
        <v>150</v>
      </c>
      <c r="AO44" s="305">
        <v>235</v>
      </c>
      <c r="AP44" s="305">
        <v>250</v>
      </c>
      <c r="AQ44" s="346">
        <v>173</v>
      </c>
      <c r="AR44" s="330">
        <v>188</v>
      </c>
      <c r="AS44" s="305">
        <v>193</v>
      </c>
      <c r="AT44" s="305">
        <f>107+103</f>
        <v>210</v>
      </c>
      <c r="AU44" s="346">
        <f>114+114</f>
        <v>228</v>
      </c>
      <c r="AV44" s="330">
        <f>103+118</f>
        <v>221</v>
      </c>
      <c r="AW44" s="305">
        <f>116+107</f>
        <v>223</v>
      </c>
      <c r="AX44" s="305">
        <f>117+106</f>
        <v>223</v>
      </c>
      <c r="AY44" s="306">
        <f>105+118</f>
        <v>223</v>
      </c>
      <c r="AZ44" s="330">
        <f>126+110</f>
        <v>236</v>
      </c>
      <c r="BA44" s="645">
        <v>245.06212500000001</v>
      </c>
      <c r="BB44" s="645">
        <v>247.73270087500001</v>
      </c>
      <c r="BC44" s="646">
        <v>249.56415958374998</v>
      </c>
      <c r="BD44" s="645">
        <f>AZ44*1.03</f>
        <v>243.08</v>
      </c>
      <c r="BE44" s="645">
        <f>BA44*1.03</f>
        <v>252.41398875000002</v>
      </c>
      <c r="BF44" s="645">
        <f t="shared" ref="BF44:BG44" si="154">BB44*1.03</f>
        <v>255.16468190125002</v>
      </c>
      <c r="BG44" s="645">
        <f t="shared" si="154"/>
        <v>257.0510843712625</v>
      </c>
      <c r="BH44" s="645">
        <v>222.09257830734774</v>
      </c>
      <c r="BI44" s="645">
        <v>225.53603071036724</v>
      </c>
      <c r="BJ44" s="645">
        <v>229.32271931328506</v>
      </c>
      <c r="BK44" s="646">
        <v>231.0109025901078</v>
      </c>
      <c r="BL44" s="215"/>
      <c r="BM44" s="309">
        <f>SUM(D44:G44)</f>
        <v>906.74199999999996</v>
      </c>
      <c r="BN44" s="220">
        <f>SUM(H44:K44)</f>
        <v>952.44299999999998</v>
      </c>
      <c r="BO44" s="220">
        <f>SUM(L44:O44)</f>
        <v>965.16399999999999</v>
      </c>
      <c r="BP44" s="220">
        <f>SUM(P44:S44)</f>
        <v>734.51799999999992</v>
      </c>
      <c r="BQ44" s="220">
        <f>SUM(T44:W44)</f>
        <v>941.84800000000018</v>
      </c>
      <c r="BR44" s="220">
        <f>SUM(X44:AA44)</f>
        <v>902</v>
      </c>
      <c r="BS44" s="220">
        <f>SUM(AB44:AE44)</f>
        <v>1076</v>
      </c>
      <c r="BT44" s="735">
        <f>SUM(AF44:AI44)</f>
        <v>898</v>
      </c>
      <c r="BU44" s="735">
        <f>SUM(AJ44:AM44)</f>
        <v>888</v>
      </c>
      <c r="BV44" s="700">
        <f>SUM(AN44:AQ44)</f>
        <v>808</v>
      </c>
      <c r="BW44" s="700">
        <f>SUM(AR44:AU44)</f>
        <v>819</v>
      </c>
      <c r="BX44" s="700">
        <f>SUM(AV44:AY44)</f>
        <v>890</v>
      </c>
      <c r="BY44" s="735">
        <f>SUM(AZ44:BC44)</f>
        <v>978.35898545875</v>
      </c>
      <c r="BZ44" s="738">
        <f>SUM(BD44:BG44)</f>
        <v>1007.7097550225126</v>
      </c>
      <c r="CA44" s="738">
        <f>SUM(BH44:BK44)</f>
        <v>907.96223092110779</v>
      </c>
      <c r="CB44" s="184"/>
      <c r="CC44" s="184"/>
      <c r="CD44" s="184"/>
    </row>
    <row r="45" spans="1:82" ht="14.25" hidden="1" customHeight="1" outlineLevel="1">
      <c r="A45" s="203"/>
      <c r="B45" s="262" t="s">
        <v>318</v>
      </c>
      <c r="C45" s="261"/>
      <c r="D45" s="275">
        <f t="shared" ref="D45:AQ45" si="155">D44/D7</f>
        <v>0.11091563701824728</v>
      </c>
      <c r="E45" s="275">
        <f t="shared" si="155"/>
        <v>9.3095298898511633E-2</v>
      </c>
      <c r="F45" s="275">
        <f t="shared" si="155"/>
        <v>9.4711381383423957E-2</v>
      </c>
      <c r="G45" s="277">
        <f t="shared" si="155"/>
        <v>9.9497556479726551E-2</v>
      </c>
      <c r="H45" s="275">
        <f t="shared" si="155"/>
        <v>0.10043749810628268</v>
      </c>
      <c r="I45" s="275">
        <f t="shared" si="155"/>
        <v>9.1517065609408102E-2</v>
      </c>
      <c r="J45" s="275">
        <f t="shared" si="155"/>
        <v>9.7746803572376875E-2</v>
      </c>
      <c r="K45" s="277">
        <f t="shared" si="155"/>
        <v>0.102192439177303</v>
      </c>
      <c r="L45" s="275">
        <f t="shared" si="155"/>
        <v>0.11492447292010097</v>
      </c>
      <c r="M45" s="275">
        <f t="shared" si="155"/>
        <v>0.11230010446521345</v>
      </c>
      <c r="N45" s="275">
        <f t="shared" si="155"/>
        <v>0.13271791309015199</v>
      </c>
      <c r="O45" s="277">
        <f t="shared" si="155"/>
        <v>0.11672147800263936</v>
      </c>
      <c r="P45" s="275">
        <f t="shared" si="155"/>
        <v>0.16900905657434101</v>
      </c>
      <c r="Q45" s="275">
        <f t="shared" si="155"/>
        <v>0.18210193936340097</v>
      </c>
      <c r="R45" s="275">
        <f t="shared" si="155"/>
        <v>0.14818653306754634</v>
      </c>
      <c r="S45" s="277">
        <f t="shared" si="155"/>
        <v>0.10180792115272989</v>
      </c>
      <c r="T45" s="337">
        <f t="shared" si="155"/>
        <v>0.12006801874842474</v>
      </c>
      <c r="U45" s="275">
        <f t="shared" si="155"/>
        <v>9.8538470251008481E-2</v>
      </c>
      <c r="V45" s="275">
        <f t="shared" si="155"/>
        <v>9.9987687614932139E-2</v>
      </c>
      <c r="W45" s="277">
        <f t="shared" si="155"/>
        <v>8.3808227103676386E-2</v>
      </c>
      <c r="X45" s="337">
        <f t="shared" si="155"/>
        <v>8.2278481012658222E-2</v>
      </c>
      <c r="Y45" s="275">
        <f t="shared" si="155"/>
        <v>7.6519916142557654E-2</v>
      </c>
      <c r="Z45" s="275">
        <f t="shared" si="155"/>
        <v>8.6114101184068897E-2</v>
      </c>
      <c r="AA45" s="277">
        <f t="shared" si="155"/>
        <v>0.10174152153987168</v>
      </c>
      <c r="AB45" s="337">
        <f t="shared" si="155"/>
        <v>0.13841936957514847</v>
      </c>
      <c r="AC45" s="275">
        <f t="shared" si="155"/>
        <v>0.11058638331365604</v>
      </c>
      <c r="AD45" s="275">
        <f t="shared" si="155"/>
        <v>0.1088348271446863</v>
      </c>
      <c r="AE45" s="277">
        <f t="shared" si="155"/>
        <v>0.14398541919805588</v>
      </c>
      <c r="AF45" s="337">
        <f t="shared" si="155"/>
        <v>0.14621741894469167</v>
      </c>
      <c r="AG45" s="275">
        <f t="shared" si="155"/>
        <v>0.12366953877344146</v>
      </c>
      <c r="AH45" s="275">
        <f t="shared" si="155"/>
        <v>0.10531645569620253</v>
      </c>
      <c r="AI45" s="277">
        <f t="shared" si="155"/>
        <v>0.10865191146881288</v>
      </c>
      <c r="AJ45" s="337">
        <f t="shared" si="155"/>
        <v>9.0410958904109592E-2</v>
      </c>
      <c r="AK45" s="275">
        <f t="shared" si="155"/>
        <v>0.11007224819379516</v>
      </c>
      <c r="AL45" s="275">
        <f t="shared" si="155"/>
        <v>0.10772626931567329</v>
      </c>
      <c r="AM45" s="338">
        <f t="shared" si="155"/>
        <v>8.2597173144876329E-2</v>
      </c>
      <c r="AN45" s="337">
        <f t="shared" si="155"/>
        <v>6.35862653666808E-2</v>
      </c>
      <c r="AO45" s="275">
        <f t="shared" si="155"/>
        <v>9.6232596232596238E-2</v>
      </c>
      <c r="AP45" s="275">
        <f t="shared" si="155"/>
        <v>0.10040160642570281</v>
      </c>
      <c r="AQ45" s="338">
        <f t="shared" si="155"/>
        <v>7.3057432432432429E-2</v>
      </c>
      <c r="AR45" s="337">
        <f t="shared" ref="AR45:AW45" si="156">AR44/AR7</f>
        <v>8.3296411165263623E-2</v>
      </c>
      <c r="AS45" s="275">
        <f t="shared" si="156"/>
        <v>7.8775510204081634E-2</v>
      </c>
      <c r="AT45" s="275">
        <f t="shared" si="156"/>
        <v>7.4441687344913146E-2</v>
      </c>
      <c r="AU45" s="338">
        <f t="shared" si="156"/>
        <v>6.9153776160145591E-2</v>
      </c>
      <c r="AV45" s="337">
        <f t="shared" si="156"/>
        <v>6.7419158023184864E-2</v>
      </c>
      <c r="AW45" s="275">
        <f t="shared" si="156"/>
        <v>6.2887760857304006E-2</v>
      </c>
      <c r="AX45" s="275">
        <f t="shared" ref="AX45:AZ45" si="157">AX44/AX7</f>
        <v>5.9561965811965809E-2</v>
      </c>
      <c r="AY45" s="705">
        <f t="shared" si="157"/>
        <v>5.6185437137818088E-2</v>
      </c>
      <c r="AZ45" s="713">
        <f t="shared" si="157"/>
        <v>5.6137012369172214E-2</v>
      </c>
      <c r="BA45" s="275">
        <f t="shared" ref="BA45:BG45" si="158">BA44/BA7</f>
        <v>5.4949449232180821E-2</v>
      </c>
      <c r="BB45" s="275">
        <f t="shared" si="158"/>
        <v>5.704377730021018E-2</v>
      </c>
      <c r="BC45" s="277">
        <f t="shared" si="158"/>
        <v>5.7098699075763718E-2</v>
      </c>
      <c r="BD45" s="704">
        <f t="shared" si="158"/>
        <v>5.7347617963245646E-2</v>
      </c>
      <c r="BE45" s="704">
        <f t="shared" si="158"/>
        <v>5.901854001817123E-2</v>
      </c>
      <c r="BF45" s="704">
        <f t="shared" si="158"/>
        <v>5.9324204358831407E-2</v>
      </c>
      <c r="BG45" s="705">
        <f t="shared" si="158"/>
        <v>5.8960683173330475E-2</v>
      </c>
      <c r="BH45" s="704">
        <f t="shared" ref="BH45:BK45" si="159">BH44/BH7</f>
        <v>5.132643102274654E-2</v>
      </c>
      <c r="BI45" s="704">
        <f t="shared" si="159"/>
        <v>5.1667861907596521E-2</v>
      </c>
      <c r="BJ45" s="704">
        <f t="shared" si="159"/>
        <v>5.1997880530603231E-2</v>
      </c>
      <c r="BK45" s="705">
        <f t="shared" si="159"/>
        <v>5.2326977172411256E-2</v>
      </c>
      <c r="BL45" s="215"/>
      <c r="BM45" s="337">
        <f t="shared" ref="BM45:BX45" si="160">BM44/BM7</f>
        <v>9.8913561166155073E-2</v>
      </c>
      <c r="BN45" s="275">
        <f t="shared" si="160"/>
        <v>9.7838427193992397E-2</v>
      </c>
      <c r="BO45" s="275">
        <f t="shared" si="160"/>
        <v>0.11872745791734529</v>
      </c>
      <c r="BP45" s="275">
        <f t="shared" si="160"/>
        <v>0.14650490156089216</v>
      </c>
      <c r="BQ45" s="275">
        <f t="shared" si="160"/>
        <v>9.8636595034678684E-2</v>
      </c>
      <c r="BR45" s="275">
        <f t="shared" si="160"/>
        <v>8.5765902823999235E-2</v>
      </c>
      <c r="BS45" s="275">
        <f t="shared" si="160"/>
        <v>0.1234086477807088</v>
      </c>
      <c r="BT45" s="704">
        <f t="shared" si="160"/>
        <v>0.11958982554268212</v>
      </c>
      <c r="BU45" s="704">
        <f t="shared" si="160"/>
        <v>9.7883597883597878E-2</v>
      </c>
      <c r="BV45" s="704">
        <f t="shared" si="160"/>
        <v>8.3652552024019056E-2</v>
      </c>
      <c r="BW45" s="704">
        <f t="shared" si="160"/>
        <v>7.5658198614318703E-2</v>
      </c>
      <c r="BX45" s="704">
        <f t="shared" si="160"/>
        <v>6.1223085918690238E-2</v>
      </c>
      <c r="BY45" s="704">
        <f>BY44/BY7</f>
        <v>5.6300729572204951E-2</v>
      </c>
      <c r="BZ45" s="705">
        <f>BZ44/BZ7</f>
        <v>5.8668056092743316E-2</v>
      </c>
      <c r="CA45" s="705">
        <f>CA44/CA7</f>
        <v>5.1832723110717398E-2</v>
      </c>
      <c r="CB45" s="184"/>
      <c r="CC45" s="184"/>
      <c r="CD45" s="184"/>
    </row>
    <row r="46" spans="1:82" ht="14.25" hidden="1" customHeight="1" outlineLevel="1">
      <c r="A46" s="203"/>
      <c r="B46" s="227" t="s">
        <v>287</v>
      </c>
      <c r="C46" s="331"/>
      <c r="D46" s="305">
        <v>0</v>
      </c>
      <c r="E46" s="305">
        <v>0</v>
      </c>
      <c r="F46" s="305">
        <v>0</v>
      </c>
      <c r="G46" s="306">
        <v>0</v>
      </c>
      <c r="H46" s="305">
        <v>0</v>
      </c>
      <c r="I46" s="305">
        <v>0</v>
      </c>
      <c r="J46" s="305">
        <v>0</v>
      </c>
      <c r="K46" s="306">
        <v>0</v>
      </c>
      <c r="L46" s="305">
        <v>0</v>
      </c>
      <c r="M46" s="305">
        <v>0</v>
      </c>
      <c r="N46" s="305">
        <v>0</v>
      </c>
      <c r="O46" s="306">
        <v>0</v>
      </c>
      <c r="P46" s="305">
        <v>0</v>
      </c>
      <c r="Q46" s="305">
        <v>0</v>
      </c>
      <c r="R46" s="305">
        <v>0</v>
      </c>
      <c r="S46" s="306">
        <v>0</v>
      </c>
      <c r="T46" s="330">
        <v>0</v>
      </c>
      <c r="U46" s="305">
        <v>0</v>
      </c>
      <c r="V46" s="305">
        <v>0</v>
      </c>
      <c r="W46" s="306">
        <v>0</v>
      </c>
      <c r="X46" s="330">
        <v>0</v>
      </c>
      <c r="Y46" s="305">
        <v>0</v>
      </c>
      <c r="Z46" s="305">
        <v>0</v>
      </c>
      <c r="AA46" s="306">
        <v>0</v>
      </c>
      <c r="AB46" s="330">
        <v>0</v>
      </c>
      <c r="AC46" s="305">
        <v>0</v>
      </c>
      <c r="AD46" s="305">
        <v>0</v>
      </c>
      <c r="AE46" s="306">
        <v>0</v>
      </c>
      <c r="AF46" s="330">
        <v>0</v>
      </c>
      <c r="AG46" s="305">
        <v>0</v>
      </c>
      <c r="AH46" s="305">
        <v>0</v>
      </c>
      <c r="AI46" s="306">
        <v>0</v>
      </c>
      <c r="AJ46" s="330">
        <v>0</v>
      </c>
      <c r="AK46" s="305">
        <v>0</v>
      </c>
      <c r="AL46" s="305">
        <v>0</v>
      </c>
      <c r="AM46" s="346">
        <v>0</v>
      </c>
      <c r="AN46" s="330">
        <v>0</v>
      </c>
      <c r="AO46" s="305">
        <v>0</v>
      </c>
      <c r="AP46" s="305">
        <v>0</v>
      </c>
      <c r="AQ46" s="346">
        <v>0</v>
      </c>
      <c r="AR46" s="330">
        <v>0</v>
      </c>
      <c r="AS46" s="305">
        <v>0</v>
      </c>
      <c r="AT46" s="305">
        <v>0</v>
      </c>
      <c r="AU46" s="346">
        <v>0</v>
      </c>
      <c r="AV46" s="330">
        <v>0</v>
      </c>
      <c r="AW46" s="305">
        <v>0</v>
      </c>
      <c r="AX46" s="305">
        <v>0</v>
      </c>
      <c r="AY46" s="306">
        <v>0</v>
      </c>
      <c r="AZ46" s="330">
        <v>0</v>
      </c>
      <c r="BA46" s="360">
        <f t="shared" ref="BA46:BC46" si="161">AZ46</f>
        <v>0</v>
      </c>
      <c r="BB46" s="360">
        <f t="shared" si="161"/>
        <v>0</v>
      </c>
      <c r="BC46" s="308">
        <f t="shared" si="161"/>
        <v>0</v>
      </c>
      <c r="BD46" s="360">
        <f t="shared" ref="BD46" si="162">BC46</f>
        <v>0</v>
      </c>
      <c r="BE46" s="360">
        <f t="shared" ref="BE46" si="163">BD46</f>
        <v>0</v>
      </c>
      <c r="BF46" s="360">
        <f t="shared" ref="BF46" si="164">BE46</f>
        <v>0</v>
      </c>
      <c r="BG46" s="308">
        <f t="shared" ref="BG46" si="165">BF46</f>
        <v>0</v>
      </c>
      <c r="BH46" s="360">
        <f t="shared" ref="BH46" si="166">BG46</f>
        <v>0</v>
      </c>
      <c r="BI46" s="360">
        <f t="shared" ref="BI46" si="167">BH46</f>
        <v>0</v>
      </c>
      <c r="BJ46" s="360">
        <f t="shared" ref="BJ46" si="168">BI46</f>
        <v>0</v>
      </c>
      <c r="BK46" s="308">
        <f t="shared" ref="BK46" si="169">BJ46</f>
        <v>0</v>
      </c>
      <c r="BL46" s="215"/>
      <c r="BM46" s="309">
        <f>SUM(D46:G46)</f>
        <v>0</v>
      </c>
      <c r="BN46" s="220">
        <f>SUM(H46:K46)</f>
        <v>0</v>
      </c>
      <c r="BO46" s="220">
        <f>SUM(L46:O46)</f>
        <v>0</v>
      </c>
      <c r="BP46" s="220">
        <f>SUM(P46:S46)</f>
        <v>0</v>
      </c>
      <c r="BQ46" s="220">
        <f>SUM(T46:W46)</f>
        <v>0</v>
      </c>
      <c r="BR46" s="220">
        <f>SUM(X46:AA46)</f>
        <v>0</v>
      </c>
      <c r="BS46" s="220">
        <f>SUM(AB46:AE46)</f>
        <v>0</v>
      </c>
      <c r="BT46" s="735">
        <f>SUM(AF46:AI46)</f>
        <v>0</v>
      </c>
      <c r="BU46" s="735">
        <f>SUM(AJ46:AM46)</f>
        <v>0</v>
      </c>
      <c r="BV46" s="700">
        <f>SUM(AN46:AQ46)</f>
        <v>0</v>
      </c>
      <c r="BW46" s="700">
        <f>SUM(AR46:AU46)</f>
        <v>0</v>
      </c>
      <c r="BX46" s="700">
        <f>SUM(AV46:AY46)</f>
        <v>0</v>
      </c>
      <c r="BY46" s="735">
        <f>SUM(AZ46:BC46)</f>
        <v>0</v>
      </c>
      <c r="BZ46" s="738">
        <f>SUM(BD46:BG46)</f>
        <v>0</v>
      </c>
      <c r="CA46" s="738">
        <f>SUM(BH46:BK46)</f>
        <v>0</v>
      </c>
      <c r="CB46" s="184"/>
      <c r="CC46" s="184"/>
      <c r="CD46" s="184"/>
    </row>
    <row r="47" spans="1:82" ht="14.25" hidden="1" customHeight="1" outlineLevel="1">
      <c r="A47" s="203"/>
      <c r="B47" s="227" t="s">
        <v>361</v>
      </c>
      <c r="C47" s="216"/>
      <c r="D47" s="305">
        <v>0</v>
      </c>
      <c r="E47" s="305">
        <v>0</v>
      </c>
      <c r="F47" s="305">
        <v>0</v>
      </c>
      <c r="G47" s="366">
        <v>0</v>
      </c>
      <c r="H47" s="305">
        <v>0</v>
      </c>
      <c r="I47" s="305">
        <v>0</v>
      </c>
      <c r="J47" s="305">
        <v>0</v>
      </c>
      <c r="K47" s="366">
        <v>0</v>
      </c>
      <c r="L47" s="305">
        <v>0</v>
      </c>
      <c r="M47" s="305">
        <v>0</v>
      </c>
      <c r="N47" s="305">
        <v>0</v>
      </c>
      <c r="O47" s="366">
        <v>0</v>
      </c>
      <c r="P47" s="305">
        <v>0</v>
      </c>
      <c r="Q47" s="305">
        <v>0</v>
      </c>
      <c r="R47" s="305">
        <v>0</v>
      </c>
      <c r="S47" s="366">
        <v>0</v>
      </c>
      <c r="T47" s="330">
        <v>0</v>
      </c>
      <c r="U47" s="305">
        <v>0</v>
      </c>
      <c r="V47" s="305">
        <v>0</v>
      </c>
      <c r="W47" s="366">
        <v>0</v>
      </c>
      <c r="X47" s="330">
        <v>0</v>
      </c>
      <c r="Y47" s="305">
        <v>0</v>
      </c>
      <c r="Z47" s="305">
        <v>0</v>
      </c>
      <c r="AA47" s="366">
        <v>0</v>
      </c>
      <c r="AB47" s="330">
        <v>0</v>
      </c>
      <c r="AC47" s="305">
        <v>0</v>
      </c>
      <c r="AD47" s="305">
        <v>0</v>
      </c>
      <c r="AE47" s="306">
        <v>0</v>
      </c>
      <c r="AF47" s="330">
        <v>0</v>
      </c>
      <c r="AG47" s="305">
        <v>0</v>
      </c>
      <c r="AH47" s="305">
        <v>0</v>
      </c>
      <c r="AI47" s="306">
        <v>0</v>
      </c>
      <c r="AJ47" s="330">
        <v>0</v>
      </c>
      <c r="AK47" s="305">
        <v>0</v>
      </c>
      <c r="AL47" s="305">
        <v>0</v>
      </c>
      <c r="AM47" s="346">
        <v>0</v>
      </c>
      <c r="AN47" s="330">
        <v>0</v>
      </c>
      <c r="AO47" s="305">
        <v>0</v>
      </c>
      <c r="AP47" s="305">
        <v>0</v>
      </c>
      <c r="AQ47" s="346">
        <v>0</v>
      </c>
      <c r="AR47" s="330">
        <v>0</v>
      </c>
      <c r="AS47" s="305">
        <v>0</v>
      </c>
      <c r="AT47" s="305">
        <v>0</v>
      </c>
      <c r="AU47" s="346">
        <v>0</v>
      </c>
      <c r="AV47" s="330">
        <v>0</v>
      </c>
      <c r="AW47" s="305">
        <v>0</v>
      </c>
      <c r="AX47" s="305">
        <v>0</v>
      </c>
      <c r="AY47" s="306">
        <v>0</v>
      </c>
      <c r="AZ47" s="330">
        <v>0</v>
      </c>
      <c r="BA47" s="360">
        <v>0</v>
      </c>
      <c r="BB47" s="360">
        <v>0</v>
      </c>
      <c r="BC47" s="308">
        <v>0</v>
      </c>
      <c r="BD47" s="360">
        <v>0</v>
      </c>
      <c r="BE47" s="360">
        <v>0</v>
      </c>
      <c r="BF47" s="360">
        <v>0</v>
      </c>
      <c r="BG47" s="308">
        <v>0</v>
      </c>
      <c r="BH47" s="360">
        <v>0</v>
      </c>
      <c r="BI47" s="360">
        <v>0</v>
      </c>
      <c r="BJ47" s="360">
        <v>0</v>
      </c>
      <c r="BK47" s="308">
        <v>0</v>
      </c>
      <c r="BL47" s="215"/>
      <c r="BM47" s="309">
        <f>SUM(D47:G47)</f>
        <v>0</v>
      </c>
      <c r="BN47" s="220">
        <f>SUM(H47:K47)</f>
        <v>0</v>
      </c>
      <c r="BO47" s="220">
        <f>SUM(L47:O47)</f>
        <v>0</v>
      </c>
      <c r="BP47" s="220">
        <f>SUM(P47:S47)</f>
        <v>0</v>
      </c>
      <c r="BQ47" s="220">
        <f>SUM(T47:W47)</f>
        <v>0</v>
      </c>
      <c r="BR47" s="220">
        <f>SUM(X47:AA47)</f>
        <v>0</v>
      </c>
      <c r="BS47" s="220">
        <f>SUM(AB47:AE47)</f>
        <v>0</v>
      </c>
      <c r="BT47" s="735">
        <f>SUM(AF47:AI47)</f>
        <v>0</v>
      </c>
      <c r="BU47" s="735">
        <f>SUM(AJ47:AM47)</f>
        <v>0</v>
      </c>
      <c r="BV47" s="700">
        <f>SUM(AN47:AQ47)</f>
        <v>0</v>
      </c>
      <c r="BW47" s="700">
        <f>SUM(AR47:AU47)</f>
        <v>0</v>
      </c>
      <c r="BX47" s="700">
        <f>SUM(AV47:AY47)</f>
        <v>0</v>
      </c>
      <c r="BY47" s="735">
        <f>SUM(AZ47:BC47)</f>
        <v>0</v>
      </c>
      <c r="BZ47" s="738">
        <f>SUM(BD47:BG47)</f>
        <v>0</v>
      </c>
      <c r="CA47" s="738">
        <f>SUM(BH47:BK47)</f>
        <v>0</v>
      </c>
      <c r="CB47" s="184"/>
      <c r="CC47" s="184"/>
      <c r="CD47" s="184"/>
    </row>
    <row r="48" spans="1:82" ht="14.25" hidden="1" customHeight="1" outlineLevel="1">
      <c r="A48" s="203"/>
      <c r="B48" s="227" t="s">
        <v>356</v>
      </c>
      <c r="C48" s="331"/>
      <c r="D48" s="305">
        <v>0</v>
      </c>
      <c r="E48" s="305">
        <v>0</v>
      </c>
      <c r="F48" s="305">
        <v>0</v>
      </c>
      <c r="G48" s="306">
        <v>0</v>
      </c>
      <c r="H48" s="305">
        <v>0</v>
      </c>
      <c r="I48" s="305">
        <v>0</v>
      </c>
      <c r="J48" s="305">
        <v>0</v>
      </c>
      <c r="K48" s="306">
        <v>0</v>
      </c>
      <c r="L48" s="305">
        <v>0</v>
      </c>
      <c r="M48" s="305">
        <v>0</v>
      </c>
      <c r="N48" s="305">
        <v>0</v>
      </c>
      <c r="O48" s="306">
        <v>0</v>
      </c>
      <c r="P48" s="305">
        <v>0</v>
      </c>
      <c r="Q48" s="305">
        <v>0</v>
      </c>
      <c r="R48" s="305">
        <v>0</v>
      </c>
      <c r="S48" s="306">
        <v>0</v>
      </c>
      <c r="T48" s="330">
        <v>0</v>
      </c>
      <c r="U48" s="305">
        <v>0</v>
      </c>
      <c r="V48" s="305">
        <v>0</v>
      </c>
      <c r="W48" s="306">
        <v>0</v>
      </c>
      <c r="X48" s="330">
        <v>0</v>
      </c>
      <c r="Y48" s="305">
        <v>0</v>
      </c>
      <c r="Z48" s="305">
        <v>0</v>
      </c>
      <c r="AA48" s="306">
        <v>0</v>
      </c>
      <c r="AB48" s="330">
        <v>0</v>
      </c>
      <c r="AC48" s="305">
        <v>0</v>
      </c>
      <c r="AD48" s="305">
        <v>0</v>
      </c>
      <c r="AE48" s="306">
        <v>0</v>
      </c>
      <c r="AF48" s="330">
        <v>0</v>
      </c>
      <c r="AG48" s="305">
        <v>0</v>
      </c>
      <c r="AH48" s="305">
        <v>0</v>
      </c>
      <c r="AI48" s="306">
        <v>0</v>
      </c>
      <c r="AJ48" s="330">
        <v>0</v>
      </c>
      <c r="AK48" s="305">
        <v>0</v>
      </c>
      <c r="AL48" s="305">
        <v>0</v>
      </c>
      <c r="AM48" s="346">
        <v>0</v>
      </c>
      <c r="AN48" s="330">
        <v>0</v>
      </c>
      <c r="AO48" s="305">
        <v>0</v>
      </c>
      <c r="AP48" s="305">
        <v>0</v>
      </c>
      <c r="AQ48" s="346">
        <v>0</v>
      </c>
      <c r="AR48" s="330">
        <v>0</v>
      </c>
      <c r="AS48" s="305">
        <v>0</v>
      </c>
      <c r="AT48" s="305">
        <v>0</v>
      </c>
      <c r="AU48" s="346">
        <v>0</v>
      </c>
      <c r="AV48" s="330">
        <v>0</v>
      </c>
      <c r="AW48" s="305">
        <v>0</v>
      </c>
      <c r="AX48" s="305">
        <v>0</v>
      </c>
      <c r="AY48" s="306">
        <v>0</v>
      </c>
      <c r="AZ48" s="330">
        <v>0</v>
      </c>
      <c r="BA48" s="329">
        <v>0</v>
      </c>
      <c r="BB48" s="329">
        <v>0</v>
      </c>
      <c r="BC48" s="328">
        <v>0</v>
      </c>
      <c r="BD48" s="329">
        <v>0</v>
      </c>
      <c r="BE48" s="329">
        <v>0</v>
      </c>
      <c r="BF48" s="329">
        <v>0</v>
      </c>
      <c r="BG48" s="328">
        <v>0</v>
      </c>
      <c r="BH48" s="329">
        <v>0</v>
      </c>
      <c r="BI48" s="329">
        <v>0</v>
      </c>
      <c r="BJ48" s="329">
        <v>0</v>
      </c>
      <c r="BK48" s="328">
        <v>0</v>
      </c>
      <c r="BL48" s="215"/>
      <c r="BM48" s="309">
        <f>SUM(D48:G48)</f>
        <v>0</v>
      </c>
      <c r="BN48" s="220">
        <f>SUM(H48:K48)</f>
        <v>0</v>
      </c>
      <c r="BO48" s="220">
        <f>SUM(L48:O48)</f>
        <v>0</v>
      </c>
      <c r="BP48" s="220">
        <f>SUM(P48:S48)</f>
        <v>0</v>
      </c>
      <c r="BQ48" s="220">
        <f>SUM(T48:W48)</f>
        <v>0</v>
      </c>
      <c r="BR48" s="220">
        <f>SUM(X48:AA48)</f>
        <v>0</v>
      </c>
      <c r="BS48" s="220">
        <f>SUM(AB48:AE48)</f>
        <v>0</v>
      </c>
      <c r="BT48" s="735">
        <f>SUM(AF48:AI48)</f>
        <v>0</v>
      </c>
      <c r="BU48" s="735">
        <f>SUM(AJ48:AM48)</f>
        <v>0</v>
      </c>
      <c r="BV48" s="700">
        <f>SUM(AN48:AQ48)</f>
        <v>0</v>
      </c>
      <c r="BW48" s="700">
        <f>SUM(AR48:AU48)</f>
        <v>0</v>
      </c>
      <c r="BX48" s="700">
        <f>SUM(AV48:AY48)</f>
        <v>0</v>
      </c>
      <c r="BY48" s="735">
        <f>SUM(AZ48:BC48)</f>
        <v>0</v>
      </c>
      <c r="BZ48" s="738">
        <f>SUM(BD48:BG48)</f>
        <v>0</v>
      </c>
      <c r="CA48" s="738">
        <f>SUM(BH48:BK48)</f>
        <v>0</v>
      </c>
      <c r="CB48" s="184"/>
      <c r="CC48" s="184"/>
      <c r="CD48" s="184"/>
    </row>
    <row r="49" spans="1:82" ht="14.25" customHeight="1" collapsed="1">
      <c r="A49" s="203"/>
      <c r="B49" s="217" t="s">
        <v>360</v>
      </c>
      <c r="C49" s="216"/>
      <c r="D49" s="220">
        <f t="shared" ref="D49:AQ49" si="170">D44-D46-D47-D48</f>
        <v>206.036</v>
      </c>
      <c r="E49" s="220">
        <f t="shared" si="170"/>
        <v>209.24900000000002</v>
      </c>
      <c r="F49" s="220">
        <f t="shared" si="170"/>
        <v>240.893</v>
      </c>
      <c r="G49" s="226">
        <f t="shared" si="170"/>
        <v>250.56400000000002</v>
      </c>
      <c r="H49" s="220">
        <f t="shared" si="170"/>
        <v>228.72300000000001</v>
      </c>
      <c r="I49" s="220">
        <f t="shared" si="170"/>
        <v>231.49799999999999</v>
      </c>
      <c r="J49" s="220">
        <f t="shared" si="170"/>
        <v>250.328</v>
      </c>
      <c r="K49" s="226">
        <f t="shared" si="170"/>
        <v>241.89400000000001</v>
      </c>
      <c r="L49" s="220">
        <f t="shared" si="170"/>
        <v>239.893</v>
      </c>
      <c r="M49" s="220">
        <f t="shared" si="170"/>
        <v>241.44499999999999</v>
      </c>
      <c r="N49" s="220">
        <f t="shared" si="170"/>
        <v>245.28500000000003</v>
      </c>
      <c r="O49" s="226">
        <f t="shared" si="170"/>
        <v>238.541</v>
      </c>
      <c r="P49" s="220">
        <f t="shared" si="170"/>
        <v>225.35599999999999</v>
      </c>
      <c r="Q49" s="220">
        <f t="shared" si="170"/>
        <v>185.75799999999998</v>
      </c>
      <c r="R49" s="220">
        <f t="shared" si="170"/>
        <v>168.005</v>
      </c>
      <c r="S49" s="226">
        <f t="shared" si="170"/>
        <v>155.399</v>
      </c>
      <c r="T49" s="309">
        <f t="shared" si="170"/>
        <v>221.994</v>
      </c>
      <c r="U49" s="220">
        <f t="shared" si="170"/>
        <v>226.19900000000001</v>
      </c>
      <c r="V49" s="220">
        <f t="shared" si="170"/>
        <v>251.74799999999999</v>
      </c>
      <c r="W49" s="226">
        <f t="shared" si="170"/>
        <v>241.90700000000012</v>
      </c>
      <c r="X49" s="309">
        <f t="shared" si="170"/>
        <v>221</v>
      </c>
      <c r="Y49" s="220">
        <f t="shared" si="170"/>
        <v>219</v>
      </c>
      <c r="Z49" s="220">
        <f t="shared" si="170"/>
        <v>240</v>
      </c>
      <c r="AA49" s="226">
        <f t="shared" si="170"/>
        <v>222</v>
      </c>
      <c r="AB49" s="309">
        <f t="shared" si="170"/>
        <v>303</v>
      </c>
      <c r="AC49" s="220">
        <f t="shared" si="170"/>
        <v>281</v>
      </c>
      <c r="AD49" s="220">
        <f t="shared" si="170"/>
        <v>255</v>
      </c>
      <c r="AE49" s="226">
        <f t="shared" si="170"/>
        <v>237</v>
      </c>
      <c r="AF49" s="309">
        <f t="shared" si="170"/>
        <v>230</v>
      </c>
      <c r="AG49" s="220">
        <f t="shared" si="170"/>
        <v>244</v>
      </c>
      <c r="AH49" s="220">
        <f t="shared" si="170"/>
        <v>208</v>
      </c>
      <c r="AI49" s="226">
        <f t="shared" si="170"/>
        <v>216</v>
      </c>
      <c r="AJ49" s="309">
        <f t="shared" si="170"/>
        <v>198</v>
      </c>
      <c r="AK49" s="220">
        <f t="shared" si="170"/>
        <v>259</v>
      </c>
      <c r="AL49" s="220">
        <f t="shared" si="170"/>
        <v>244</v>
      </c>
      <c r="AM49" s="345">
        <f t="shared" si="170"/>
        <v>187</v>
      </c>
      <c r="AN49" s="309">
        <f t="shared" si="170"/>
        <v>150</v>
      </c>
      <c r="AO49" s="220">
        <f t="shared" si="170"/>
        <v>235</v>
      </c>
      <c r="AP49" s="220">
        <f t="shared" si="170"/>
        <v>250</v>
      </c>
      <c r="AQ49" s="345">
        <f t="shared" si="170"/>
        <v>173</v>
      </c>
      <c r="AR49" s="309">
        <f t="shared" ref="AR49:AW49" si="171">AR44-AR46-AR47-AR48</f>
        <v>188</v>
      </c>
      <c r="AS49" s="220">
        <f t="shared" si="171"/>
        <v>193</v>
      </c>
      <c r="AT49" s="220">
        <f t="shared" si="171"/>
        <v>210</v>
      </c>
      <c r="AU49" s="345">
        <f t="shared" si="171"/>
        <v>228</v>
      </c>
      <c r="AV49" s="309">
        <f t="shared" si="171"/>
        <v>221</v>
      </c>
      <c r="AW49" s="220">
        <f t="shared" si="171"/>
        <v>223</v>
      </c>
      <c r="AX49" s="220">
        <f t="shared" ref="AX49:AZ49" si="172">AX44-AX46-AX47-AX48</f>
        <v>223</v>
      </c>
      <c r="AY49" s="738">
        <f t="shared" si="172"/>
        <v>223</v>
      </c>
      <c r="AZ49" s="747">
        <f t="shared" si="172"/>
        <v>236</v>
      </c>
      <c r="BA49" s="735">
        <f>BA44-BA46-BA47-BA48</f>
        <v>245.06212500000001</v>
      </c>
      <c r="BB49" s="220">
        <f>BB44-BB46-BB47-BB48</f>
        <v>247.73270087500001</v>
      </c>
      <c r="BC49" s="226">
        <v>242</v>
      </c>
      <c r="BD49" s="735">
        <f>BD44-BD46-BD47-BD48</f>
        <v>243.08</v>
      </c>
      <c r="BE49" s="735">
        <v>230</v>
      </c>
      <c r="BF49" s="735">
        <f>BF44-BF46-BF47-BF48</f>
        <v>255.16468190125002</v>
      </c>
      <c r="BG49" s="738">
        <v>242</v>
      </c>
      <c r="BH49" s="735">
        <f>BH44-BH46-BH47-BH48</f>
        <v>222.09257830734774</v>
      </c>
      <c r="BI49" s="735">
        <v>230</v>
      </c>
      <c r="BJ49" s="735">
        <f>BJ44-BJ46-BJ47-BJ48</f>
        <v>229.32271931328506</v>
      </c>
      <c r="BK49" s="738">
        <v>242</v>
      </c>
      <c r="BL49" s="215"/>
      <c r="BM49" s="309">
        <f t="shared" ref="BM49:BX49" si="173">BM44-BM46-BM47-BM48</f>
        <v>906.74199999999996</v>
      </c>
      <c r="BN49" s="220">
        <f t="shared" si="173"/>
        <v>952.44299999999998</v>
      </c>
      <c r="BO49" s="220">
        <f t="shared" si="173"/>
        <v>965.16399999999999</v>
      </c>
      <c r="BP49" s="220">
        <f t="shared" si="173"/>
        <v>734.51799999999992</v>
      </c>
      <c r="BQ49" s="220">
        <f t="shared" si="173"/>
        <v>941.84800000000018</v>
      </c>
      <c r="BR49" s="220">
        <f t="shared" si="173"/>
        <v>902</v>
      </c>
      <c r="BS49" s="220">
        <f t="shared" si="173"/>
        <v>1076</v>
      </c>
      <c r="BT49" s="735">
        <f t="shared" si="173"/>
        <v>898</v>
      </c>
      <c r="BU49" s="735">
        <f t="shared" si="173"/>
        <v>888</v>
      </c>
      <c r="BV49" s="700">
        <f t="shared" si="173"/>
        <v>808</v>
      </c>
      <c r="BW49" s="700">
        <f t="shared" si="173"/>
        <v>819</v>
      </c>
      <c r="BX49" s="700">
        <f t="shared" si="173"/>
        <v>890</v>
      </c>
      <c r="BY49" s="735">
        <f>BY44-BY46-BY47-BY48</f>
        <v>978.35898545875</v>
      </c>
      <c r="BZ49" s="738">
        <f>BZ44-BZ46-BZ47-BZ48</f>
        <v>1007.7097550225126</v>
      </c>
      <c r="CA49" s="738">
        <f>CA44-CA46-CA47-CA48</f>
        <v>907.96223092110779</v>
      </c>
      <c r="CB49" s="184"/>
      <c r="CC49" s="184"/>
      <c r="CD49" s="184"/>
    </row>
    <row r="50" spans="1:82" ht="14.25" customHeight="1">
      <c r="A50" s="203"/>
      <c r="B50" s="262" t="s">
        <v>318</v>
      </c>
      <c r="C50" s="261"/>
      <c r="D50" s="275">
        <f t="shared" ref="D50:AQ50" si="174">D49/D11</f>
        <v>0.11091563701824728</v>
      </c>
      <c r="E50" s="275">
        <f t="shared" si="174"/>
        <v>9.3095298898511633E-2</v>
      </c>
      <c r="F50" s="275">
        <f t="shared" si="174"/>
        <v>9.4711381383423957E-2</v>
      </c>
      <c r="G50" s="277">
        <f t="shared" si="174"/>
        <v>9.9497556479726551E-2</v>
      </c>
      <c r="H50" s="275">
        <f t="shared" si="174"/>
        <v>0.10043749810628268</v>
      </c>
      <c r="I50" s="275">
        <f t="shared" si="174"/>
        <v>9.1517065609408102E-2</v>
      </c>
      <c r="J50" s="275">
        <f t="shared" si="174"/>
        <v>9.7746803572376875E-2</v>
      </c>
      <c r="K50" s="277">
        <f t="shared" si="174"/>
        <v>0.102192439177303</v>
      </c>
      <c r="L50" s="275">
        <f t="shared" si="174"/>
        <v>0.11492447292010097</v>
      </c>
      <c r="M50" s="275">
        <f t="shared" si="174"/>
        <v>0.11230010446521345</v>
      </c>
      <c r="N50" s="275">
        <f t="shared" si="174"/>
        <v>0.13271791309015199</v>
      </c>
      <c r="O50" s="277">
        <f t="shared" si="174"/>
        <v>0.11672147800263936</v>
      </c>
      <c r="P50" s="275">
        <f t="shared" si="174"/>
        <v>0.16900905657434101</v>
      </c>
      <c r="Q50" s="275">
        <f t="shared" si="174"/>
        <v>0.18210193936340097</v>
      </c>
      <c r="R50" s="275">
        <f t="shared" si="174"/>
        <v>0.14818653306754634</v>
      </c>
      <c r="S50" s="277">
        <f t="shared" si="174"/>
        <v>0.10180792115272989</v>
      </c>
      <c r="T50" s="337">
        <f t="shared" si="174"/>
        <v>0.12006801874842474</v>
      </c>
      <c r="U50" s="275">
        <f t="shared" si="174"/>
        <v>9.8538470251008481E-2</v>
      </c>
      <c r="V50" s="275">
        <f t="shared" si="174"/>
        <v>9.9987687614932139E-2</v>
      </c>
      <c r="W50" s="277">
        <f t="shared" si="174"/>
        <v>8.3808227103676386E-2</v>
      </c>
      <c r="X50" s="337">
        <f t="shared" si="174"/>
        <v>8.2278481012658222E-2</v>
      </c>
      <c r="Y50" s="275">
        <f t="shared" si="174"/>
        <v>7.6519916142557654E-2</v>
      </c>
      <c r="Z50" s="275">
        <f t="shared" si="174"/>
        <v>8.6114101184068897E-2</v>
      </c>
      <c r="AA50" s="277">
        <f t="shared" si="174"/>
        <v>0.10174152153987168</v>
      </c>
      <c r="AB50" s="337">
        <f t="shared" si="174"/>
        <v>0.13841936957514847</v>
      </c>
      <c r="AC50" s="275">
        <f t="shared" si="174"/>
        <v>0.11058638331365604</v>
      </c>
      <c r="AD50" s="275">
        <f t="shared" si="174"/>
        <v>0.1088348271446863</v>
      </c>
      <c r="AE50" s="277">
        <f t="shared" si="174"/>
        <v>0.14398541919805588</v>
      </c>
      <c r="AF50" s="337">
        <f t="shared" si="174"/>
        <v>0.14621741894469167</v>
      </c>
      <c r="AG50" s="275">
        <f t="shared" si="174"/>
        <v>0.12366953877344146</v>
      </c>
      <c r="AH50" s="275">
        <f t="shared" si="174"/>
        <v>0.10531645569620253</v>
      </c>
      <c r="AI50" s="277">
        <f t="shared" si="174"/>
        <v>0.10865191146881288</v>
      </c>
      <c r="AJ50" s="337">
        <f t="shared" si="174"/>
        <v>9.0410958904109592E-2</v>
      </c>
      <c r="AK50" s="275">
        <f t="shared" si="174"/>
        <v>0.11007224819379516</v>
      </c>
      <c r="AL50" s="275">
        <f t="shared" si="174"/>
        <v>0.10772626931567329</v>
      </c>
      <c r="AM50" s="338">
        <f t="shared" si="174"/>
        <v>8.2597173144876329E-2</v>
      </c>
      <c r="AN50" s="337">
        <f t="shared" si="174"/>
        <v>6.35862653666808E-2</v>
      </c>
      <c r="AO50" s="275">
        <f t="shared" si="174"/>
        <v>9.6232596232596238E-2</v>
      </c>
      <c r="AP50" s="275">
        <f t="shared" si="174"/>
        <v>0.10040160642570281</v>
      </c>
      <c r="AQ50" s="338">
        <f t="shared" si="174"/>
        <v>7.3057432432432429E-2</v>
      </c>
      <c r="AR50" s="337">
        <f t="shared" ref="AR50:AW50" si="175">AR49/AR11</f>
        <v>8.3296411165263623E-2</v>
      </c>
      <c r="AS50" s="275">
        <f t="shared" si="175"/>
        <v>7.8775510204081634E-2</v>
      </c>
      <c r="AT50" s="275">
        <f t="shared" si="175"/>
        <v>7.4441687344913146E-2</v>
      </c>
      <c r="AU50" s="338">
        <f t="shared" si="175"/>
        <v>6.9153776160145591E-2</v>
      </c>
      <c r="AV50" s="337">
        <f t="shared" si="175"/>
        <v>6.7419158023184864E-2</v>
      </c>
      <c r="AW50" s="275">
        <f t="shared" si="175"/>
        <v>6.2887760857304006E-2</v>
      </c>
      <c r="AX50" s="275">
        <f t="shared" ref="AX50:AZ50" si="176">AX49/AX11</f>
        <v>5.9561965811965809E-2</v>
      </c>
      <c r="AY50" s="705">
        <f t="shared" si="176"/>
        <v>5.6185437137818088E-2</v>
      </c>
      <c r="AZ50" s="713">
        <f t="shared" si="176"/>
        <v>5.6137012369172214E-2</v>
      </c>
      <c r="BA50" s="275">
        <f t="shared" ref="BA50:BG50" si="177">BA49/BA11</f>
        <v>5.4949449232180821E-2</v>
      </c>
      <c r="BB50" s="275">
        <f t="shared" si="177"/>
        <v>5.704377730021018E-2</v>
      </c>
      <c r="BC50" s="277">
        <f t="shared" si="177"/>
        <v>5.5368067271285182E-2</v>
      </c>
      <c r="BD50" s="704">
        <f t="shared" si="177"/>
        <v>5.7347617963245646E-2</v>
      </c>
      <c r="BE50" s="704">
        <f t="shared" si="177"/>
        <v>5.37777809835406E-2</v>
      </c>
      <c r="BF50" s="704">
        <f t="shared" si="177"/>
        <v>5.9324204358831407E-2</v>
      </c>
      <c r="BG50" s="705">
        <f t="shared" si="177"/>
        <v>5.5508364661624225E-2</v>
      </c>
      <c r="BH50" s="704">
        <f t="shared" ref="BH50:BK50" si="178">BH49/BH11</f>
        <v>5.132643102274654E-2</v>
      </c>
      <c r="BI50" s="704">
        <f t="shared" si="178"/>
        <v>5.2690508923641112E-2</v>
      </c>
      <c r="BJ50" s="704">
        <f t="shared" si="178"/>
        <v>5.1997880530603231E-2</v>
      </c>
      <c r="BK50" s="705">
        <f t="shared" si="178"/>
        <v>5.4816150812553803E-2</v>
      </c>
      <c r="BL50" s="215"/>
      <c r="BM50" s="337">
        <f t="shared" ref="BM50:BX50" si="179">BM49/BM11</f>
        <v>9.8913561166155073E-2</v>
      </c>
      <c r="BN50" s="275">
        <f t="shared" si="179"/>
        <v>9.7838427193992397E-2</v>
      </c>
      <c r="BO50" s="275">
        <f t="shared" si="179"/>
        <v>0.11872745791734529</v>
      </c>
      <c r="BP50" s="275">
        <f t="shared" si="179"/>
        <v>0.14650490156089216</v>
      </c>
      <c r="BQ50" s="275">
        <f t="shared" si="179"/>
        <v>9.8636595034678684E-2</v>
      </c>
      <c r="BR50" s="275">
        <f t="shared" si="179"/>
        <v>8.5765902823999235E-2</v>
      </c>
      <c r="BS50" s="275">
        <f t="shared" si="179"/>
        <v>0.1234086477807088</v>
      </c>
      <c r="BT50" s="704">
        <f t="shared" si="179"/>
        <v>0.11958982554268212</v>
      </c>
      <c r="BU50" s="704">
        <f t="shared" si="179"/>
        <v>9.7883597883597878E-2</v>
      </c>
      <c r="BV50" s="704">
        <f t="shared" si="179"/>
        <v>8.3652552024019056E-2</v>
      </c>
      <c r="BW50" s="704">
        <f t="shared" si="179"/>
        <v>7.5658198614318703E-2</v>
      </c>
      <c r="BX50" s="704">
        <f t="shared" si="179"/>
        <v>6.1223085918690238E-2</v>
      </c>
      <c r="BY50" s="704">
        <f>BY49/BY11</f>
        <v>5.6300729572204951E-2</v>
      </c>
      <c r="BZ50" s="705">
        <f>BZ49/BZ11</f>
        <v>5.8668056092743316E-2</v>
      </c>
      <c r="CA50" s="705">
        <f>CA49/CA11</f>
        <v>5.1832723110717398E-2</v>
      </c>
      <c r="CB50" s="184"/>
      <c r="CC50" s="184"/>
      <c r="CD50" s="184"/>
    </row>
    <row r="51" spans="1:82" ht="14.25" hidden="1" customHeight="1" outlineLevel="1">
      <c r="A51" s="203"/>
      <c r="B51" s="217" t="s">
        <v>359</v>
      </c>
      <c r="C51" s="216"/>
      <c r="D51" s="220">
        <f t="shared" ref="D51:AQ51" si="180">D44-D47-D48</f>
        <v>206.036</v>
      </c>
      <c r="E51" s="220">
        <f t="shared" si="180"/>
        <v>209.24900000000002</v>
      </c>
      <c r="F51" s="220">
        <f t="shared" si="180"/>
        <v>240.893</v>
      </c>
      <c r="G51" s="226">
        <f t="shared" si="180"/>
        <v>250.56400000000002</v>
      </c>
      <c r="H51" s="220">
        <f t="shared" si="180"/>
        <v>228.72300000000001</v>
      </c>
      <c r="I51" s="220">
        <f t="shared" si="180"/>
        <v>231.49799999999999</v>
      </c>
      <c r="J51" s="220">
        <f t="shared" si="180"/>
        <v>250.328</v>
      </c>
      <c r="K51" s="226">
        <f t="shared" si="180"/>
        <v>241.89400000000001</v>
      </c>
      <c r="L51" s="220">
        <f t="shared" si="180"/>
        <v>239.893</v>
      </c>
      <c r="M51" s="220">
        <f t="shared" si="180"/>
        <v>241.44499999999999</v>
      </c>
      <c r="N51" s="220">
        <f t="shared" si="180"/>
        <v>245.28500000000003</v>
      </c>
      <c r="O51" s="226">
        <f t="shared" si="180"/>
        <v>238.541</v>
      </c>
      <c r="P51" s="220">
        <f t="shared" si="180"/>
        <v>225.35599999999999</v>
      </c>
      <c r="Q51" s="220">
        <f t="shared" si="180"/>
        <v>185.75799999999998</v>
      </c>
      <c r="R51" s="220">
        <f t="shared" si="180"/>
        <v>168.005</v>
      </c>
      <c r="S51" s="226">
        <f t="shared" si="180"/>
        <v>155.399</v>
      </c>
      <c r="T51" s="309">
        <f t="shared" si="180"/>
        <v>221.994</v>
      </c>
      <c r="U51" s="220">
        <f t="shared" si="180"/>
        <v>226.19900000000001</v>
      </c>
      <c r="V51" s="220">
        <f t="shared" si="180"/>
        <v>251.74799999999999</v>
      </c>
      <c r="W51" s="226">
        <f t="shared" si="180"/>
        <v>241.90700000000012</v>
      </c>
      <c r="X51" s="309">
        <f t="shared" si="180"/>
        <v>221</v>
      </c>
      <c r="Y51" s="220">
        <f t="shared" si="180"/>
        <v>219</v>
      </c>
      <c r="Z51" s="220">
        <f t="shared" si="180"/>
        <v>240</v>
      </c>
      <c r="AA51" s="226">
        <f t="shared" si="180"/>
        <v>222</v>
      </c>
      <c r="AB51" s="309">
        <f t="shared" si="180"/>
        <v>303</v>
      </c>
      <c r="AC51" s="220">
        <f t="shared" si="180"/>
        <v>281</v>
      </c>
      <c r="AD51" s="220">
        <f t="shared" si="180"/>
        <v>255</v>
      </c>
      <c r="AE51" s="226">
        <f t="shared" si="180"/>
        <v>237</v>
      </c>
      <c r="AF51" s="309">
        <f t="shared" si="180"/>
        <v>230</v>
      </c>
      <c r="AG51" s="220">
        <f t="shared" si="180"/>
        <v>244</v>
      </c>
      <c r="AH51" s="220">
        <f t="shared" si="180"/>
        <v>208</v>
      </c>
      <c r="AI51" s="226">
        <f t="shared" si="180"/>
        <v>216</v>
      </c>
      <c r="AJ51" s="309">
        <f t="shared" si="180"/>
        <v>198</v>
      </c>
      <c r="AK51" s="220">
        <f t="shared" si="180"/>
        <v>259</v>
      </c>
      <c r="AL51" s="220">
        <f t="shared" si="180"/>
        <v>244</v>
      </c>
      <c r="AM51" s="345">
        <f t="shared" si="180"/>
        <v>187</v>
      </c>
      <c r="AN51" s="309">
        <f t="shared" si="180"/>
        <v>150</v>
      </c>
      <c r="AO51" s="220">
        <f t="shared" si="180"/>
        <v>235</v>
      </c>
      <c r="AP51" s="220">
        <f t="shared" si="180"/>
        <v>250</v>
      </c>
      <c r="AQ51" s="345">
        <f t="shared" si="180"/>
        <v>173</v>
      </c>
      <c r="AR51" s="309">
        <f t="shared" ref="AR51:AW51" si="181">AR44-AR47-AR48</f>
        <v>188</v>
      </c>
      <c r="AS51" s="220">
        <f t="shared" si="181"/>
        <v>193</v>
      </c>
      <c r="AT51" s="220">
        <f t="shared" si="181"/>
        <v>210</v>
      </c>
      <c r="AU51" s="345">
        <f t="shared" si="181"/>
        <v>228</v>
      </c>
      <c r="AV51" s="309">
        <f t="shared" si="181"/>
        <v>221</v>
      </c>
      <c r="AW51" s="220">
        <f t="shared" si="181"/>
        <v>223</v>
      </c>
      <c r="AX51" s="220">
        <f t="shared" ref="AX51:AZ51" si="182">AX44-AX47-AX48</f>
        <v>223</v>
      </c>
      <c r="AY51" s="738">
        <f t="shared" si="182"/>
        <v>223</v>
      </c>
      <c r="AZ51" s="747">
        <f t="shared" si="182"/>
        <v>236</v>
      </c>
      <c r="BA51" s="220">
        <f t="shared" ref="BA51:BG51" si="183">BA44-BA47-BA48</f>
        <v>245.06212500000001</v>
      </c>
      <c r="BB51" s="220">
        <f t="shared" si="183"/>
        <v>247.73270087500001</v>
      </c>
      <c r="BC51" s="226">
        <f t="shared" si="183"/>
        <v>249.56415958374998</v>
      </c>
      <c r="BD51" s="735">
        <f t="shared" si="183"/>
        <v>243.08</v>
      </c>
      <c r="BE51" s="735">
        <f t="shared" si="183"/>
        <v>252.41398875000002</v>
      </c>
      <c r="BF51" s="735">
        <f t="shared" si="183"/>
        <v>255.16468190125002</v>
      </c>
      <c r="BG51" s="738">
        <f t="shared" si="183"/>
        <v>257.0510843712625</v>
      </c>
      <c r="BH51" s="735">
        <f t="shared" ref="BH51:BK51" si="184">BH44-BH47-BH48</f>
        <v>222.09257830734774</v>
      </c>
      <c r="BI51" s="735">
        <f t="shared" si="184"/>
        <v>225.53603071036724</v>
      </c>
      <c r="BJ51" s="735">
        <f t="shared" si="184"/>
        <v>229.32271931328506</v>
      </c>
      <c r="BK51" s="738">
        <f t="shared" si="184"/>
        <v>231.0109025901078</v>
      </c>
      <c r="BL51" s="215"/>
      <c r="BM51" s="309">
        <f t="shared" ref="BM51:BX51" si="185">BM44-BM47-BM48</f>
        <v>906.74199999999996</v>
      </c>
      <c r="BN51" s="220">
        <f t="shared" si="185"/>
        <v>952.44299999999998</v>
      </c>
      <c r="BO51" s="220">
        <f t="shared" si="185"/>
        <v>965.16399999999999</v>
      </c>
      <c r="BP51" s="220">
        <f t="shared" si="185"/>
        <v>734.51799999999992</v>
      </c>
      <c r="BQ51" s="220">
        <f t="shared" si="185"/>
        <v>941.84800000000018</v>
      </c>
      <c r="BR51" s="220">
        <f t="shared" si="185"/>
        <v>902</v>
      </c>
      <c r="BS51" s="220">
        <f t="shared" si="185"/>
        <v>1076</v>
      </c>
      <c r="BT51" s="735">
        <f t="shared" si="185"/>
        <v>898</v>
      </c>
      <c r="BU51" s="735">
        <f t="shared" si="185"/>
        <v>888</v>
      </c>
      <c r="BV51" s="700">
        <f t="shared" si="185"/>
        <v>808</v>
      </c>
      <c r="BW51" s="700">
        <f t="shared" si="185"/>
        <v>819</v>
      </c>
      <c r="BX51" s="700">
        <f t="shared" si="185"/>
        <v>890</v>
      </c>
      <c r="BY51" s="735">
        <f>BY44-BY47-BY48</f>
        <v>978.35898545875</v>
      </c>
      <c r="BZ51" s="738">
        <f>BZ44-BZ47-BZ48</f>
        <v>1007.7097550225126</v>
      </c>
      <c r="CA51" s="738">
        <f>CA44-CA47-CA48</f>
        <v>907.96223092110779</v>
      </c>
      <c r="CB51" s="184"/>
      <c r="CC51" s="184"/>
      <c r="CD51" s="184"/>
    </row>
    <row r="52" spans="1:82" ht="14.25" hidden="1" customHeight="1" outlineLevel="1">
      <c r="A52" s="203"/>
      <c r="B52" s="262" t="s">
        <v>318</v>
      </c>
      <c r="C52" s="261"/>
      <c r="D52" s="275">
        <f t="shared" ref="D52:AQ52" si="186">D51/D11</f>
        <v>0.11091563701824728</v>
      </c>
      <c r="E52" s="275">
        <f t="shared" si="186"/>
        <v>9.3095298898511633E-2</v>
      </c>
      <c r="F52" s="275">
        <f t="shared" si="186"/>
        <v>9.4711381383423957E-2</v>
      </c>
      <c r="G52" s="277">
        <f t="shared" si="186"/>
        <v>9.9497556479726551E-2</v>
      </c>
      <c r="H52" s="275">
        <f t="shared" si="186"/>
        <v>0.10043749810628268</v>
      </c>
      <c r="I52" s="275">
        <f t="shared" si="186"/>
        <v>9.1517065609408102E-2</v>
      </c>
      <c r="J52" s="275">
        <f t="shared" si="186"/>
        <v>9.7746803572376875E-2</v>
      </c>
      <c r="K52" s="277">
        <f t="shared" si="186"/>
        <v>0.102192439177303</v>
      </c>
      <c r="L52" s="275">
        <f t="shared" si="186"/>
        <v>0.11492447292010097</v>
      </c>
      <c r="M52" s="275">
        <f t="shared" si="186"/>
        <v>0.11230010446521345</v>
      </c>
      <c r="N52" s="275">
        <f t="shared" si="186"/>
        <v>0.13271791309015199</v>
      </c>
      <c r="O52" s="277">
        <f t="shared" si="186"/>
        <v>0.11672147800263936</v>
      </c>
      <c r="P52" s="275">
        <f t="shared" si="186"/>
        <v>0.16900905657434101</v>
      </c>
      <c r="Q52" s="275">
        <f t="shared" si="186"/>
        <v>0.18210193936340097</v>
      </c>
      <c r="R52" s="275">
        <f t="shared" si="186"/>
        <v>0.14818653306754634</v>
      </c>
      <c r="S52" s="277">
        <f t="shared" si="186"/>
        <v>0.10180792115272989</v>
      </c>
      <c r="T52" s="337">
        <f t="shared" si="186"/>
        <v>0.12006801874842474</v>
      </c>
      <c r="U52" s="275">
        <f t="shared" si="186"/>
        <v>9.8538470251008481E-2</v>
      </c>
      <c r="V52" s="275">
        <f t="shared" si="186"/>
        <v>9.9987687614932139E-2</v>
      </c>
      <c r="W52" s="277">
        <f t="shared" si="186"/>
        <v>8.3808227103676386E-2</v>
      </c>
      <c r="X52" s="337">
        <f t="shared" si="186"/>
        <v>8.2278481012658222E-2</v>
      </c>
      <c r="Y52" s="275">
        <f t="shared" si="186"/>
        <v>7.6519916142557654E-2</v>
      </c>
      <c r="Z52" s="275">
        <f t="shared" si="186"/>
        <v>8.6114101184068897E-2</v>
      </c>
      <c r="AA52" s="277">
        <f t="shared" si="186"/>
        <v>0.10174152153987168</v>
      </c>
      <c r="AB52" s="337">
        <f t="shared" si="186"/>
        <v>0.13841936957514847</v>
      </c>
      <c r="AC52" s="275">
        <f t="shared" si="186"/>
        <v>0.11058638331365604</v>
      </c>
      <c r="AD52" s="275">
        <f t="shared" si="186"/>
        <v>0.1088348271446863</v>
      </c>
      <c r="AE52" s="277">
        <f t="shared" si="186"/>
        <v>0.14398541919805588</v>
      </c>
      <c r="AF52" s="337">
        <f t="shared" si="186"/>
        <v>0.14621741894469167</v>
      </c>
      <c r="AG52" s="275">
        <f t="shared" si="186"/>
        <v>0.12366953877344146</v>
      </c>
      <c r="AH52" s="275">
        <f t="shared" si="186"/>
        <v>0.10531645569620253</v>
      </c>
      <c r="AI52" s="277">
        <f t="shared" si="186"/>
        <v>0.10865191146881288</v>
      </c>
      <c r="AJ52" s="337">
        <f t="shared" si="186"/>
        <v>9.0410958904109592E-2</v>
      </c>
      <c r="AK52" s="275">
        <f t="shared" si="186"/>
        <v>0.11007224819379516</v>
      </c>
      <c r="AL52" s="275">
        <f t="shared" si="186"/>
        <v>0.10772626931567329</v>
      </c>
      <c r="AM52" s="338">
        <f t="shared" si="186"/>
        <v>8.2597173144876329E-2</v>
      </c>
      <c r="AN52" s="337">
        <f t="shared" si="186"/>
        <v>6.35862653666808E-2</v>
      </c>
      <c r="AO52" s="275">
        <f t="shared" si="186"/>
        <v>9.6232596232596238E-2</v>
      </c>
      <c r="AP52" s="275">
        <f t="shared" si="186"/>
        <v>0.10040160642570281</v>
      </c>
      <c r="AQ52" s="338">
        <f t="shared" si="186"/>
        <v>7.3057432432432429E-2</v>
      </c>
      <c r="AR52" s="337">
        <f t="shared" ref="AR52:AW52" si="187">AR51/AR11</f>
        <v>8.3296411165263623E-2</v>
      </c>
      <c r="AS52" s="275">
        <f t="shared" si="187"/>
        <v>7.8775510204081634E-2</v>
      </c>
      <c r="AT52" s="275">
        <f t="shared" si="187"/>
        <v>7.4441687344913146E-2</v>
      </c>
      <c r="AU52" s="338">
        <f t="shared" si="187"/>
        <v>6.9153776160145591E-2</v>
      </c>
      <c r="AV52" s="337">
        <f t="shared" si="187"/>
        <v>6.7419158023184864E-2</v>
      </c>
      <c r="AW52" s="275">
        <f t="shared" si="187"/>
        <v>6.2887760857304006E-2</v>
      </c>
      <c r="AX52" s="275">
        <f t="shared" ref="AX52:AZ52" si="188">AX51/AX11</f>
        <v>5.9561965811965809E-2</v>
      </c>
      <c r="AY52" s="705">
        <f t="shared" si="188"/>
        <v>5.6185437137818088E-2</v>
      </c>
      <c r="AZ52" s="713">
        <f t="shared" si="188"/>
        <v>5.6137012369172214E-2</v>
      </c>
      <c r="BA52" s="275">
        <f t="shared" ref="BA52:BG52" si="189">BA51/BA11</f>
        <v>5.4949449232180821E-2</v>
      </c>
      <c r="BB52" s="275">
        <f t="shared" si="189"/>
        <v>5.704377730021018E-2</v>
      </c>
      <c r="BC52" s="277">
        <f t="shared" si="189"/>
        <v>5.7098699075763718E-2</v>
      </c>
      <c r="BD52" s="704">
        <f t="shared" si="189"/>
        <v>5.7347617963245646E-2</v>
      </c>
      <c r="BE52" s="704">
        <f t="shared" si="189"/>
        <v>5.901854001817123E-2</v>
      </c>
      <c r="BF52" s="704">
        <f t="shared" si="189"/>
        <v>5.9324204358831407E-2</v>
      </c>
      <c r="BG52" s="705">
        <f t="shared" si="189"/>
        <v>5.8960683173330475E-2</v>
      </c>
      <c r="BH52" s="704">
        <f t="shared" ref="BH52:BK52" si="190">BH51/BH11</f>
        <v>5.132643102274654E-2</v>
      </c>
      <c r="BI52" s="704">
        <f t="shared" si="190"/>
        <v>5.1667861907596521E-2</v>
      </c>
      <c r="BJ52" s="704">
        <f t="shared" si="190"/>
        <v>5.1997880530603231E-2</v>
      </c>
      <c r="BK52" s="705">
        <f t="shared" si="190"/>
        <v>5.2326977172411256E-2</v>
      </c>
      <c r="BL52" s="215"/>
      <c r="BM52" s="337">
        <f t="shared" ref="BM52:BX52" si="191">BM51/BM11</f>
        <v>9.8913561166155073E-2</v>
      </c>
      <c r="BN52" s="275">
        <f t="shared" si="191"/>
        <v>9.7838427193992397E-2</v>
      </c>
      <c r="BO52" s="275">
        <f t="shared" si="191"/>
        <v>0.11872745791734529</v>
      </c>
      <c r="BP52" s="275">
        <f t="shared" si="191"/>
        <v>0.14650490156089216</v>
      </c>
      <c r="BQ52" s="275">
        <f t="shared" si="191"/>
        <v>9.8636595034678684E-2</v>
      </c>
      <c r="BR52" s="275">
        <f t="shared" si="191"/>
        <v>8.5765902823999235E-2</v>
      </c>
      <c r="BS52" s="275">
        <f t="shared" si="191"/>
        <v>0.1234086477807088</v>
      </c>
      <c r="BT52" s="704">
        <f t="shared" si="191"/>
        <v>0.11958982554268212</v>
      </c>
      <c r="BU52" s="704">
        <f t="shared" si="191"/>
        <v>9.7883597883597878E-2</v>
      </c>
      <c r="BV52" s="704">
        <f t="shared" si="191"/>
        <v>8.3652552024019056E-2</v>
      </c>
      <c r="BW52" s="704">
        <f t="shared" si="191"/>
        <v>7.5658198614318703E-2</v>
      </c>
      <c r="BX52" s="704">
        <f t="shared" si="191"/>
        <v>6.1223085918690238E-2</v>
      </c>
      <c r="BY52" s="704">
        <f>BY51/BY11</f>
        <v>5.6300729572204951E-2</v>
      </c>
      <c r="BZ52" s="705">
        <f>BZ51/BZ11</f>
        <v>5.8668056092743316E-2</v>
      </c>
      <c r="CA52" s="705">
        <f>CA51/CA11</f>
        <v>5.1832723110717398E-2</v>
      </c>
      <c r="CB52" s="184"/>
      <c r="CC52" s="184"/>
      <c r="CD52" s="184"/>
    </row>
    <row r="53" spans="1:82" ht="14.25" customHeight="1" collapsed="1">
      <c r="A53" s="203"/>
      <c r="B53" s="377"/>
      <c r="C53" s="376"/>
      <c r="D53" s="353"/>
      <c r="E53" s="353"/>
      <c r="F53" s="343"/>
      <c r="G53" s="354"/>
      <c r="H53" s="353"/>
      <c r="I53" s="353"/>
      <c r="J53" s="343"/>
      <c r="K53" s="354"/>
      <c r="L53" s="353"/>
      <c r="M53" s="353"/>
      <c r="N53" s="343"/>
      <c r="O53" s="354"/>
      <c r="P53" s="353"/>
      <c r="Q53" s="353"/>
      <c r="R53" s="343"/>
      <c r="S53" s="354"/>
      <c r="T53" s="355"/>
      <c r="U53" s="353"/>
      <c r="V53" s="343"/>
      <c r="W53" s="354"/>
      <c r="X53" s="355"/>
      <c r="Y53" s="353"/>
      <c r="Z53" s="343"/>
      <c r="AA53" s="354"/>
      <c r="AB53" s="355"/>
      <c r="AC53" s="353"/>
      <c r="AD53" s="343"/>
      <c r="AE53" s="354"/>
      <c r="AF53" s="355"/>
      <c r="AG53" s="353"/>
      <c r="AH53" s="343"/>
      <c r="AI53" s="354"/>
      <c r="AJ53" s="355"/>
      <c r="AK53" s="353"/>
      <c r="AL53" s="343"/>
      <c r="AM53" s="358"/>
      <c r="AN53" s="355"/>
      <c r="AO53" s="353"/>
      <c r="AP53" s="343"/>
      <c r="AQ53" s="358"/>
      <c r="AR53" s="355"/>
      <c r="AS53" s="353"/>
      <c r="AT53" s="343"/>
      <c r="AU53" s="358"/>
      <c r="AV53" s="355"/>
      <c r="AW53" s="353"/>
      <c r="AX53" s="343"/>
      <c r="AY53" s="715"/>
      <c r="AZ53" s="355"/>
      <c r="BA53" s="353"/>
      <c r="BB53" s="353"/>
      <c r="BC53" s="354"/>
      <c r="BD53" s="714"/>
      <c r="BE53" s="714"/>
      <c r="BF53" s="714"/>
      <c r="BG53" s="715"/>
      <c r="BH53" s="714"/>
      <c r="BI53" s="714"/>
      <c r="BJ53" s="714"/>
      <c r="BK53" s="715"/>
      <c r="BL53" s="215"/>
      <c r="BM53" s="257"/>
      <c r="BN53" s="255"/>
      <c r="BO53" s="255"/>
      <c r="BP53" s="255"/>
      <c r="BQ53" s="255"/>
      <c r="BR53" s="255"/>
      <c r="BS53" s="255"/>
      <c r="BT53" s="741"/>
      <c r="BU53" s="741"/>
      <c r="BV53" s="702"/>
      <c r="BW53" s="702"/>
      <c r="BX53" s="702"/>
      <c r="BY53" s="741"/>
      <c r="BZ53" s="742"/>
      <c r="CA53" s="742"/>
      <c r="CB53" s="184"/>
      <c r="CC53" s="184"/>
      <c r="CD53" s="184"/>
    </row>
    <row r="54" spans="1:82" ht="14.25" hidden="1" customHeight="1" outlineLevel="1">
      <c r="A54" s="203"/>
      <c r="B54" s="217" t="s">
        <v>358</v>
      </c>
      <c r="C54" s="216"/>
      <c r="D54" s="220">
        <f t="shared" ref="D54:AP54" si="192">SUM(D55:D58)</f>
        <v>214.84700000000001</v>
      </c>
      <c r="E54" s="220">
        <f t="shared" si="192"/>
        <v>-1.5780000000000001</v>
      </c>
      <c r="F54" s="220">
        <f t="shared" si="192"/>
        <v>-2.6459999999999999</v>
      </c>
      <c r="G54" s="226">
        <f t="shared" si="192"/>
        <v>1.49</v>
      </c>
      <c r="H54" s="220">
        <f t="shared" si="192"/>
        <v>-3.278</v>
      </c>
      <c r="I54" s="220">
        <f t="shared" si="192"/>
        <v>25.044</v>
      </c>
      <c r="J54" s="220">
        <f t="shared" si="192"/>
        <v>1.6160000000000001</v>
      </c>
      <c r="K54" s="226">
        <f t="shared" si="192"/>
        <v>3.0390000000000001</v>
      </c>
      <c r="L54" s="220">
        <f t="shared" si="192"/>
        <v>48.985999999999997</v>
      </c>
      <c r="M54" s="220">
        <f t="shared" si="192"/>
        <v>0.51</v>
      </c>
      <c r="N54" s="220">
        <f t="shared" si="192"/>
        <v>0.13800000000000001</v>
      </c>
      <c r="O54" s="226">
        <f t="shared" si="192"/>
        <v>-9.6859999999999999</v>
      </c>
      <c r="P54" s="220">
        <f t="shared" si="192"/>
        <v>132.77199999999999</v>
      </c>
      <c r="Q54" s="220">
        <f t="shared" si="192"/>
        <v>26.709</v>
      </c>
      <c r="R54" s="220">
        <f t="shared" si="192"/>
        <v>0</v>
      </c>
      <c r="S54" s="226">
        <f t="shared" si="192"/>
        <v>-3.6930000000000001</v>
      </c>
      <c r="T54" s="309">
        <f t="shared" si="192"/>
        <v>103.84399999999999</v>
      </c>
      <c r="U54" s="220">
        <f t="shared" si="192"/>
        <v>9</v>
      </c>
      <c r="V54" s="220">
        <f t="shared" si="192"/>
        <v>135.33099999999999</v>
      </c>
      <c r="W54" s="226">
        <f t="shared" si="192"/>
        <v>-2</v>
      </c>
      <c r="X54" s="309">
        <f t="shared" si="192"/>
        <v>-29</v>
      </c>
      <c r="Y54" s="220">
        <f t="shared" si="192"/>
        <v>-4</v>
      </c>
      <c r="Z54" s="220">
        <f t="shared" si="192"/>
        <v>-25</v>
      </c>
      <c r="AA54" s="226">
        <f t="shared" si="192"/>
        <v>0</v>
      </c>
      <c r="AB54" s="309">
        <f t="shared" si="192"/>
        <v>0</v>
      </c>
      <c r="AC54" s="220">
        <f t="shared" si="192"/>
        <v>0</v>
      </c>
      <c r="AD54" s="220">
        <f t="shared" si="192"/>
        <v>44</v>
      </c>
      <c r="AE54" s="226">
        <f t="shared" si="192"/>
        <v>545</v>
      </c>
      <c r="AF54" s="309">
        <f t="shared" si="192"/>
        <v>9</v>
      </c>
      <c r="AG54" s="220">
        <f t="shared" si="192"/>
        <v>288</v>
      </c>
      <c r="AH54" s="220">
        <f t="shared" si="192"/>
        <v>14</v>
      </c>
      <c r="AI54" s="226">
        <f t="shared" si="192"/>
        <v>30</v>
      </c>
      <c r="AJ54" s="309">
        <f t="shared" si="192"/>
        <v>7</v>
      </c>
      <c r="AK54" s="220">
        <f t="shared" si="192"/>
        <v>0</v>
      </c>
      <c r="AL54" s="220">
        <f t="shared" si="192"/>
        <v>0</v>
      </c>
      <c r="AM54" s="345">
        <f t="shared" si="192"/>
        <v>0</v>
      </c>
      <c r="AN54" s="309">
        <f t="shared" si="192"/>
        <v>0</v>
      </c>
      <c r="AO54" s="220">
        <f t="shared" si="192"/>
        <v>0</v>
      </c>
      <c r="AP54" s="220">
        <f t="shared" si="192"/>
        <v>0</v>
      </c>
      <c r="AQ54" s="345">
        <f t="shared" ref="AQ54:AT54" si="193">SUM(AQ55:AQ58)</f>
        <v>0</v>
      </c>
      <c r="AR54" s="309">
        <f t="shared" si="193"/>
        <v>0</v>
      </c>
      <c r="AS54" s="220">
        <f t="shared" si="193"/>
        <v>0</v>
      </c>
      <c r="AT54" s="220">
        <f t="shared" si="193"/>
        <v>0</v>
      </c>
      <c r="AU54" s="345">
        <f>SUM(AU55:AU58)</f>
        <v>0</v>
      </c>
      <c r="AV54" s="309">
        <f t="shared" ref="AV54:AX54" si="194">SUM(AV55:AV58)</f>
        <v>0</v>
      </c>
      <c r="AW54" s="220">
        <f t="shared" si="194"/>
        <v>0</v>
      </c>
      <c r="AX54" s="220">
        <f t="shared" si="194"/>
        <v>0</v>
      </c>
      <c r="AY54" s="738">
        <f>SUM(AY55:AY58)</f>
        <v>0</v>
      </c>
      <c r="AZ54" s="747">
        <f t="shared" ref="AZ54" si="195">SUM(AZ55:AZ58)</f>
        <v>0</v>
      </c>
      <c r="BA54" s="220">
        <f t="shared" ref="BA54:BG54" si="196">SUM(BA55:BA58)</f>
        <v>0</v>
      </c>
      <c r="BB54" s="220">
        <f t="shared" si="196"/>
        <v>0</v>
      </c>
      <c r="BC54" s="345">
        <f t="shared" si="196"/>
        <v>0</v>
      </c>
      <c r="BD54" s="747">
        <f t="shared" si="196"/>
        <v>0</v>
      </c>
      <c r="BE54" s="735">
        <f t="shared" si="196"/>
        <v>0</v>
      </c>
      <c r="BF54" s="735">
        <f t="shared" si="196"/>
        <v>0</v>
      </c>
      <c r="BG54" s="345">
        <f t="shared" si="196"/>
        <v>0</v>
      </c>
      <c r="BH54" s="747">
        <f t="shared" ref="BH54:BK54" si="197">SUM(BH55:BH58)</f>
        <v>0</v>
      </c>
      <c r="BI54" s="735">
        <f t="shared" si="197"/>
        <v>0</v>
      </c>
      <c r="BJ54" s="735">
        <f t="shared" si="197"/>
        <v>0</v>
      </c>
      <c r="BK54" s="345">
        <f t="shared" si="197"/>
        <v>0</v>
      </c>
      <c r="BL54" s="215"/>
      <c r="BM54" s="309">
        <f t="shared" ref="BM54:BV54" si="198">SUM(BM55:BM58)</f>
        <v>212.11300000000003</v>
      </c>
      <c r="BN54" s="220">
        <f t="shared" si="198"/>
        <v>26.421000000000003</v>
      </c>
      <c r="BO54" s="220">
        <f t="shared" si="198"/>
        <v>39.947999999999993</v>
      </c>
      <c r="BP54" s="220">
        <f t="shared" si="198"/>
        <v>155.78799999999998</v>
      </c>
      <c r="BQ54" s="220">
        <f t="shared" si="198"/>
        <v>246.17499999999998</v>
      </c>
      <c r="BR54" s="220">
        <f t="shared" si="198"/>
        <v>-58</v>
      </c>
      <c r="BS54" s="220">
        <f t="shared" si="198"/>
        <v>589</v>
      </c>
      <c r="BT54" s="735">
        <f t="shared" si="198"/>
        <v>341</v>
      </c>
      <c r="BU54" s="735">
        <f t="shared" si="198"/>
        <v>7</v>
      </c>
      <c r="BV54" s="700">
        <f t="shared" si="198"/>
        <v>0</v>
      </c>
      <c r="BW54" s="700">
        <f>SUM(BW55:BW58)</f>
        <v>0</v>
      </c>
      <c r="BX54" s="700">
        <f>SUM(BX55:BX58)</f>
        <v>0</v>
      </c>
      <c r="BY54" s="735">
        <f>SUM(BY55:BY58)</f>
        <v>0</v>
      </c>
      <c r="BZ54" s="738">
        <f>SUM(BZ55:BZ58)</f>
        <v>0</v>
      </c>
      <c r="CA54" s="738">
        <f>SUM(CA55:CA58)</f>
        <v>0</v>
      </c>
      <c r="CB54" s="184"/>
      <c r="CC54" s="184"/>
      <c r="CD54" s="184"/>
    </row>
    <row r="55" spans="1:82" ht="14.25" hidden="1" customHeight="1" outlineLevel="1">
      <c r="A55" s="203"/>
      <c r="B55" s="377" t="s">
        <v>290</v>
      </c>
      <c r="C55" s="331"/>
      <c r="D55" s="305">
        <v>0</v>
      </c>
      <c r="E55" s="305">
        <v>0</v>
      </c>
      <c r="F55" s="305">
        <v>0</v>
      </c>
      <c r="G55" s="306">
        <v>0</v>
      </c>
      <c r="H55" s="305">
        <v>0</v>
      </c>
      <c r="I55" s="305">
        <v>0</v>
      </c>
      <c r="J55" s="305">
        <v>0</v>
      </c>
      <c r="K55" s="306">
        <v>0</v>
      </c>
      <c r="L55" s="305">
        <v>0</v>
      </c>
      <c r="M55" s="305">
        <v>0</v>
      </c>
      <c r="N55" s="305">
        <v>0</v>
      </c>
      <c r="O55" s="306">
        <v>0</v>
      </c>
      <c r="P55" s="305">
        <v>0</v>
      </c>
      <c r="Q55" s="305">
        <v>0</v>
      </c>
      <c r="R55" s="305">
        <v>0</v>
      </c>
      <c r="S55" s="306">
        <v>0</v>
      </c>
      <c r="T55" s="330">
        <v>0</v>
      </c>
      <c r="U55" s="305">
        <v>0</v>
      </c>
      <c r="V55" s="305">
        <v>0</v>
      </c>
      <c r="W55" s="306">
        <v>0</v>
      </c>
      <c r="X55" s="330">
        <v>0</v>
      </c>
      <c r="Y55" s="305">
        <v>0</v>
      </c>
      <c r="Z55" s="305">
        <v>0</v>
      </c>
      <c r="AA55" s="306">
        <v>0</v>
      </c>
      <c r="AB55" s="330">
        <v>0</v>
      </c>
      <c r="AC55" s="305">
        <v>0</v>
      </c>
      <c r="AD55" s="305">
        <v>0</v>
      </c>
      <c r="AE55" s="306">
        <v>0</v>
      </c>
      <c r="AF55" s="330">
        <v>0</v>
      </c>
      <c r="AG55" s="305">
        <v>0</v>
      </c>
      <c r="AH55" s="305">
        <v>0</v>
      </c>
      <c r="AI55" s="306">
        <v>0</v>
      </c>
      <c r="AJ55" s="330">
        <v>0</v>
      </c>
      <c r="AK55" s="305">
        <v>0</v>
      </c>
      <c r="AL55" s="305">
        <v>0</v>
      </c>
      <c r="AM55" s="346">
        <v>0</v>
      </c>
      <c r="AN55" s="330">
        <v>0</v>
      </c>
      <c r="AO55" s="305">
        <v>0</v>
      </c>
      <c r="AP55" s="305">
        <v>0</v>
      </c>
      <c r="AQ55" s="346">
        <v>0</v>
      </c>
      <c r="AR55" s="330">
        <v>0</v>
      </c>
      <c r="AS55" s="305">
        <v>0</v>
      </c>
      <c r="AT55" s="305">
        <v>0</v>
      </c>
      <c r="AU55" s="346">
        <v>0</v>
      </c>
      <c r="AV55" s="330">
        <v>0</v>
      </c>
      <c r="AW55" s="305">
        <v>0</v>
      </c>
      <c r="AX55" s="305">
        <v>0</v>
      </c>
      <c r="AY55" s="306">
        <v>0</v>
      </c>
      <c r="AZ55" s="330">
        <v>0</v>
      </c>
      <c r="BA55" s="360">
        <v>0</v>
      </c>
      <c r="BB55" s="360">
        <v>0</v>
      </c>
      <c r="BC55" s="308">
        <v>0</v>
      </c>
      <c r="BD55" s="360">
        <v>0</v>
      </c>
      <c r="BE55" s="360">
        <v>0</v>
      </c>
      <c r="BF55" s="360">
        <v>0</v>
      </c>
      <c r="BG55" s="308">
        <v>0</v>
      </c>
      <c r="BH55" s="360">
        <v>0</v>
      </c>
      <c r="BI55" s="360">
        <v>0</v>
      </c>
      <c r="BJ55" s="360">
        <v>0</v>
      </c>
      <c r="BK55" s="308">
        <v>0</v>
      </c>
      <c r="BL55" s="215"/>
      <c r="BM55" s="309">
        <f t="shared" ref="BM55:BM60" si="199">SUM(D55:G55)</f>
        <v>0</v>
      </c>
      <c r="BN55" s="220">
        <f t="shared" ref="BN55:BN60" si="200">SUM(H55:K55)</f>
        <v>0</v>
      </c>
      <c r="BO55" s="220">
        <f t="shared" ref="BO55:BO60" si="201">SUM(L55:O55)</f>
        <v>0</v>
      </c>
      <c r="BP55" s="220">
        <f t="shared" ref="BP55:BP60" si="202">SUM(P55:S55)</f>
        <v>0</v>
      </c>
      <c r="BQ55" s="220">
        <f t="shared" ref="BQ55:BQ60" si="203">SUM(T55:W55)</f>
        <v>0</v>
      </c>
      <c r="BR55" s="220">
        <f t="shared" ref="BR55:BR60" si="204">SUM(X55:AA55)</f>
        <v>0</v>
      </c>
      <c r="BS55" s="220">
        <f t="shared" ref="BS55:BS60" si="205">SUM(AB55:AE55)</f>
        <v>0</v>
      </c>
      <c r="BT55" s="735">
        <f t="shared" ref="BT55:BT60" si="206">SUM(AF55:AI55)</f>
        <v>0</v>
      </c>
      <c r="BU55" s="735">
        <f t="shared" ref="BU55:BU60" si="207">SUM(AJ55:AM55)</f>
        <v>0</v>
      </c>
      <c r="BV55" s="700">
        <f t="shared" ref="BV55:BV60" si="208">SUM(AN55:AQ55)</f>
        <v>0</v>
      </c>
      <c r="BW55" s="700">
        <f t="shared" ref="BW55:BW60" si="209">SUM(AR55:AU55)</f>
        <v>0</v>
      </c>
      <c r="BX55" s="700">
        <f t="shared" ref="BX55:BX60" si="210">SUM(AV55:AY55)</f>
        <v>0</v>
      </c>
      <c r="BY55" s="735">
        <f t="shared" ref="BY55:BY60" si="211">SUM(AZ55:BC55)</f>
        <v>0</v>
      </c>
      <c r="BZ55" s="738">
        <f t="shared" ref="BZ55:BZ60" si="212">SUM(BD55:BG55)</f>
        <v>0</v>
      </c>
      <c r="CA55" s="738">
        <f>SUM(BH55:BK55)</f>
        <v>0</v>
      </c>
      <c r="CB55" s="184"/>
      <c r="CC55" s="184"/>
      <c r="CD55" s="184"/>
    </row>
    <row r="56" spans="1:82" ht="14.25" hidden="1" customHeight="1" outlineLevel="1">
      <c r="A56" s="203"/>
      <c r="B56" s="377" t="s">
        <v>289</v>
      </c>
      <c r="C56" s="331"/>
      <c r="D56" s="305">
        <v>0</v>
      </c>
      <c r="E56" s="305">
        <v>0</v>
      </c>
      <c r="F56" s="305">
        <v>0</v>
      </c>
      <c r="G56" s="306">
        <v>0</v>
      </c>
      <c r="H56" s="305">
        <v>0</v>
      </c>
      <c r="I56" s="305">
        <v>0</v>
      </c>
      <c r="J56" s="305">
        <v>0</v>
      </c>
      <c r="K56" s="306">
        <v>0</v>
      </c>
      <c r="L56" s="305">
        <v>0</v>
      </c>
      <c r="M56" s="305">
        <v>0</v>
      </c>
      <c r="N56" s="305">
        <v>0</v>
      </c>
      <c r="O56" s="306">
        <v>0</v>
      </c>
      <c r="P56" s="305">
        <v>132.77199999999999</v>
      </c>
      <c r="Q56" s="305">
        <v>26.709</v>
      </c>
      <c r="R56" s="305">
        <v>0</v>
      </c>
      <c r="S56" s="306">
        <v>-3.6930000000000001</v>
      </c>
      <c r="T56" s="330">
        <v>103.84399999999999</v>
      </c>
      <c r="U56" s="305">
        <v>9</v>
      </c>
      <c r="V56" s="305">
        <v>135.33099999999999</v>
      </c>
      <c r="W56" s="306">
        <v>-2</v>
      </c>
      <c r="X56" s="330">
        <v>-29</v>
      </c>
      <c r="Y56" s="305">
        <v>-4</v>
      </c>
      <c r="Z56" s="305">
        <v>3</v>
      </c>
      <c r="AA56" s="306">
        <v>0</v>
      </c>
      <c r="AB56" s="330">
        <v>0</v>
      </c>
      <c r="AC56" s="305">
        <v>0</v>
      </c>
      <c r="AD56" s="305">
        <v>44</v>
      </c>
      <c r="AE56" s="306">
        <v>124</v>
      </c>
      <c r="AF56" s="330">
        <v>9</v>
      </c>
      <c r="AG56" s="305">
        <v>10</v>
      </c>
      <c r="AH56" s="305">
        <v>14</v>
      </c>
      <c r="AI56" s="306">
        <v>30</v>
      </c>
      <c r="AJ56" s="330">
        <v>7</v>
      </c>
      <c r="AK56" s="305">
        <v>0</v>
      </c>
      <c r="AL56" s="305">
        <v>0</v>
      </c>
      <c r="AM56" s="346">
        <v>0</v>
      </c>
      <c r="AN56" s="330">
        <v>0</v>
      </c>
      <c r="AO56" s="305">
        <v>0</v>
      </c>
      <c r="AP56" s="305">
        <v>0</v>
      </c>
      <c r="AQ56" s="346">
        <v>0</v>
      </c>
      <c r="AR56" s="330">
        <v>0</v>
      </c>
      <c r="AS56" s="305">
        <v>0</v>
      </c>
      <c r="AT56" s="305">
        <v>0</v>
      </c>
      <c r="AU56" s="346">
        <v>0</v>
      </c>
      <c r="AV56" s="330">
        <v>0</v>
      </c>
      <c r="AW56" s="305">
        <v>0</v>
      </c>
      <c r="AX56" s="305">
        <v>0</v>
      </c>
      <c r="AY56" s="306">
        <v>0</v>
      </c>
      <c r="AZ56" s="330">
        <v>0</v>
      </c>
      <c r="BA56" s="360">
        <v>0</v>
      </c>
      <c r="BB56" s="360">
        <v>0</v>
      </c>
      <c r="BC56" s="308">
        <v>0</v>
      </c>
      <c r="BD56" s="360">
        <v>0</v>
      </c>
      <c r="BE56" s="360">
        <v>0</v>
      </c>
      <c r="BF56" s="360">
        <v>0</v>
      </c>
      <c r="BG56" s="308">
        <v>0</v>
      </c>
      <c r="BH56" s="360">
        <v>0</v>
      </c>
      <c r="BI56" s="360">
        <v>0</v>
      </c>
      <c r="BJ56" s="360">
        <v>0</v>
      </c>
      <c r="BK56" s="308">
        <v>0</v>
      </c>
      <c r="BL56" s="215"/>
      <c r="BM56" s="309">
        <f t="shared" si="199"/>
        <v>0</v>
      </c>
      <c r="BN56" s="220">
        <f t="shared" si="200"/>
        <v>0</v>
      </c>
      <c r="BO56" s="220">
        <f t="shared" si="201"/>
        <v>0</v>
      </c>
      <c r="BP56" s="220">
        <f t="shared" si="202"/>
        <v>155.78799999999998</v>
      </c>
      <c r="BQ56" s="220">
        <f t="shared" si="203"/>
        <v>246.17499999999998</v>
      </c>
      <c r="BR56" s="220">
        <f t="shared" si="204"/>
        <v>-30</v>
      </c>
      <c r="BS56" s="220">
        <f t="shared" si="205"/>
        <v>168</v>
      </c>
      <c r="BT56" s="735">
        <f t="shared" si="206"/>
        <v>63</v>
      </c>
      <c r="BU56" s="735">
        <f t="shared" si="207"/>
        <v>7</v>
      </c>
      <c r="BV56" s="700">
        <f t="shared" si="208"/>
        <v>0</v>
      </c>
      <c r="BW56" s="700">
        <f t="shared" si="209"/>
        <v>0</v>
      </c>
      <c r="BX56" s="700">
        <f t="shared" si="210"/>
        <v>0</v>
      </c>
      <c r="BY56" s="735">
        <f t="shared" si="211"/>
        <v>0</v>
      </c>
      <c r="BZ56" s="738">
        <f t="shared" si="212"/>
        <v>0</v>
      </c>
      <c r="CA56" s="738">
        <f t="shared" ref="CA56:CA59" si="213">SUM(BH56:BK56)</f>
        <v>0</v>
      </c>
      <c r="CB56" s="184"/>
      <c r="CC56" s="184"/>
      <c r="CD56" s="184"/>
    </row>
    <row r="57" spans="1:82" ht="14.25" hidden="1" customHeight="1" outlineLevel="1">
      <c r="A57" s="203"/>
      <c r="B57" s="377" t="s">
        <v>288</v>
      </c>
      <c r="C57" s="331"/>
      <c r="D57" s="305">
        <v>0</v>
      </c>
      <c r="E57" s="305">
        <v>0</v>
      </c>
      <c r="F57" s="305">
        <v>0</v>
      </c>
      <c r="G57" s="306">
        <v>0</v>
      </c>
      <c r="H57" s="305">
        <v>0</v>
      </c>
      <c r="I57" s="305">
        <v>0</v>
      </c>
      <c r="J57" s="305">
        <v>0</v>
      </c>
      <c r="K57" s="306">
        <v>0</v>
      </c>
      <c r="L57" s="305">
        <v>0</v>
      </c>
      <c r="M57" s="305">
        <v>0</v>
      </c>
      <c r="N57" s="305">
        <v>0</v>
      </c>
      <c r="O57" s="306">
        <v>0</v>
      </c>
      <c r="P57" s="305">
        <v>0</v>
      </c>
      <c r="Q57" s="305">
        <v>0</v>
      </c>
      <c r="R57" s="305">
        <v>0</v>
      </c>
      <c r="S57" s="306">
        <v>0</v>
      </c>
      <c r="T57" s="330">
        <v>0</v>
      </c>
      <c r="U57" s="305">
        <v>0</v>
      </c>
      <c r="V57" s="305">
        <v>0</v>
      </c>
      <c r="W57" s="306">
        <v>0</v>
      </c>
      <c r="X57" s="330">
        <v>0</v>
      </c>
      <c r="Y57" s="305">
        <v>0</v>
      </c>
      <c r="Z57" s="305">
        <v>0</v>
      </c>
      <c r="AA57" s="306">
        <v>0</v>
      </c>
      <c r="AB57" s="330">
        <v>0</v>
      </c>
      <c r="AC57" s="305">
        <v>0</v>
      </c>
      <c r="AD57" s="305">
        <v>0</v>
      </c>
      <c r="AE57" s="306">
        <v>421</v>
      </c>
      <c r="AF57" s="330">
        <v>0</v>
      </c>
      <c r="AG57" s="305">
        <v>278</v>
      </c>
      <c r="AH57" s="305">
        <v>0</v>
      </c>
      <c r="AI57" s="306">
        <v>0</v>
      </c>
      <c r="AJ57" s="330">
        <v>0</v>
      </c>
      <c r="AK57" s="305">
        <v>0</v>
      </c>
      <c r="AL57" s="305">
        <v>0</v>
      </c>
      <c r="AM57" s="346">
        <v>0</v>
      </c>
      <c r="AN57" s="330">
        <v>0</v>
      </c>
      <c r="AO57" s="305">
        <v>0</v>
      </c>
      <c r="AP57" s="305">
        <v>0</v>
      </c>
      <c r="AQ57" s="346">
        <v>0</v>
      </c>
      <c r="AR57" s="330">
        <v>0</v>
      </c>
      <c r="AS57" s="305">
        <v>0</v>
      </c>
      <c r="AT57" s="305">
        <v>0</v>
      </c>
      <c r="AU57" s="346">
        <v>0</v>
      </c>
      <c r="AV57" s="330">
        <v>0</v>
      </c>
      <c r="AW57" s="305">
        <v>0</v>
      </c>
      <c r="AX57" s="305">
        <v>0</v>
      </c>
      <c r="AY57" s="306">
        <v>0</v>
      </c>
      <c r="AZ57" s="330">
        <v>0</v>
      </c>
      <c r="BA57" s="360">
        <v>0</v>
      </c>
      <c r="BB57" s="360">
        <v>0</v>
      </c>
      <c r="BC57" s="308">
        <v>0</v>
      </c>
      <c r="BD57" s="360">
        <v>0</v>
      </c>
      <c r="BE57" s="360">
        <v>0</v>
      </c>
      <c r="BF57" s="360">
        <v>0</v>
      </c>
      <c r="BG57" s="308">
        <v>0</v>
      </c>
      <c r="BH57" s="360">
        <v>0</v>
      </c>
      <c r="BI57" s="360">
        <v>0</v>
      </c>
      <c r="BJ57" s="360">
        <v>0</v>
      </c>
      <c r="BK57" s="308">
        <v>0</v>
      </c>
      <c r="BL57" s="215"/>
      <c r="BM57" s="309">
        <f t="shared" si="199"/>
        <v>0</v>
      </c>
      <c r="BN57" s="220">
        <f t="shared" si="200"/>
        <v>0</v>
      </c>
      <c r="BO57" s="220">
        <f t="shared" si="201"/>
        <v>0</v>
      </c>
      <c r="BP57" s="220">
        <f t="shared" si="202"/>
        <v>0</v>
      </c>
      <c r="BQ57" s="220">
        <f t="shared" si="203"/>
        <v>0</v>
      </c>
      <c r="BR57" s="220">
        <f t="shared" si="204"/>
        <v>0</v>
      </c>
      <c r="BS57" s="220">
        <f t="shared" si="205"/>
        <v>421</v>
      </c>
      <c r="BT57" s="735">
        <f t="shared" si="206"/>
        <v>278</v>
      </c>
      <c r="BU57" s="735">
        <f t="shared" si="207"/>
        <v>0</v>
      </c>
      <c r="BV57" s="700">
        <f t="shared" si="208"/>
        <v>0</v>
      </c>
      <c r="BW57" s="700">
        <f t="shared" si="209"/>
        <v>0</v>
      </c>
      <c r="BX57" s="700">
        <f t="shared" si="210"/>
        <v>0</v>
      </c>
      <c r="BY57" s="735">
        <f t="shared" si="211"/>
        <v>0</v>
      </c>
      <c r="BZ57" s="738">
        <f t="shared" si="212"/>
        <v>0</v>
      </c>
      <c r="CA57" s="738">
        <f t="shared" si="213"/>
        <v>0</v>
      </c>
      <c r="CB57" s="184"/>
      <c r="CC57" s="184"/>
      <c r="CD57" s="184"/>
    </row>
    <row r="58" spans="1:82" ht="14.25" hidden="1" customHeight="1" outlineLevel="1">
      <c r="A58" s="203"/>
      <c r="B58" s="377" t="s">
        <v>20</v>
      </c>
      <c r="C58" s="331"/>
      <c r="D58" s="305">
        <v>214.84700000000001</v>
      </c>
      <c r="E58" s="305">
        <v>-1.5780000000000001</v>
      </c>
      <c r="F58" s="305">
        <v>-2.6459999999999999</v>
      </c>
      <c r="G58" s="306">
        <v>1.49</v>
      </c>
      <c r="H58" s="305">
        <v>-3.278</v>
      </c>
      <c r="I58" s="305">
        <v>25.044</v>
      </c>
      <c r="J58" s="305">
        <v>1.6160000000000001</v>
      </c>
      <c r="K58" s="306">
        <v>3.0390000000000001</v>
      </c>
      <c r="L58" s="305">
        <v>48.985999999999997</v>
      </c>
      <c r="M58" s="305">
        <v>0.51</v>
      </c>
      <c r="N58" s="305">
        <v>0.13800000000000001</v>
      </c>
      <c r="O58" s="306">
        <v>-9.6859999999999999</v>
      </c>
      <c r="P58" s="305">
        <v>0</v>
      </c>
      <c r="Q58" s="305">
        <v>0</v>
      </c>
      <c r="R58" s="305">
        <v>0</v>
      </c>
      <c r="S58" s="306">
        <v>0</v>
      </c>
      <c r="T58" s="330">
        <v>0</v>
      </c>
      <c r="U58" s="305">
        <v>0</v>
      </c>
      <c r="V58" s="305">
        <v>0</v>
      </c>
      <c r="W58" s="306">
        <v>0</v>
      </c>
      <c r="X58" s="330">
        <v>0</v>
      </c>
      <c r="Y58" s="305">
        <v>0</v>
      </c>
      <c r="Z58" s="305">
        <v>-28</v>
      </c>
      <c r="AA58" s="306">
        <v>0</v>
      </c>
      <c r="AB58" s="330">
        <v>0</v>
      </c>
      <c r="AC58" s="305">
        <v>0</v>
      </c>
      <c r="AD58" s="305">
        <v>0</v>
      </c>
      <c r="AE58" s="306">
        <v>0</v>
      </c>
      <c r="AF58" s="330">
        <v>0</v>
      </c>
      <c r="AG58" s="305">
        <v>0</v>
      </c>
      <c r="AH58" s="305">
        <v>0</v>
      </c>
      <c r="AI58" s="306">
        <v>0</v>
      </c>
      <c r="AJ58" s="330">
        <v>0</v>
      </c>
      <c r="AK58" s="305">
        <v>0</v>
      </c>
      <c r="AL58" s="305">
        <v>0</v>
      </c>
      <c r="AM58" s="346">
        <v>0</v>
      </c>
      <c r="AN58" s="330">
        <v>0</v>
      </c>
      <c r="AO58" s="305">
        <v>0</v>
      </c>
      <c r="AP58" s="305">
        <v>0</v>
      </c>
      <c r="AQ58" s="346">
        <v>0</v>
      </c>
      <c r="AR58" s="330">
        <v>0</v>
      </c>
      <c r="AS58" s="305">
        <v>0</v>
      </c>
      <c r="AT58" s="305">
        <v>0</v>
      </c>
      <c r="AU58" s="346">
        <v>0</v>
      </c>
      <c r="AV58" s="330">
        <v>0</v>
      </c>
      <c r="AW58" s="305">
        <v>0</v>
      </c>
      <c r="AX58" s="305">
        <v>0</v>
      </c>
      <c r="AY58" s="306">
        <v>0</v>
      </c>
      <c r="AZ58" s="330">
        <v>0</v>
      </c>
      <c r="BA58" s="360">
        <v>0</v>
      </c>
      <c r="BB58" s="360">
        <v>0</v>
      </c>
      <c r="BC58" s="308">
        <v>0</v>
      </c>
      <c r="BD58" s="360">
        <v>0</v>
      </c>
      <c r="BE58" s="360">
        <v>0</v>
      </c>
      <c r="BF58" s="360">
        <v>0</v>
      </c>
      <c r="BG58" s="308">
        <v>0</v>
      </c>
      <c r="BH58" s="360">
        <v>0</v>
      </c>
      <c r="BI58" s="360">
        <v>0</v>
      </c>
      <c r="BJ58" s="360">
        <v>0</v>
      </c>
      <c r="BK58" s="308">
        <v>0</v>
      </c>
      <c r="BL58" s="215"/>
      <c r="BM58" s="309">
        <f t="shared" si="199"/>
        <v>212.11300000000003</v>
      </c>
      <c r="BN58" s="220">
        <f t="shared" si="200"/>
        <v>26.421000000000003</v>
      </c>
      <c r="BO58" s="220">
        <f t="shared" si="201"/>
        <v>39.947999999999993</v>
      </c>
      <c r="BP58" s="220">
        <f t="shared" si="202"/>
        <v>0</v>
      </c>
      <c r="BQ58" s="220">
        <f t="shared" si="203"/>
        <v>0</v>
      </c>
      <c r="BR58" s="220">
        <f t="shared" si="204"/>
        <v>-28</v>
      </c>
      <c r="BS58" s="220">
        <f t="shared" si="205"/>
        <v>0</v>
      </c>
      <c r="BT58" s="735">
        <f t="shared" si="206"/>
        <v>0</v>
      </c>
      <c r="BU58" s="735">
        <f t="shared" si="207"/>
        <v>0</v>
      </c>
      <c r="BV58" s="700">
        <f t="shared" si="208"/>
        <v>0</v>
      </c>
      <c r="BW58" s="700">
        <f t="shared" si="209"/>
        <v>0</v>
      </c>
      <c r="BX58" s="700">
        <f t="shared" si="210"/>
        <v>0</v>
      </c>
      <c r="BY58" s="735">
        <f t="shared" si="211"/>
        <v>0</v>
      </c>
      <c r="BZ58" s="738">
        <f t="shared" si="212"/>
        <v>0</v>
      </c>
      <c r="CA58" s="738">
        <f t="shared" si="213"/>
        <v>0</v>
      </c>
      <c r="CB58" s="184"/>
      <c r="CC58" s="184"/>
      <c r="CD58" s="184"/>
    </row>
    <row r="59" spans="1:82" ht="14.25" hidden="1" customHeight="1" outlineLevel="1">
      <c r="A59" s="203"/>
      <c r="B59" s="227" t="s">
        <v>287</v>
      </c>
      <c r="C59" s="331"/>
      <c r="D59" s="305">
        <v>0</v>
      </c>
      <c r="E59" s="305">
        <v>0</v>
      </c>
      <c r="F59" s="305">
        <v>0</v>
      </c>
      <c r="G59" s="306">
        <v>0</v>
      </c>
      <c r="H59" s="305">
        <v>0</v>
      </c>
      <c r="I59" s="305">
        <v>0</v>
      </c>
      <c r="J59" s="305">
        <v>0</v>
      </c>
      <c r="K59" s="306">
        <v>0</v>
      </c>
      <c r="L59" s="305">
        <v>0</v>
      </c>
      <c r="M59" s="305">
        <v>0</v>
      </c>
      <c r="N59" s="305">
        <v>0</v>
      </c>
      <c r="O59" s="306">
        <v>0</v>
      </c>
      <c r="P59" s="305">
        <v>0</v>
      </c>
      <c r="Q59" s="305">
        <v>0</v>
      </c>
      <c r="R59" s="305">
        <v>0</v>
      </c>
      <c r="S59" s="306">
        <v>0</v>
      </c>
      <c r="T59" s="330">
        <v>0</v>
      </c>
      <c r="U59" s="305">
        <v>0</v>
      </c>
      <c r="V59" s="305">
        <v>0</v>
      </c>
      <c r="W59" s="306">
        <v>0</v>
      </c>
      <c r="X59" s="330">
        <v>0</v>
      </c>
      <c r="Y59" s="305">
        <v>0</v>
      </c>
      <c r="Z59" s="305">
        <v>0</v>
      </c>
      <c r="AA59" s="306">
        <v>0</v>
      </c>
      <c r="AB59" s="330">
        <v>0</v>
      </c>
      <c r="AC59" s="305">
        <v>0</v>
      </c>
      <c r="AD59" s="305">
        <v>0</v>
      </c>
      <c r="AE59" s="306">
        <v>0</v>
      </c>
      <c r="AF59" s="330">
        <v>0</v>
      </c>
      <c r="AG59" s="305">
        <v>0</v>
      </c>
      <c r="AH59" s="305">
        <v>0</v>
      </c>
      <c r="AI59" s="306">
        <v>0</v>
      </c>
      <c r="AJ59" s="330">
        <v>0</v>
      </c>
      <c r="AK59" s="305">
        <v>0</v>
      </c>
      <c r="AL59" s="305">
        <v>0</v>
      </c>
      <c r="AM59" s="346">
        <v>0</v>
      </c>
      <c r="AN59" s="330">
        <v>0</v>
      </c>
      <c r="AO59" s="305">
        <v>0</v>
      </c>
      <c r="AP59" s="305">
        <v>0</v>
      </c>
      <c r="AQ59" s="346">
        <v>0</v>
      </c>
      <c r="AR59" s="330">
        <v>0</v>
      </c>
      <c r="AS59" s="305">
        <v>0</v>
      </c>
      <c r="AT59" s="305">
        <v>0</v>
      </c>
      <c r="AU59" s="346">
        <v>0</v>
      </c>
      <c r="AV59" s="330">
        <v>0</v>
      </c>
      <c r="AW59" s="305">
        <v>0</v>
      </c>
      <c r="AX59" s="305">
        <v>0</v>
      </c>
      <c r="AY59" s="306">
        <v>0</v>
      </c>
      <c r="AZ59" s="330">
        <v>0</v>
      </c>
      <c r="BA59" s="360">
        <v>0</v>
      </c>
      <c r="BB59" s="360">
        <v>0</v>
      </c>
      <c r="BC59" s="308">
        <v>0</v>
      </c>
      <c r="BD59" s="360">
        <v>0</v>
      </c>
      <c r="BE59" s="360">
        <v>0</v>
      </c>
      <c r="BF59" s="360">
        <v>0</v>
      </c>
      <c r="BG59" s="308">
        <v>0</v>
      </c>
      <c r="BH59" s="360">
        <v>0</v>
      </c>
      <c r="BI59" s="360">
        <v>0</v>
      </c>
      <c r="BJ59" s="360">
        <v>0</v>
      </c>
      <c r="BK59" s="308">
        <v>0</v>
      </c>
      <c r="BL59" s="215"/>
      <c r="BM59" s="309">
        <f t="shared" si="199"/>
        <v>0</v>
      </c>
      <c r="BN59" s="220">
        <f t="shared" si="200"/>
        <v>0</v>
      </c>
      <c r="BO59" s="220">
        <f t="shared" si="201"/>
        <v>0</v>
      </c>
      <c r="BP59" s="220">
        <f t="shared" si="202"/>
        <v>0</v>
      </c>
      <c r="BQ59" s="220">
        <f t="shared" si="203"/>
        <v>0</v>
      </c>
      <c r="BR59" s="220">
        <f t="shared" si="204"/>
        <v>0</v>
      </c>
      <c r="BS59" s="220">
        <f t="shared" si="205"/>
        <v>0</v>
      </c>
      <c r="BT59" s="735">
        <f t="shared" si="206"/>
        <v>0</v>
      </c>
      <c r="BU59" s="735">
        <f t="shared" si="207"/>
        <v>0</v>
      </c>
      <c r="BV59" s="700">
        <f t="shared" si="208"/>
        <v>0</v>
      </c>
      <c r="BW59" s="700">
        <f t="shared" si="209"/>
        <v>0</v>
      </c>
      <c r="BX59" s="700">
        <f t="shared" si="210"/>
        <v>0</v>
      </c>
      <c r="BY59" s="735">
        <f t="shared" si="211"/>
        <v>0</v>
      </c>
      <c r="BZ59" s="738">
        <f t="shared" si="212"/>
        <v>0</v>
      </c>
      <c r="CA59" s="738">
        <f t="shared" si="213"/>
        <v>0</v>
      </c>
      <c r="CB59" s="184"/>
      <c r="CC59" s="184"/>
      <c r="CD59" s="184"/>
    </row>
    <row r="60" spans="1:82" ht="14.25" hidden="1" customHeight="1" outlineLevel="1">
      <c r="A60" s="203"/>
      <c r="B60" s="227" t="s">
        <v>286</v>
      </c>
      <c r="C60" s="331"/>
      <c r="D60" s="305">
        <v>0</v>
      </c>
      <c r="E60" s="305">
        <v>0</v>
      </c>
      <c r="F60" s="305">
        <v>0</v>
      </c>
      <c r="G60" s="306">
        <v>0</v>
      </c>
      <c r="H60" s="305">
        <v>15.139000000000003</v>
      </c>
      <c r="I60" s="305">
        <v>146.98999999999998</v>
      </c>
      <c r="J60" s="305">
        <v>68.006</v>
      </c>
      <c r="K60" s="306">
        <v>72.816000000000003</v>
      </c>
      <c r="L60" s="305">
        <v>119.76700000000001</v>
      </c>
      <c r="M60" s="305">
        <v>82.235000000000014</v>
      </c>
      <c r="N60" s="305">
        <v>87.524000000000015</v>
      </c>
      <c r="O60" s="306">
        <v>47.574999999999996</v>
      </c>
      <c r="P60" s="305">
        <v>192.405</v>
      </c>
      <c r="Q60" s="305">
        <v>90.704999999999998</v>
      </c>
      <c r="R60" s="305">
        <v>22.425000000000001</v>
      </c>
      <c r="S60" s="306">
        <v>18.731999999999999</v>
      </c>
      <c r="T60" s="330">
        <v>139.666</v>
      </c>
      <c r="U60" s="305">
        <v>39.21</v>
      </c>
      <c r="V60" s="305">
        <v>156.31599999999997</v>
      </c>
      <c r="W60" s="306">
        <v>11.547000000000054</v>
      </c>
      <c r="X60" s="330">
        <v>-15</v>
      </c>
      <c r="Y60" s="305">
        <v>8</v>
      </c>
      <c r="Z60" s="305">
        <v>-4</v>
      </c>
      <c r="AA60" s="306">
        <v>23</v>
      </c>
      <c r="AB60" s="330">
        <v>61</v>
      </c>
      <c r="AC60" s="305">
        <v>22</v>
      </c>
      <c r="AD60" s="305">
        <v>65</v>
      </c>
      <c r="AE60" s="306">
        <v>567</v>
      </c>
      <c r="AF60" s="330">
        <v>29</v>
      </c>
      <c r="AG60" s="305">
        <v>309</v>
      </c>
      <c r="AH60" s="305">
        <v>21</v>
      </c>
      <c r="AI60" s="306">
        <v>72</v>
      </c>
      <c r="AJ60" s="330">
        <v>11</v>
      </c>
      <c r="AK60" s="305">
        <v>55</v>
      </c>
      <c r="AL60" s="305">
        <v>48</v>
      </c>
      <c r="AM60" s="346">
        <v>-12</v>
      </c>
      <c r="AN60" s="330">
        <v>-51</v>
      </c>
      <c r="AO60" s="305">
        <v>21</v>
      </c>
      <c r="AP60" s="305">
        <v>46</v>
      </c>
      <c r="AQ60" s="346">
        <v>-8</v>
      </c>
      <c r="AR60" s="330">
        <v>6</v>
      </c>
      <c r="AS60" s="305">
        <v>4</v>
      </c>
      <c r="AT60" s="305">
        <f>47+2-1-AT18</f>
        <v>7</v>
      </c>
      <c r="AU60" s="346">
        <f>47+8-AU18</f>
        <v>13</v>
      </c>
      <c r="AV60" s="330">
        <f>47+1-3-AV18</f>
        <v>3</v>
      </c>
      <c r="AW60" s="305">
        <f>46+1-AW18</f>
        <v>6</v>
      </c>
      <c r="AX60" s="305">
        <f>49+1-AX18</f>
        <v>6</v>
      </c>
      <c r="AY60" s="306">
        <f>49-9-AY18</f>
        <v>-5</v>
      </c>
      <c r="AZ60" s="330">
        <f>49+1-AZ18</f>
        <v>5</v>
      </c>
      <c r="BA60" s="360">
        <f t="shared" ref="BA60:BC60" si="214">AZ60</f>
        <v>5</v>
      </c>
      <c r="BB60" s="360">
        <f t="shared" si="214"/>
        <v>5</v>
      </c>
      <c r="BC60" s="308">
        <f t="shared" si="214"/>
        <v>5</v>
      </c>
      <c r="BD60" s="360">
        <f t="shared" ref="BD60" si="215">BC60</f>
        <v>5</v>
      </c>
      <c r="BE60" s="360">
        <f t="shared" ref="BE60" si="216">BD60</f>
        <v>5</v>
      </c>
      <c r="BF60" s="360">
        <f t="shared" ref="BF60" si="217">BE60</f>
        <v>5</v>
      </c>
      <c r="BG60" s="308">
        <f t="shared" ref="BG60" si="218">BF60</f>
        <v>5</v>
      </c>
      <c r="BH60" s="360">
        <f t="shared" ref="BH60" si="219">BG60</f>
        <v>5</v>
      </c>
      <c r="BI60" s="360">
        <f t="shared" ref="BI60" si="220">BH60</f>
        <v>5</v>
      </c>
      <c r="BJ60" s="360">
        <f t="shared" ref="BJ60" si="221">BI60</f>
        <v>5</v>
      </c>
      <c r="BK60" s="308">
        <f t="shared" ref="BK60" si="222">BJ60</f>
        <v>5</v>
      </c>
      <c r="BL60" s="215"/>
      <c r="BM60" s="309">
        <f t="shared" si="199"/>
        <v>0</v>
      </c>
      <c r="BN60" s="220">
        <f t="shared" si="200"/>
        <v>302.95100000000002</v>
      </c>
      <c r="BO60" s="220">
        <f t="shared" si="201"/>
        <v>337.101</v>
      </c>
      <c r="BP60" s="220">
        <f t="shared" si="202"/>
        <v>324.26700000000005</v>
      </c>
      <c r="BQ60" s="220">
        <f t="shared" si="203"/>
        <v>346.73900000000003</v>
      </c>
      <c r="BR60" s="220">
        <f t="shared" si="204"/>
        <v>12</v>
      </c>
      <c r="BS60" s="220">
        <f t="shared" si="205"/>
        <v>715</v>
      </c>
      <c r="BT60" s="735">
        <f t="shared" si="206"/>
        <v>431</v>
      </c>
      <c r="BU60" s="735">
        <f t="shared" si="207"/>
        <v>102</v>
      </c>
      <c r="BV60" s="700">
        <f t="shared" si="208"/>
        <v>8</v>
      </c>
      <c r="BW60" s="700">
        <f t="shared" si="209"/>
        <v>30</v>
      </c>
      <c r="BX60" s="700">
        <f t="shared" si="210"/>
        <v>10</v>
      </c>
      <c r="BY60" s="735">
        <f t="shared" si="211"/>
        <v>20</v>
      </c>
      <c r="BZ60" s="738">
        <f t="shared" si="212"/>
        <v>20</v>
      </c>
      <c r="CA60" s="738">
        <f>SUM(BH60:BK60)</f>
        <v>20</v>
      </c>
      <c r="CB60" s="184"/>
      <c r="CC60" s="184"/>
      <c r="CD60" s="184"/>
    </row>
    <row r="61" spans="1:82" ht="14.25" customHeight="1" collapsed="1">
      <c r="A61" s="203"/>
      <c r="B61" s="217" t="s">
        <v>357</v>
      </c>
      <c r="C61" s="216"/>
      <c r="D61" s="309">
        <f t="shared" ref="D61:AP61" si="223">D54-D60</f>
        <v>214.84700000000001</v>
      </c>
      <c r="E61" s="220">
        <f t="shared" si="223"/>
        <v>-1.5780000000000001</v>
      </c>
      <c r="F61" s="220">
        <f t="shared" si="223"/>
        <v>-2.6459999999999999</v>
      </c>
      <c r="G61" s="226">
        <f t="shared" si="223"/>
        <v>1.49</v>
      </c>
      <c r="H61" s="309">
        <f t="shared" si="223"/>
        <v>-18.417000000000002</v>
      </c>
      <c r="I61" s="220">
        <f t="shared" si="223"/>
        <v>-121.94599999999998</v>
      </c>
      <c r="J61" s="220">
        <f t="shared" si="223"/>
        <v>-66.39</v>
      </c>
      <c r="K61" s="226">
        <f t="shared" si="223"/>
        <v>-69.777000000000001</v>
      </c>
      <c r="L61" s="309">
        <f t="shared" si="223"/>
        <v>-70.781000000000006</v>
      </c>
      <c r="M61" s="220">
        <f t="shared" si="223"/>
        <v>-81.725000000000009</v>
      </c>
      <c r="N61" s="220">
        <f t="shared" si="223"/>
        <v>-87.38600000000001</v>
      </c>
      <c r="O61" s="226">
        <f t="shared" si="223"/>
        <v>-57.260999999999996</v>
      </c>
      <c r="P61" s="309">
        <f t="shared" si="223"/>
        <v>-59.63300000000001</v>
      </c>
      <c r="Q61" s="220">
        <f t="shared" si="223"/>
        <v>-63.995999999999995</v>
      </c>
      <c r="R61" s="220">
        <f t="shared" si="223"/>
        <v>-22.425000000000001</v>
      </c>
      <c r="S61" s="226">
        <f t="shared" si="223"/>
        <v>-22.425000000000001</v>
      </c>
      <c r="T61" s="309">
        <f t="shared" si="223"/>
        <v>-35.822000000000003</v>
      </c>
      <c r="U61" s="220">
        <f t="shared" si="223"/>
        <v>-30.21</v>
      </c>
      <c r="V61" s="220">
        <f t="shared" si="223"/>
        <v>-20.984999999999985</v>
      </c>
      <c r="W61" s="226">
        <f t="shared" si="223"/>
        <v>-13.547000000000054</v>
      </c>
      <c r="X61" s="309">
        <f t="shared" si="223"/>
        <v>-14</v>
      </c>
      <c r="Y61" s="220">
        <f t="shared" si="223"/>
        <v>-12</v>
      </c>
      <c r="Z61" s="220">
        <f t="shared" si="223"/>
        <v>-21</v>
      </c>
      <c r="AA61" s="226">
        <f t="shared" si="223"/>
        <v>-23</v>
      </c>
      <c r="AB61" s="309">
        <f t="shared" si="223"/>
        <v>-61</v>
      </c>
      <c r="AC61" s="220">
        <f t="shared" si="223"/>
        <v>-22</v>
      </c>
      <c r="AD61" s="220">
        <f t="shared" si="223"/>
        <v>-21</v>
      </c>
      <c r="AE61" s="226">
        <f t="shared" si="223"/>
        <v>-22</v>
      </c>
      <c r="AF61" s="309">
        <f t="shared" si="223"/>
        <v>-20</v>
      </c>
      <c r="AG61" s="220">
        <f t="shared" si="223"/>
        <v>-21</v>
      </c>
      <c r="AH61" s="220">
        <f t="shared" si="223"/>
        <v>-7</v>
      </c>
      <c r="AI61" s="226">
        <f t="shared" si="223"/>
        <v>-42</v>
      </c>
      <c r="AJ61" s="309">
        <f t="shared" si="223"/>
        <v>-4</v>
      </c>
      <c r="AK61" s="220">
        <f t="shared" si="223"/>
        <v>-55</v>
      </c>
      <c r="AL61" s="220">
        <f t="shared" si="223"/>
        <v>-48</v>
      </c>
      <c r="AM61" s="345">
        <f t="shared" si="223"/>
        <v>12</v>
      </c>
      <c r="AN61" s="309">
        <f t="shared" si="223"/>
        <v>51</v>
      </c>
      <c r="AO61" s="220">
        <f t="shared" si="223"/>
        <v>-21</v>
      </c>
      <c r="AP61" s="220">
        <f t="shared" si="223"/>
        <v>-46</v>
      </c>
      <c r="AQ61" s="345">
        <f t="shared" ref="AQ61:AT61" si="224">AQ54-AQ60</f>
        <v>8</v>
      </c>
      <c r="AR61" s="309">
        <f t="shared" si="224"/>
        <v>-6</v>
      </c>
      <c r="AS61" s="220">
        <f t="shared" si="224"/>
        <v>-4</v>
      </c>
      <c r="AT61" s="220">
        <f t="shared" si="224"/>
        <v>-7</v>
      </c>
      <c r="AU61" s="345">
        <f>AU54-AU60</f>
        <v>-13</v>
      </c>
      <c r="AV61" s="309">
        <f t="shared" ref="AV61:AX61" si="225">AV54-AV60</f>
        <v>-3</v>
      </c>
      <c r="AW61" s="220">
        <f t="shared" si="225"/>
        <v>-6</v>
      </c>
      <c r="AX61" s="220">
        <f t="shared" si="225"/>
        <v>-6</v>
      </c>
      <c r="AY61" s="738">
        <f>AY54-AY60</f>
        <v>5</v>
      </c>
      <c r="AZ61" s="747">
        <f t="shared" ref="AZ61" si="226">AZ54-AZ60</f>
        <v>-5</v>
      </c>
      <c r="BA61" s="220">
        <f t="shared" ref="BA61:BG61" si="227">BA54-BA60</f>
        <v>-5</v>
      </c>
      <c r="BB61" s="220">
        <f t="shared" si="227"/>
        <v>-5</v>
      </c>
      <c r="BC61" s="226">
        <f t="shared" si="227"/>
        <v>-5</v>
      </c>
      <c r="BD61" s="735">
        <f t="shared" si="227"/>
        <v>-5</v>
      </c>
      <c r="BE61" s="735">
        <f t="shared" si="227"/>
        <v>-5</v>
      </c>
      <c r="BF61" s="735">
        <f t="shared" si="227"/>
        <v>-5</v>
      </c>
      <c r="BG61" s="738">
        <f t="shared" si="227"/>
        <v>-5</v>
      </c>
      <c r="BH61" s="735">
        <f t="shared" ref="BH61:BK61" si="228">BH54-BH60</f>
        <v>-5</v>
      </c>
      <c r="BI61" s="735">
        <f t="shared" si="228"/>
        <v>-5</v>
      </c>
      <c r="BJ61" s="735">
        <f t="shared" si="228"/>
        <v>-5</v>
      </c>
      <c r="BK61" s="738">
        <f t="shared" si="228"/>
        <v>-5</v>
      </c>
      <c r="BL61" s="215"/>
      <c r="BM61" s="309">
        <f t="shared" ref="BM61:BX61" si="229">BM54-BM60</f>
        <v>212.11300000000003</v>
      </c>
      <c r="BN61" s="220">
        <f t="shared" si="229"/>
        <v>-276.53000000000003</v>
      </c>
      <c r="BO61" s="220">
        <f t="shared" si="229"/>
        <v>-297.15300000000002</v>
      </c>
      <c r="BP61" s="220">
        <f t="shared" si="229"/>
        <v>-168.47900000000007</v>
      </c>
      <c r="BQ61" s="220">
        <f t="shared" si="229"/>
        <v>-100.56400000000005</v>
      </c>
      <c r="BR61" s="220">
        <f t="shared" si="229"/>
        <v>-70</v>
      </c>
      <c r="BS61" s="220">
        <f t="shared" si="229"/>
        <v>-126</v>
      </c>
      <c r="BT61" s="735">
        <f t="shared" si="229"/>
        <v>-90</v>
      </c>
      <c r="BU61" s="735">
        <f t="shared" si="229"/>
        <v>-95</v>
      </c>
      <c r="BV61" s="700">
        <f t="shared" si="229"/>
        <v>-8</v>
      </c>
      <c r="BW61" s="700">
        <f t="shared" si="229"/>
        <v>-30</v>
      </c>
      <c r="BX61" s="700">
        <f t="shared" si="229"/>
        <v>-10</v>
      </c>
      <c r="BY61" s="735">
        <f>BY54-BY60</f>
        <v>-20</v>
      </c>
      <c r="BZ61" s="738">
        <f>BZ54-BZ60</f>
        <v>-20</v>
      </c>
      <c r="CA61" s="738">
        <f>CA54-CA60</f>
        <v>-20</v>
      </c>
      <c r="CB61" s="184"/>
      <c r="CC61" s="184"/>
      <c r="CD61" s="184"/>
    </row>
    <row r="62" spans="1:82" ht="14.25" hidden="1" customHeight="1" outlineLevel="1">
      <c r="A62" s="203"/>
      <c r="B62" s="227" t="s">
        <v>356</v>
      </c>
      <c r="C62" s="331"/>
      <c r="D62" s="305">
        <v>0</v>
      </c>
      <c r="E62" s="305">
        <v>0</v>
      </c>
      <c r="F62" s="305">
        <v>0</v>
      </c>
      <c r="G62" s="306">
        <v>0</v>
      </c>
      <c r="H62" s="305">
        <v>0</v>
      </c>
      <c r="I62" s="305">
        <v>0</v>
      </c>
      <c r="J62" s="305">
        <v>0</v>
      </c>
      <c r="K62" s="306">
        <v>0</v>
      </c>
      <c r="L62" s="305">
        <v>0</v>
      </c>
      <c r="M62" s="305">
        <v>0</v>
      </c>
      <c r="N62" s="305">
        <v>0</v>
      </c>
      <c r="O62" s="306">
        <v>0</v>
      </c>
      <c r="P62" s="305">
        <v>0</v>
      </c>
      <c r="Q62" s="305">
        <v>0</v>
      </c>
      <c r="R62" s="305">
        <v>0</v>
      </c>
      <c r="S62" s="306">
        <v>0</v>
      </c>
      <c r="T62" s="330">
        <v>0</v>
      </c>
      <c r="U62" s="305">
        <v>0</v>
      </c>
      <c r="V62" s="305">
        <v>0</v>
      </c>
      <c r="W62" s="306">
        <v>0</v>
      </c>
      <c r="X62" s="330">
        <v>0</v>
      </c>
      <c r="Y62" s="305">
        <v>0</v>
      </c>
      <c r="Z62" s="305">
        <v>0</v>
      </c>
      <c r="AA62" s="306">
        <v>0</v>
      </c>
      <c r="AB62" s="330">
        <v>0</v>
      </c>
      <c r="AC62" s="305">
        <v>0</v>
      </c>
      <c r="AD62" s="305">
        <v>0</v>
      </c>
      <c r="AE62" s="306">
        <v>0</v>
      </c>
      <c r="AF62" s="330">
        <v>0</v>
      </c>
      <c r="AG62" s="305">
        <v>0</v>
      </c>
      <c r="AH62" s="305">
        <v>0</v>
      </c>
      <c r="AI62" s="306">
        <v>0</v>
      </c>
      <c r="AJ62" s="330">
        <v>0</v>
      </c>
      <c r="AK62" s="305">
        <v>0</v>
      </c>
      <c r="AL62" s="305">
        <v>0</v>
      </c>
      <c r="AM62" s="346">
        <v>0</v>
      </c>
      <c r="AN62" s="330">
        <v>0</v>
      </c>
      <c r="AO62" s="305">
        <v>0</v>
      </c>
      <c r="AP62" s="305">
        <v>0</v>
      </c>
      <c r="AQ62" s="346">
        <v>0</v>
      </c>
      <c r="AR62" s="330">
        <v>0</v>
      </c>
      <c r="AS62" s="305">
        <v>0</v>
      </c>
      <c r="AT62" s="305">
        <v>0</v>
      </c>
      <c r="AU62" s="346">
        <v>0</v>
      </c>
      <c r="AV62" s="330">
        <v>0</v>
      </c>
      <c r="AW62" s="305">
        <v>0</v>
      </c>
      <c r="AX62" s="305">
        <v>0</v>
      </c>
      <c r="AY62" s="306">
        <v>0</v>
      </c>
      <c r="AZ62" s="330">
        <v>0</v>
      </c>
      <c r="BA62" s="360">
        <v>0</v>
      </c>
      <c r="BB62" s="360">
        <v>0</v>
      </c>
      <c r="BC62" s="308">
        <v>0</v>
      </c>
      <c r="BD62" s="360">
        <v>0</v>
      </c>
      <c r="BE62" s="360">
        <v>0</v>
      </c>
      <c r="BF62" s="360">
        <v>0</v>
      </c>
      <c r="BG62" s="308">
        <v>0</v>
      </c>
      <c r="BH62" s="360">
        <v>0</v>
      </c>
      <c r="BI62" s="360">
        <v>0</v>
      </c>
      <c r="BJ62" s="360">
        <v>0</v>
      </c>
      <c r="BK62" s="308">
        <v>0</v>
      </c>
      <c r="BL62" s="215"/>
      <c r="BM62" s="309">
        <f>SUM(D62:G62)</f>
        <v>0</v>
      </c>
      <c r="BN62" s="220">
        <f>SUM(H62:K62)</f>
        <v>0</v>
      </c>
      <c r="BO62" s="220">
        <f>SUM(L62:O62)</f>
        <v>0</v>
      </c>
      <c r="BP62" s="220">
        <f>SUM(P62:S62)</f>
        <v>0</v>
      </c>
      <c r="BQ62" s="220">
        <f>SUM(T62:W62)</f>
        <v>0</v>
      </c>
      <c r="BR62" s="220">
        <f>SUM(X62:AA62)</f>
        <v>0</v>
      </c>
      <c r="BS62" s="220">
        <f>SUM(AB62:AE62)</f>
        <v>0</v>
      </c>
      <c r="BT62" s="735">
        <f>SUM(AF62:AI62)</f>
        <v>0</v>
      </c>
      <c r="BU62" s="735">
        <f>SUM(AJ62:AM62)</f>
        <v>0</v>
      </c>
      <c r="BV62" s="700">
        <f>SUM(AN62:AQ62)</f>
        <v>0</v>
      </c>
      <c r="BW62" s="700">
        <f>SUM(AR62:AU62)</f>
        <v>0</v>
      </c>
      <c r="BX62" s="700">
        <f>SUM(AV62:AY62)</f>
        <v>0</v>
      </c>
      <c r="BY62" s="735">
        <f>SUM(AZ62:BC62)</f>
        <v>0</v>
      </c>
      <c r="BZ62" s="738">
        <f>SUM(BD62:BG62)</f>
        <v>0</v>
      </c>
      <c r="CA62" s="738">
        <f>SUM(BH62:BK62)</f>
        <v>0</v>
      </c>
      <c r="CB62" s="184"/>
      <c r="CC62" s="184"/>
      <c r="CD62" s="184"/>
    </row>
    <row r="63" spans="1:82" ht="14.25" hidden="1" customHeight="1" outlineLevel="1">
      <c r="A63" s="203"/>
      <c r="B63" s="217" t="s">
        <v>355</v>
      </c>
      <c r="C63" s="216"/>
      <c r="D63" s="220">
        <f t="shared" ref="D63:AQ63" si="230">D61+D59-D62</f>
        <v>214.84700000000001</v>
      </c>
      <c r="E63" s="220">
        <f t="shared" si="230"/>
        <v>-1.5780000000000001</v>
      </c>
      <c r="F63" s="220">
        <f t="shared" si="230"/>
        <v>-2.6459999999999999</v>
      </c>
      <c r="G63" s="226">
        <f t="shared" si="230"/>
        <v>1.49</v>
      </c>
      <c r="H63" s="220">
        <f t="shared" si="230"/>
        <v>-18.417000000000002</v>
      </c>
      <c r="I63" s="220">
        <f t="shared" si="230"/>
        <v>-121.94599999999998</v>
      </c>
      <c r="J63" s="220">
        <f t="shared" si="230"/>
        <v>-66.39</v>
      </c>
      <c r="K63" s="226">
        <f t="shared" si="230"/>
        <v>-69.777000000000001</v>
      </c>
      <c r="L63" s="220">
        <f t="shared" si="230"/>
        <v>-70.781000000000006</v>
      </c>
      <c r="M63" s="220">
        <f t="shared" si="230"/>
        <v>-81.725000000000009</v>
      </c>
      <c r="N63" s="220">
        <f t="shared" si="230"/>
        <v>-87.38600000000001</v>
      </c>
      <c r="O63" s="226">
        <f t="shared" si="230"/>
        <v>-57.260999999999996</v>
      </c>
      <c r="P63" s="220">
        <f t="shared" si="230"/>
        <v>-59.63300000000001</v>
      </c>
      <c r="Q63" s="220">
        <f t="shared" si="230"/>
        <v>-63.995999999999995</v>
      </c>
      <c r="R63" s="220">
        <f t="shared" si="230"/>
        <v>-22.425000000000001</v>
      </c>
      <c r="S63" s="226">
        <f t="shared" si="230"/>
        <v>-22.425000000000001</v>
      </c>
      <c r="T63" s="309">
        <f t="shared" si="230"/>
        <v>-35.822000000000003</v>
      </c>
      <c r="U63" s="220">
        <f t="shared" si="230"/>
        <v>-30.21</v>
      </c>
      <c r="V63" s="220">
        <f t="shared" si="230"/>
        <v>-20.984999999999985</v>
      </c>
      <c r="W63" s="226">
        <f t="shared" si="230"/>
        <v>-13.547000000000054</v>
      </c>
      <c r="X63" s="309">
        <f t="shared" si="230"/>
        <v>-14</v>
      </c>
      <c r="Y63" s="220">
        <f t="shared" si="230"/>
        <v>-12</v>
      </c>
      <c r="Z63" s="220">
        <f t="shared" si="230"/>
        <v>-21</v>
      </c>
      <c r="AA63" s="226">
        <f t="shared" si="230"/>
        <v>-23</v>
      </c>
      <c r="AB63" s="309">
        <f t="shared" si="230"/>
        <v>-61</v>
      </c>
      <c r="AC63" s="220">
        <f t="shared" si="230"/>
        <v>-22</v>
      </c>
      <c r="AD63" s="220">
        <f t="shared" si="230"/>
        <v>-21</v>
      </c>
      <c r="AE63" s="226">
        <f t="shared" si="230"/>
        <v>-22</v>
      </c>
      <c r="AF63" s="309">
        <f t="shared" si="230"/>
        <v>-20</v>
      </c>
      <c r="AG63" s="220">
        <f t="shared" si="230"/>
        <v>-21</v>
      </c>
      <c r="AH63" s="220">
        <f t="shared" si="230"/>
        <v>-7</v>
      </c>
      <c r="AI63" s="226">
        <f t="shared" si="230"/>
        <v>-42</v>
      </c>
      <c r="AJ63" s="309">
        <f t="shared" si="230"/>
        <v>-4</v>
      </c>
      <c r="AK63" s="220">
        <f t="shared" si="230"/>
        <v>-55</v>
      </c>
      <c r="AL63" s="220">
        <f t="shared" si="230"/>
        <v>-48</v>
      </c>
      <c r="AM63" s="345">
        <f t="shared" si="230"/>
        <v>12</v>
      </c>
      <c r="AN63" s="309">
        <f t="shared" si="230"/>
        <v>51</v>
      </c>
      <c r="AO63" s="220">
        <f t="shared" si="230"/>
        <v>-21</v>
      </c>
      <c r="AP63" s="220">
        <f t="shared" si="230"/>
        <v>-46</v>
      </c>
      <c r="AQ63" s="345">
        <f t="shared" si="230"/>
        <v>8</v>
      </c>
      <c r="AR63" s="309">
        <f t="shared" ref="AR63:AW63" si="231">AR61+AR59-AR62</f>
        <v>-6</v>
      </c>
      <c r="AS63" s="220">
        <f t="shared" si="231"/>
        <v>-4</v>
      </c>
      <c r="AT63" s="220">
        <f t="shared" si="231"/>
        <v>-7</v>
      </c>
      <c r="AU63" s="345">
        <f t="shared" si="231"/>
        <v>-13</v>
      </c>
      <c r="AV63" s="309">
        <f t="shared" si="231"/>
        <v>-3</v>
      </c>
      <c r="AW63" s="220">
        <f t="shared" si="231"/>
        <v>-6</v>
      </c>
      <c r="AX63" s="220">
        <f t="shared" ref="AX63:AZ63" si="232">AX61+AX59-AX62</f>
        <v>-6</v>
      </c>
      <c r="AY63" s="738">
        <f t="shared" si="232"/>
        <v>5</v>
      </c>
      <c r="AZ63" s="747">
        <f t="shared" si="232"/>
        <v>-5</v>
      </c>
      <c r="BA63" s="220">
        <f t="shared" ref="BA63:BG63" si="233">BA61+BA59-BA62</f>
        <v>-5</v>
      </c>
      <c r="BB63" s="220">
        <f t="shared" si="233"/>
        <v>-5</v>
      </c>
      <c r="BC63" s="226">
        <f t="shared" si="233"/>
        <v>-5</v>
      </c>
      <c r="BD63" s="735">
        <f t="shared" si="233"/>
        <v>-5</v>
      </c>
      <c r="BE63" s="735">
        <f t="shared" si="233"/>
        <v>-5</v>
      </c>
      <c r="BF63" s="735">
        <f t="shared" si="233"/>
        <v>-5</v>
      </c>
      <c r="BG63" s="738">
        <f t="shared" si="233"/>
        <v>-5</v>
      </c>
      <c r="BH63" s="735">
        <f t="shared" ref="BH63:BK63" si="234">BH61+BH59-BH62</f>
        <v>-5</v>
      </c>
      <c r="BI63" s="735">
        <f t="shared" si="234"/>
        <v>-5</v>
      </c>
      <c r="BJ63" s="735">
        <f t="shared" si="234"/>
        <v>-5</v>
      </c>
      <c r="BK63" s="738">
        <f t="shared" si="234"/>
        <v>-5</v>
      </c>
      <c r="BL63" s="215"/>
      <c r="BM63" s="309">
        <f t="shared" ref="BM63:BX63" si="235">BM61+BM59-BM62</f>
        <v>212.11300000000003</v>
      </c>
      <c r="BN63" s="220">
        <f t="shared" si="235"/>
        <v>-276.53000000000003</v>
      </c>
      <c r="BO63" s="220">
        <f t="shared" si="235"/>
        <v>-297.15300000000002</v>
      </c>
      <c r="BP63" s="220">
        <f t="shared" si="235"/>
        <v>-168.47900000000007</v>
      </c>
      <c r="BQ63" s="220">
        <f t="shared" si="235"/>
        <v>-100.56400000000005</v>
      </c>
      <c r="BR63" s="220">
        <f t="shared" si="235"/>
        <v>-70</v>
      </c>
      <c r="BS63" s="220">
        <f t="shared" si="235"/>
        <v>-126</v>
      </c>
      <c r="BT63" s="735">
        <f t="shared" si="235"/>
        <v>-90</v>
      </c>
      <c r="BU63" s="735">
        <f t="shared" si="235"/>
        <v>-95</v>
      </c>
      <c r="BV63" s="700">
        <f t="shared" si="235"/>
        <v>-8</v>
      </c>
      <c r="BW63" s="700">
        <f t="shared" si="235"/>
        <v>-30</v>
      </c>
      <c r="BX63" s="700">
        <f t="shared" si="235"/>
        <v>-10</v>
      </c>
      <c r="BY63" s="735">
        <f>BY61+BY59-BY62</f>
        <v>-20</v>
      </c>
      <c r="BZ63" s="738">
        <f>BZ61+BZ59-BZ62</f>
        <v>-20</v>
      </c>
      <c r="CA63" s="738">
        <f>CA61+CA59-CA62</f>
        <v>-20</v>
      </c>
      <c r="CB63" s="184"/>
      <c r="CC63" s="184"/>
      <c r="CD63" s="184"/>
    </row>
    <row r="64" spans="1:82" ht="14.25" hidden="1" customHeight="1" outlineLevel="1">
      <c r="A64" s="203"/>
      <c r="B64" s="262" t="s">
        <v>318</v>
      </c>
      <c r="C64" s="261"/>
      <c r="D64" s="275">
        <f t="shared" ref="D64:AQ64" si="236">D63/D11</f>
        <v>0.11565887449989018</v>
      </c>
      <c r="E64" s="275">
        <f t="shared" si="236"/>
        <v>-7.0205535826623464E-4</v>
      </c>
      <c r="F64" s="275">
        <f t="shared" si="236"/>
        <v>-1.0403221145510238E-3</v>
      </c>
      <c r="G64" s="277">
        <f t="shared" si="236"/>
        <v>5.9167062768311705E-4</v>
      </c>
      <c r="H64" s="275">
        <f t="shared" si="236"/>
        <v>-8.0873257286036299E-3</v>
      </c>
      <c r="I64" s="275">
        <f t="shared" si="236"/>
        <v>-4.8208365008790055E-2</v>
      </c>
      <c r="J64" s="275">
        <f t="shared" si="236"/>
        <v>-2.5923629354966685E-2</v>
      </c>
      <c r="K64" s="277">
        <f t="shared" si="236"/>
        <v>-2.9478539477931127E-2</v>
      </c>
      <c r="L64" s="275">
        <f t="shared" si="236"/>
        <v>-3.3908738970114455E-2</v>
      </c>
      <c r="M64" s="275">
        <f t="shared" si="236"/>
        <v>-3.8011663266663505E-2</v>
      </c>
      <c r="N64" s="275">
        <f t="shared" si="236"/>
        <v>-4.7282498127875827E-2</v>
      </c>
      <c r="O64" s="277">
        <f t="shared" si="236"/>
        <v>-2.8018615466142642E-2</v>
      </c>
      <c r="P64" s="275">
        <f t="shared" si="236"/>
        <v>-4.4722648035542337E-2</v>
      </c>
      <c r="Q64" s="275">
        <f t="shared" si="236"/>
        <v>-6.2736440484394806E-2</v>
      </c>
      <c r="R64" s="275">
        <f t="shared" si="236"/>
        <v>-1.9779667295852666E-2</v>
      </c>
      <c r="S64" s="277">
        <f t="shared" si="236"/>
        <v>-1.4691488567172041E-2</v>
      </c>
      <c r="T64" s="337">
        <f t="shared" si="236"/>
        <v>-1.9374742414687205E-2</v>
      </c>
      <c r="U64" s="275">
        <f t="shared" si="236"/>
        <v>-1.316030215112784E-2</v>
      </c>
      <c r="V64" s="275">
        <f t="shared" si="236"/>
        <v>-8.3346903435155377E-3</v>
      </c>
      <c r="W64" s="277">
        <f t="shared" si="236"/>
        <v>-4.6933327790163494E-3</v>
      </c>
      <c r="X64" s="337">
        <f t="shared" si="236"/>
        <v>-5.2122114668652275E-3</v>
      </c>
      <c r="Y64" s="275">
        <f t="shared" si="236"/>
        <v>-4.1928721174004195E-3</v>
      </c>
      <c r="Z64" s="275">
        <f t="shared" si="236"/>
        <v>-7.5349838536060282E-3</v>
      </c>
      <c r="AA64" s="277">
        <f t="shared" si="236"/>
        <v>-1.0540788267644362E-2</v>
      </c>
      <c r="AB64" s="337">
        <f t="shared" si="236"/>
        <v>-2.7866605756052994E-2</v>
      </c>
      <c r="AC64" s="275">
        <f t="shared" si="236"/>
        <v>-8.658008658008658E-3</v>
      </c>
      <c r="AD64" s="275">
        <f t="shared" si="236"/>
        <v>-8.9628681177976958E-3</v>
      </c>
      <c r="AE64" s="277">
        <f t="shared" si="236"/>
        <v>-1.3365735115431349E-2</v>
      </c>
      <c r="AF64" s="337">
        <f t="shared" si="236"/>
        <v>-1.2714558169103624E-2</v>
      </c>
      <c r="AG64" s="275">
        <f t="shared" si="236"/>
        <v>-1.0643689812468323E-2</v>
      </c>
      <c r="AH64" s="275">
        <f t="shared" si="236"/>
        <v>-3.5443037974683543E-3</v>
      </c>
      <c r="AI64" s="277">
        <f t="shared" si="236"/>
        <v>-2.1126760563380281E-2</v>
      </c>
      <c r="AJ64" s="337">
        <f t="shared" si="236"/>
        <v>-1.8264840182648401E-3</v>
      </c>
      <c r="AK64" s="275">
        <f t="shared" si="236"/>
        <v>-2.3374415639609011E-2</v>
      </c>
      <c r="AL64" s="275">
        <f t="shared" si="236"/>
        <v>-2.119205298013245E-2</v>
      </c>
      <c r="AM64" s="338">
        <f t="shared" si="236"/>
        <v>5.3003533568904597E-3</v>
      </c>
      <c r="AN64" s="337">
        <f t="shared" si="236"/>
        <v>2.1619330224671472E-2</v>
      </c>
      <c r="AO64" s="275">
        <f t="shared" si="236"/>
        <v>-8.5995085995085995E-3</v>
      </c>
      <c r="AP64" s="275">
        <f t="shared" si="236"/>
        <v>-1.8473895582329317E-2</v>
      </c>
      <c r="AQ64" s="338">
        <f t="shared" si="236"/>
        <v>3.3783783783783786E-3</v>
      </c>
      <c r="AR64" s="337">
        <f t="shared" ref="AR64:AW64" si="237">AR63/AR11</f>
        <v>-2.658396101019052E-3</v>
      </c>
      <c r="AS64" s="275">
        <f t="shared" si="237"/>
        <v>-1.6326530612244899E-3</v>
      </c>
      <c r="AT64" s="275">
        <f t="shared" si="237"/>
        <v>-2.4813895781637717E-3</v>
      </c>
      <c r="AU64" s="338">
        <f t="shared" si="237"/>
        <v>-3.9429784652714591E-3</v>
      </c>
      <c r="AV64" s="337">
        <f t="shared" si="237"/>
        <v>-9.1519219035997561E-4</v>
      </c>
      <c r="AW64" s="275">
        <f t="shared" si="237"/>
        <v>-1.6920473773265651E-3</v>
      </c>
      <c r="AX64" s="275">
        <f t="shared" ref="AX64:AZ64" si="238">AX63/AX11</f>
        <v>-1.6025641025641025E-3</v>
      </c>
      <c r="AY64" s="705">
        <f t="shared" si="238"/>
        <v>1.2597631645250692E-3</v>
      </c>
      <c r="AZ64" s="713">
        <f t="shared" si="238"/>
        <v>-1.1893434823977164E-3</v>
      </c>
      <c r="BA64" s="275">
        <f t="shared" ref="BA64:BG64" si="239">BA63/BA11</f>
        <v>-1.1211330439614203E-3</v>
      </c>
      <c r="BB64" s="275">
        <f t="shared" si="239"/>
        <v>-1.1513170667160552E-3</v>
      </c>
      <c r="BC64" s="277">
        <f t="shared" si="239"/>
        <v>-1.1439683320513467E-3</v>
      </c>
      <c r="BD64" s="704">
        <f t="shared" si="239"/>
        <v>-1.1796037922339486E-3</v>
      </c>
      <c r="BE64" s="704">
        <f t="shared" si="239"/>
        <v>-1.1690821952943609E-3</v>
      </c>
      <c r="BF64" s="704">
        <f t="shared" si="239"/>
        <v>-1.1624689576316476E-3</v>
      </c>
      <c r="BG64" s="705">
        <f t="shared" si="239"/>
        <v>-1.1468670384633104E-3</v>
      </c>
      <c r="BH64" s="704">
        <f t="shared" ref="BH64:BK64" si="240">BH63/BH11</f>
        <v>-1.1555188249405912E-3</v>
      </c>
      <c r="BI64" s="704">
        <f t="shared" si="240"/>
        <v>-1.1454458461661111E-3</v>
      </c>
      <c r="BJ64" s="704">
        <f t="shared" si="240"/>
        <v>-1.1337271921053594E-3</v>
      </c>
      <c r="BK64" s="705">
        <f t="shared" si="240"/>
        <v>-1.1325650994329299E-3</v>
      </c>
      <c r="BL64" s="215"/>
      <c r="BM64" s="337">
        <f t="shared" ref="BM64:BX64" si="241">BM63/BM11</f>
        <v>2.3138723252740752E-2</v>
      </c>
      <c r="BN64" s="275">
        <f t="shared" si="241"/>
        <v>-2.8406172623406042E-2</v>
      </c>
      <c r="BO64" s="275">
        <f t="shared" si="241"/>
        <v>-3.6553601566690123E-2</v>
      </c>
      <c r="BP64" s="275">
        <f t="shared" si="241"/>
        <v>-3.3604349124293165E-2</v>
      </c>
      <c r="BQ64" s="275">
        <f t="shared" si="241"/>
        <v>-1.0531731811361739E-2</v>
      </c>
      <c r="BR64" s="275">
        <f t="shared" si="241"/>
        <v>-6.6558904630598078E-3</v>
      </c>
      <c r="BS64" s="275">
        <f t="shared" si="241"/>
        <v>-1.4451198531941736E-2</v>
      </c>
      <c r="BT64" s="704">
        <f t="shared" si="241"/>
        <v>-1.1985617259288853E-2</v>
      </c>
      <c r="BU64" s="704">
        <f t="shared" si="241"/>
        <v>-1.0471781305114638E-2</v>
      </c>
      <c r="BV64" s="704">
        <f t="shared" si="241"/>
        <v>-8.2824308934672326E-4</v>
      </c>
      <c r="BW64" s="704">
        <f t="shared" si="241"/>
        <v>-2.7713625866050808E-3</v>
      </c>
      <c r="BX64" s="704">
        <f t="shared" si="241"/>
        <v>-6.8789984178303635E-4</v>
      </c>
      <c r="BY64" s="704">
        <f>BY63/BY11</f>
        <v>-1.1509217047933726E-3</v>
      </c>
      <c r="BZ64" s="705">
        <f>BZ63/BZ11</f>
        <v>-1.1643840064132882E-3</v>
      </c>
      <c r="CA64" s="705">
        <f>CA63/CA11</f>
        <v>-1.1417374279574213E-3</v>
      </c>
      <c r="CB64" s="184"/>
      <c r="CC64" s="184"/>
      <c r="CD64" s="184"/>
    </row>
    <row r="65" spans="1:82" ht="14.25" customHeight="1" collapsed="1">
      <c r="A65" s="203"/>
      <c r="B65" s="217"/>
      <c r="C65" s="216"/>
      <c r="D65" s="353"/>
      <c r="E65" s="353"/>
      <c r="F65" s="353"/>
      <c r="G65" s="354"/>
      <c r="H65" s="353"/>
      <c r="I65" s="353"/>
      <c r="J65" s="353"/>
      <c r="K65" s="354"/>
      <c r="L65" s="353"/>
      <c r="M65" s="353"/>
      <c r="N65" s="353"/>
      <c r="O65" s="354"/>
      <c r="P65" s="353"/>
      <c r="Q65" s="353"/>
      <c r="R65" s="353"/>
      <c r="S65" s="354"/>
      <c r="T65" s="355"/>
      <c r="U65" s="353"/>
      <c r="V65" s="353"/>
      <c r="W65" s="354"/>
      <c r="X65" s="355"/>
      <c r="Y65" s="353"/>
      <c r="Z65" s="353"/>
      <c r="AA65" s="354"/>
      <c r="AB65" s="355"/>
      <c r="AC65" s="353"/>
      <c r="AD65" s="353"/>
      <c r="AE65" s="354"/>
      <c r="AF65" s="355"/>
      <c r="AG65" s="353"/>
      <c r="AH65" s="353"/>
      <c r="AI65" s="354"/>
      <c r="AJ65" s="355"/>
      <c r="AK65" s="353"/>
      <c r="AL65" s="353"/>
      <c r="AM65" s="358"/>
      <c r="AN65" s="355"/>
      <c r="AO65" s="353"/>
      <c r="AP65" s="353"/>
      <c r="AQ65" s="358"/>
      <c r="AR65" s="355"/>
      <c r="AS65" s="353"/>
      <c r="AT65" s="353"/>
      <c r="AU65" s="358"/>
      <c r="AV65" s="355"/>
      <c r="AW65" s="353"/>
      <c r="AX65" s="353"/>
      <c r="AY65" s="715"/>
      <c r="AZ65" s="355"/>
      <c r="BA65" s="353"/>
      <c r="BB65" s="353"/>
      <c r="BC65" s="354"/>
      <c r="BD65" s="714"/>
      <c r="BE65" s="714"/>
      <c r="BF65" s="714"/>
      <c r="BG65" s="715"/>
      <c r="BH65" s="714"/>
      <c r="BI65" s="714"/>
      <c r="BJ65" s="714"/>
      <c r="BK65" s="715"/>
      <c r="BL65" s="215"/>
      <c r="BM65" s="355"/>
      <c r="BN65" s="353"/>
      <c r="BO65" s="353"/>
      <c r="BP65" s="353"/>
      <c r="BQ65" s="353"/>
      <c r="BR65" s="353"/>
      <c r="BS65" s="353"/>
      <c r="BT65" s="714"/>
      <c r="BU65" s="714"/>
      <c r="BV65" s="714"/>
      <c r="BW65" s="714"/>
      <c r="BX65" s="714"/>
      <c r="BY65" s="714"/>
      <c r="BZ65" s="715"/>
      <c r="CA65" s="715"/>
      <c r="CB65" s="184"/>
      <c r="CC65" s="184"/>
      <c r="CD65" s="184"/>
    </row>
    <row r="66" spans="1:82" ht="14.25" hidden="1" customHeight="1" outlineLevel="1">
      <c r="A66" s="203"/>
      <c r="B66" s="217" t="s">
        <v>354</v>
      </c>
      <c r="C66" s="216"/>
      <c r="D66" s="220">
        <f t="shared" ref="D66:AQ66" si="242">D34+D44+D54</f>
        <v>693.76</v>
      </c>
      <c r="E66" s="220">
        <f t="shared" si="242"/>
        <v>483.55400000000003</v>
      </c>
      <c r="F66" s="220">
        <f t="shared" si="242"/>
        <v>542.57300000000009</v>
      </c>
      <c r="G66" s="226">
        <f t="shared" si="242"/>
        <v>551.2940000000001</v>
      </c>
      <c r="H66" s="220">
        <f t="shared" si="242"/>
        <v>513.01199999999994</v>
      </c>
      <c r="I66" s="220">
        <f t="shared" si="242"/>
        <v>547.5859999999999</v>
      </c>
      <c r="J66" s="220">
        <f t="shared" si="242"/>
        <v>544.52800000000002</v>
      </c>
      <c r="K66" s="226">
        <f t="shared" si="242"/>
        <v>515.81099999999992</v>
      </c>
      <c r="L66" s="220">
        <f t="shared" si="242"/>
        <v>562.09799999999996</v>
      </c>
      <c r="M66" s="220">
        <f t="shared" si="242"/>
        <v>529.077</v>
      </c>
      <c r="N66" s="220">
        <f t="shared" si="242"/>
        <v>513.98200000000008</v>
      </c>
      <c r="O66" s="226">
        <f t="shared" si="242"/>
        <v>504.07699999999994</v>
      </c>
      <c r="P66" s="220">
        <f t="shared" si="242"/>
        <v>587.66799999999989</v>
      </c>
      <c r="Q66" s="220">
        <f t="shared" si="242"/>
        <v>448.80199999999996</v>
      </c>
      <c r="R66" s="220">
        <f t="shared" si="242"/>
        <v>402.05700000000002</v>
      </c>
      <c r="S66" s="226">
        <f t="shared" si="242"/>
        <v>385.89400000000001</v>
      </c>
      <c r="T66" s="309">
        <f t="shared" si="242"/>
        <v>594.84099999999989</v>
      </c>
      <c r="U66" s="220">
        <f t="shared" si="242"/>
        <v>541.12699999999995</v>
      </c>
      <c r="V66" s="220">
        <f t="shared" si="242"/>
        <v>677.47699999999998</v>
      </c>
      <c r="W66" s="226">
        <f t="shared" si="242"/>
        <v>518.09900000000005</v>
      </c>
      <c r="X66" s="309">
        <f t="shared" si="242"/>
        <v>462</v>
      </c>
      <c r="Y66" s="220">
        <f t="shared" si="242"/>
        <v>512</v>
      </c>
      <c r="Z66" s="220">
        <f t="shared" si="242"/>
        <v>497</v>
      </c>
      <c r="AA66" s="226">
        <f t="shared" si="242"/>
        <v>491</v>
      </c>
      <c r="AB66" s="309">
        <f t="shared" si="242"/>
        <v>607</v>
      </c>
      <c r="AC66" s="220">
        <f t="shared" si="242"/>
        <v>602</v>
      </c>
      <c r="AD66" s="220">
        <f t="shared" si="242"/>
        <v>608</v>
      </c>
      <c r="AE66" s="226">
        <f t="shared" si="242"/>
        <v>1085</v>
      </c>
      <c r="AF66" s="309">
        <f t="shared" si="242"/>
        <v>543</v>
      </c>
      <c r="AG66" s="220">
        <f t="shared" si="242"/>
        <v>876</v>
      </c>
      <c r="AH66" s="220">
        <f t="shared" si="242"/>
        <v>556</v>
      </c>
      <c r="AI66" s="226">
        <f t="shared" si="242"/>
        <v>584</v>
      </c>
      <c r="AJ66" s="309">
        <f t="shared" si="242"/>
        <v>561</v>
      </c>
      <c r="AK66" s="220">
        <f t="shared" si="242"/>
        <v>614</v>
      </c>
      <c r="AL66" s="220">
        <f t="shared" si="242"/>
        <v>601</v>
      </c>
      <c r="AM66" s="345">
        <f t="shared" si="242"/>
        <v>547</v>
      </c>
      <c r="AN66" s="309">
        <f t="shared" si="242"/>
        <v>501</v>
      </c>
      <c r="AO66" s="220">
        <f t="shared" si="242"/>
        <v>600</v>
      </c>
      <c r="AP66" s="220">
        <f t="shared" si="242"/>
        <v>622</v>
      </c>
      <c r="AQ66" s="345">
        <f t="shared" si="242"/>
        <v>536</v>
      </c>
      <c r="AR66" s="309">
        <f t="shared" ref="AR66:AW66" si="243">AR34+AR44+AR54</f>
        <v>562</v>
      </c>
      <c r="AS66" s="220">
        <f t="shared" si="243"/>
        <v>579</v>
      </c>
      <c r="AT66" s="220">
        <f t="shared" si="243"/>
        <v>596</v>
      </c>
      <c r="AU66" s="345">
        <f t="shared" si="243"/>
        <v>622</v>
      </c>
      <c r="AV66" s="309">
        <f t="shared" si="243"/>
        <v>638</v>
      </c>
      <c r="AW66" s="220">
        <f t="shared" si="243"/>
        <v>660</v>
      </c>
      <c r="AX66" s="220">
        <f t="shared" ref="AX66:AZ66" si="244">AX34+AX44+AX54</f>
        <v>677</v>
      </c>
      <c r="AY66" s="738">
        <f t="shared" si="244"/>
        <v>689</v>
      </c>
      <c r="AZ66" s="747">
        <f t="shared" si="244"/>
        <v>724</v>
      </c>
      <c r="BA66" s="220">
        <f t="shared" ref="BA66:BG66" si="245">BA34+BA44+BA54</f>
        <v>757.46475000000009</v>
      </c>
      <c r="BB66" s="220">
        <f t="shared" si="245"/>
        <v>774.73270087499998</v>
      </c>
      <c r="BC66" s="226">
        <f t="shared" si="245"/>
        <v>776.56415958374998</v>
      </c>
      <c r="BD66" s="735">
        <f t="shared" si="245"/>
        <v>773.08</v>
      </c>
      <c r="BE66" s="735">
        <f t="shared" si="245"/>
        <v>787.41398875000004</v>
      </c>
      <c r="BF66" s="735">
        <f t="shared" si="245"/>
        <v>790.16468190124999</v>
      </c>
      <c r="BG66" s="738">
        <f t="shared" si="245"/>
        <v>792.0510843712625</v>
      </c>
      <c r="BH66" s="735">
        <f t="shared" ref="BH66:BK66" si="246">BH34+BH44+BH54</f>
        <v>778.59257830734771</v>
      </c>
      <c r="BI66" s="735">
        <f t="shared" si="246"/>
        <v>787.28603071036719</v>
      </c>
      <c r="BJ66" s="735">
        <f t="shared" si="246"/>
        <v>791.07271931328501</v>
      </c>
      <c r="BK66" s="738">
        <f t="shared" si="246"/>
        <v>792.76090259010778</v>
      </c>
      <c r="BL66" s="215"/>
      <c r="BM66" s="309">
        <f t="shared" ref="BM66:BX66" si="247">BM34+BM44+BM54</f>
        <v>2271.181</v>
      </c>
      <c r="BN66" s="220">
        <f t="shared" si="247"/>
        <v>2120.9369999999994</v>
      </c>
      <c r="BO66" s="220">
        <f t="shared" si="247"/>
        <v>2109.2339999999999</v>
      </c>
      <c r="BP66" s="220">
        <f t="shared" si="247"/>
        <v>1824.4209999999998</v>
      </c>
      <c r="BQ66" s="220">
        <f t="shared" si="247"/>
        <v>2331.5440000000003</v>
      </c>
      <c r="BR66" s="220">
        <f t="shared" si="247"/>
        <v>1962</v>
      </c>
      <c r="BS66" s="220">
        <f t="shared" si="247"/>
        <v>2902</v>
      </c>
      <c r="BT66" s="735">
        <f t="shared" si="247"/>
        <v>2559</v>
      </c>
      <c r="BU66" s="735">
        <f t="shared" si="247"/>
        <v>2323</v>
      </c>
      <c r="BV66" s="700">
        <f t="shared" si="247"/>
        <v>2259</v>
      </c>
      <c r="BW66" s="700">
        <f t="shared" si="247"/>
        <v>2359</v>
      </c>
      <c r="BX66" s="700">
        <f t="shared" si="247"/>
        <v>2664</v>
      </c>
      <c r="BY66" s="735">
        <f>BY34+BY44+BY54</f>
        <v>3032.7616104587501</v>
      </c>
      <c r="BZ66" s="738">
        <f>BZ34+BZ44+BZ54</f>
        <v>3142.7097550225126</v>
      </c>
      <c r="CA66" s="738">
        <f>CA34+CA44+CA54</f>
        <v>3149.7122309211077</v>
      </c>
      <c r="CB66" s="184"/>
      <c r="CC66" s="184"/>
      <c r="CD66" s="184"/>
    </row>
    <row r="67" spans="1:82" ht="14.25" hidden="1" customHeight="1" outlineLevel="1">
      <c r="A67" s="203"/>
      <c r="B67" s="217" t="s">
        <v>353</v>
      </c>
      <c r="C67" s="216"/>
      <c r="D67" s="220">
        <f t="shared" ref="D67:AQ67" si="248">D39+D49+D61</f>
        <v>693.76</v>
      </c>
      <c r="E67" s="220">
        <f t="shared" si="248"/>
        <v>483.55400000000003</v>
      </c>
      <c r="F67" s="220">
        <f t="shared" si="248"/>
        <v>542.57300000000009</v>
      </c>
      <c r="G67" s="226">
        <f t="shared" si="248"/>
        <v>551.2940000000001</v>
      </c>
      <c r="H67" s="220">
        <f t="shared" si="248"/>
        <v>497.87299999999993</v>
      </c>
      <c r="I67" s="220">
        <f t="shared" si="248"/>
        <v>400.59599999999995</v>
      </c>
      <c r="J67" s="220">
        <f t="shared" si="248"/>
        <v>476.52200000000005</v>
      </c>
      <c r="K67" s="226">
        <f t="shared" si="248"/>
        <v>442.99499999999995</v>
      </c>
      <c r="L67" s="220">
        <f t="shared" si="248"/>
        <v>442.33099999999996</v>
      </c>
      <c r="M67" s="220">
        <f t="shared" si="248"/>
        <v>446.84199999999998</v>
      </c>
      <c r="N67" s="220">
        <f t="shared" si="248"/>
        <v>426.45800000000003</v>
      </c>
      <c r="O67" s="226">
        <f t="shared" si="248"/>
        <v>456.50199999999995</v>
      </c>
      <c r="P67" s="220">
        <f t="shared" si="248"/>
        <v>395.26299999999992</v>
      </c>
      <c r="Q67" s="220">
        <f t="shared" si="248"/>
        <v>358.09699999999998</v>
      </c>
      <c r="R67" s="220">
        <f t="shared" si="248"/>
        <v>379.63200000000001</v>
      </c>
      <c r="S67" s="226">
        <f t="shared" si="248"/>
        <v>367.16199999999998</v>
      </c>
      <c r="T67" s="309">
        <f t="shared" si="248"/>
        <v>455.17499999999995</v>
      </c>
      <c r="U67" s="220">
        <f t="shared" si="248"/>
        <v>501.91699999999997</v>
      </c>
      <c r="V67" s="220">
        <f t="shared" si="248"/>
        <v>521.16099999999994</v>
      </c>
      <c r="W67" s="226">
        <f t="shared" si="248"/>
        <v>506.55200000000002</v>
      </c>
      <c r="X67" s="309">
        <f t="shared" si="248"/>
        <v>477</v>
      </c>
      <c r="Y67" s="220">
        <f t="shared" si="248"/>
        <v>504</v>
      </c>
      <c r="Z67" s="220">
        <f t="shared" si="248"/>
        <v>501</v>
      </c>
      <c r="AA67" s="226">
        <f t="shared" si="248"/>
        <v>468</v>
      </c>
      <c r="AB67" s="309">
        <f t="shared" si="248"/>
        <v>546</v>
      </c>
      <c r="AC67" s="220">
        <f t="shared" si="248"/>
        <v>580</v>
      </c>
      <c r="AD67" s="220">
        <f t="shared" si="248"/>
        <v>543</v>
      </c>
      <c r="AE67" s="226">
        <f t="shared" si="248"/>
        <v>518</v>
      </c>
      <c r="AF67" s="309">
        <f t="shared" si="248"/>
        <v>514</v>
      </c>
      <c r="AG67" s="220">
        <f t="shared" si="248"/>
        <v>567</v>
      </c>
      <c r="AH67" s="220">
        <f t="shared" si="248"/>
        <v>535</v>
      </c>
      <c r="AI67" s="226">
        <f t="shared" si="248"/>
        <v>512</v>
      </c>
      <c r="AJ67" s="309">
        <f t="shared" si="248"/>
        <v>550</v>
      </c>
      <c r="AK67" s="220">
        <f t="shared" si="248"/>
        <v>559</v>
      </c>
      <c r="AL67" s="220">
        <f t="shared" si="248"/>
        <v>553</v>
      </c>
      <c r="AM67" s="345">
        <f t="shared" si="248"/>
        <v>559</v>
      </c>
      <c r="AN67" s="309">
        <f t="shared" si="248"/>
        <v>552</v>
      </c>
      <c r="AO67" s="220">
        <f t="shared" si="248"/>
        <v>579</v>
      </c>
      <c r="AP67" s="220">
        <f t="shared" si="248"/>
        <v>576</v>
      </c>
      <c r="AQ67" s="345">
        <f t="shared" si="248"/>
        <v>544</v>
      </c>
      <c r="AR67" s="309">
        <f t="shared" ref="AR67:AW67" si="249">AR39+AR49+AR61</f>
        <v>556</v>
      </c>
      <c r="AS67" s="220">
        <f t="shared" si="249"/>
        <v>575</v>
      </c>
      <c r="AT67" s="220">
        <f t="shared" si="249"/>
        <v>589</v>
      </c>
      <c r="AU67" s="345">
        <f t="shared" si="249"/>
        <v>609</v>
      </c>
      <c r="AV67" s="309">
        <f t="shared" si="249"/>
        <v>635</v>
      </c>
      <c r="AW67" s="220">
        <f t="shared" si="249"/>
        <v>654</v>
      </c>
      <c r="AX67" s="220">
        <f t="shared" ref="AX67:AZ67" si="250">AX39+AX49+AX61</f>
        <v>671</v>
      </c>
      <c r="AY67" s="738">
        <f t="shared" si="250"/>
        <v>694</v>
      </c>
      <c r="AZ67" s="747">
        <f t="shared" si="250"/>
        <v>719</v>
      </c>
      <c r="BA67" s="220">
        <f t="shared" ref="BA67:BG67" si="251">BA39+BA49+BA61</f>
        <v>752.46475000000009</v>
      </c>
      <c r="BB67" s="220">
        <f t="shared" si="251"/>
        <v>769.73270087499998</v>
      </c>
      <c r="BC67" s="226">
        <f t="shared" si="251"/>
        <v>764</v>
      </c>
      <c r="BD67" s="735">
        <f t="shared" si="251"/>
        <v>768.08</v>
      </c>
      <c r="BE67" s="735">
        <f t="shared" si="251"/>
        <v>760</v>
      </c>
      <c r="BF67" s="735">
        <f t="shared" si="251"/>
        <v>785.16468190124999</v>
      </c>
      <c r="BG67" s="738">
        <f t="shared" si="251"/>
        <v>772</v>
      </c>
      <c r="BH67" s="735">
        <f t="shared" ref="BH67:BK67" si="252">BH39+BH49+BH61</f>
        <v>773.59257830734771</v>
      </c>
      <c r="BI67" s="735">
        <f t="shared" si="252"/>
        <v>786.75</v>
      </c>
      <c r="BJ67" s="735">
        <f t="shared" si="252"/>
        <v>786.07271931328501</v>
      </c>
      <c r="BK67" s="738">
        <f t="shared" si="252"/>
        <v>798.75</v>
      </c>
      <c r="BL67" s="215"/>
      <c r="BM67" s="309">
        <f t="shared" ref="BM67:BX67" si="253">BM39+BM49+BM61</f>
        <v>2271.181</v>
      </c>
      <c r="BN67" s="220">
        <f t="shared" si="253"/>
        <v>1817.9859999999996</v>
      </c>
      <c r="BO67" s="220">
        <f t="shared" si="253"/>
        <v>1772.133</v>
      </c>
      <c r="BP67" s="220">
        <f t="shared" si="253"/>
        <v>1500.1539999999998</v>
      </c>
      <c r="BQ67" s="220">
        <f t="shared" si="253"/>
        <v>1984.8050000000001</v>
      </c>
      <c r="BR67" s="220">
        <f t="shared" si="253"/>
        <v>1950</v>
      </c>
      <c r="BS67" s="220">
        <f t="shared" si="253"/>
        <v>2187</v>
      </c>
      <c r="BT67" s="735">
        <f t="shared" si="253"/>
        <v>2128</v>
      </c>
      <c r="BU67" s="735">
        <f t="shared" si="253"/>
        <v>2221</v>
      </c>
      <c r="BV67" s="700">
        <f t="shared" si="253"/>
        <v>2251</v>
      </c>
      <c r="BW67" s="700">
        <f t="shared" si="253"/>
        <v>2329</v>
      </c>
      <c r="BX67" s="700">
        <f t="shared" si="253"/>
        <v>2654</v>
      </c>
      <c r="BY67" s="735">
        <f>BY39+BY49+BY61</f>
        <v>3012.7616104587501</v>
      </c>
      <c r="BZ67" s="738">
        <f>BZ39+BZ49+BZ61</f>
        <v>3122.7097550225126</v>
      </c>
      <c r="CA67" s="738">
        <f>CA39+CA49+CA61</f>
        <v>3129.7122309211077</v>
      </c>
      <c r="CB67" s="184"/>
      <c r="CC67" s="184"/>
      <c r="CD67" s="184"/>
    </row>
    <row r="68" spans="1:82" ht="14.25" hidden="1" customHeight="1" outlineLevel="1">
      <c r="A68" s="203"/>
      <c r="B68" s="217" t="s">
        <v>352</v>
      </c>
      <c r="C68" s="216"/>
      <c r="D68" s="220">
        <f t="shared" ref="D68:AQ68" si="254">D41+D51+D63</f>
        <v>693.76</v>
      </c>
      <c r="E68" s="220">
        <f t="shared" si="254"/>
        <v>483.55400000000003</v>
      </c>
      <c r="F68" s="220">
        <f t="shared" si="254"/>
        <v>542.57300000000009</v>
      </c>
      <c r="G68" s="226">
        <f t="shared" si="254"/>
        <v>551.2940000000001</v>
      </c>
      <c r="H68" s="220">
        <f t="shared" si="254"/>
        <v>497.87299999999993</v>
      </c>
      <c r="I68" s="220">
        <f t="shared" si="254"/>
        <v>400.59599999999995</v>
      </c>
      <c r="J68" s="220">
        <f t="shared" si="254"/>
        <v>476.52200000000005</v>
      </c>
      <c r="K68" s="226">
        <f t="shared" si="254"/>
        <v>442.99499999999995</v>
      </c>
      <c r="L68" s="220">
        <f t="shared" si="254"/>
        <v>442.33099999999996</v>
      </c>
      <c r="M68" s="220">
        <f t="shared" si="254"/>
        <v>446.84199999999998</v>
      </c>
      <c r="N68" s="220">
        <f t="shared" si="254"/>
        <v>426.45800000000003</v>
      </c>
      <c r="O68" s="226">
        <f t="shared" si="254"/>
        <v>456.50199999999995</v>
      </c>
      <c r="P68" s="220">
        <f t="shared" si="254"/>
        <v>395.26299999999992</v>
      </c>
      <c r="Q68" s="220">
        <f t="shared" si="254"/>
        <v>358.09699999999998</v>
      </c>
      <c r="R68" s="220">
        <f t="shared" si="254"/>
        <v>379.63200000000001</v>
      </c>
      <c r="S68" s="226">
        <f t="shared" si="254"/>
        <v>367.16199999999998</v>
      </c>
      <c r="T68" s="309">
        <f t="shared" si="254"/>
        <v>455.17499999999995</v>
      </c>
      <c r="U68" s="220">
        <f t="shared" si="254"/>
        <v>501.91699999999997</v>
      </c>
      <c r="V68" s="220">
        <f t="shared" si="254"/>
        <v>521.16099999999994</v>
      </c>
      <c r="W68" s="226">
        <f t="shared" si="254"/>
        <v>506.55200000000002</v>
      </c>
      <c r="X68" s="309">
        <f t="shared" si="254"/>
        <v>477</v>
      </c>
      <c r="Y68" s="220">
        <f t="shared" si="254"/>
        <v>504</v>
      </c>
      <c r="Z68" s="220">
        <f t="shared" si="254"/>
        <v>501</v>
      </c>
      <c r="AA68" s="226">
        <f t="shared" si="254"/>
        <v>468</v>
      </c>
      <c r="AB68" s="309">
        <f t="shared" si="254"/>
        <v>546</v>
      </c>
      <c r="AC68" s="220">
        <f t="shared" si="254"/>
        <v>580</v>
      </c>
      <c r="AD68" s="220">
        <f t="shared" si="254"/>
        <v>543</v>
      </c>
      <c r="AE68" s="226">
        <f t="shared" si="254"/>
        <v>518</v>
      </c>
      <c r="AF68" s="309">
        <f t="shared" si="254"/>
        <v>514</v>
      </c>
      <c r="AG68" s="220">
        <f t="shared" si="254"/>
        <v>567</v>
      </c>
      <c r="AH68" s="220">
        <f t="shared" si="254"/>
        <v>535</v>
      </c>
      <c r="AI68" s="226">
        <f t="shared" si="254"/>
        <v>512</v>
      </c>
      <c r="AJ68" s="309">
        <f t="shared" si="254"/>
        <v>550</v>
      </c>
      <c r="AK68" s="220">
        <f t="shared" si="254"/>
        <v>559</v>
      </c>
      <c r="AL68" s="220">
        <f t="shared" si="254"/>
        <v>553</v>
      </c>
      <c r="AM68" s="345">
        <f t="shared" si="254"/>
        <v>559</v>
      </c>
      <c r="AN68" s="309">
        <f t="shared" si="254"/>
        <v>552</v>
      </c>
      <c r="AO68" s="220">
        <f t="shared" si="254"/>
        <v>579</v>
      </c>
      <c r="AP68" s="220">
        <f t="shared" si="254"/>
        <v>576</v>
      </c>
      <c r="AQ68" s="345">
        <f t="shared" si="254"/>
        <v>544</v>
      </c>
      <c r="AR68" s="309">
        <f t="shared" ref="AR68:AW68" si="255">AR41+AR51+AR63</f>
        <v>556</v>
      </c>
      <c r="AS68" s="220">
        <f t="shared" si="255"/>
        <v>575</v>
      </c>
      <c r="AT68" s="220">
        <f t="shared" si="255"/>
        <v>589</v>
      </c>
      <c r="AU68" s="345">
        <f t="shared" si="255"/>
        <v>609</v>
      </c>
      <c r="AV68" s="309">
        <f t="shared" si="255"/>
        <v>635</v>
      </c>
      <c r="AW68" s="220">
        <f t="shared" si="255"/>
        <v>654</v>
      </c>
      <c r="AX68" s="220">
        <f t="shared" ref="AX68:AZ68" si="256">AX41+AX51+AX63</f>
        <v>671</v>
      </c>
      <c r="AY68" s="738">
        <f t="shared" si="256"/>
        <v>694</v>
      </c>
      <c r="AZ68" s="747">
        <f t="shared" si="256"/>
        <v>719</v>
      </c>
      <c r="BA68" s="220">
        <f t="shared" ref="BA68:BG68" si="257">BA41+BA51+BA63</f>
        <v>752.46475000000009</v>
      </c>
      <c r="BB68" s="220">
        <f t="shared" si="257"/>
        <v>769.73270087499998</v>
      </c>
      <c r="BC68" s="226">
        <f t="shared" si="257"/>
        <v>771.56415958374998</v>
      </c>
      <c r="BD68" s="735">
        <f t="shared" si="257"/>
        <v>768.08</v>
      </c>
      <c r="BE68" s="735">
        <f t="shared" si="257"/>
        <v>782.41398875000004</v>
      </c>
      <c r="BF68" s="735">
        <f t="shared" si="257"/>
        <v>785.16468190124999</v>
      </c>
      <c r="BG68" s="738">
        <f t="shared" si="257"/>
        <v>787.0510843712625</v>
      </c>
      <c r="BH68" s="735">
        <f t="shared" ref="BH68:BK68" si="258">BH41+BH51+BH63</f>
        <v>773.59257830734771</v>
      </c>
      <c r="BI68" s="735">
        <f t="shared" si="258"/>
        <v>782.28603071036719</v>
      </c>
      <c r="BJ68" s="735">
        <f t="shared" si="258"/>
        <v>786.07271931328501</v>
      </c>
      <c r="BK68" s="738">
        <f t="shared" si="258"/>
        <v>787.76090259010778</v>
      </c>
      <c r="BL68" s="215"/>
      <c r="BM68" s="309">
        <f t="shared" ref="BM68:BX68" si="259">BM41+BM51+BM63</f>
        <v>2271.181</v>
      </c>
      <c r="BN68" s="220">
        <f t="shared" si="259"/>
        <v>1817.9859999999996</v>
      </c>
      <c r="BO68" s="220">
        <f t="shared" si="259"/>
        <v>1772.133</v>
      </c>
      <c r="BP68" s="220">
        <f t="shared" si="259"/>
        <v>1500.1539999999998</v>
      </c>
      <c r="BQ68" s="220">
        <f t="shared" si="259"/>
        <v>1984.8050000000001</v>
      </c>
      <c r="BR68" s="220">
        <f t="shared" si="259"/>
        <v>1950</v>
      </c>
      <c r="BS68" s="220">
        <f t="shared" si="259"/>
        <v>2187</v>
      </c>
      <c r="BT68" s="735">
        <f>BT41+BT51+BT63</f>
        <v>2128</v>
      </c>
      <c r="BU68" s="735">
        <f t="shared" si="259"/>
        <v>2221</v>
      </c>
      <c r="BV68" s="700">
        <f t="shared" si="259"/>
        <v>2251</v>
      </c>
      <c r="BW68" s="700">
        <f t="shared" si="259"/>
        <v>2329</v>
      </c>
      <c r="BX68" s="700">
        <f t="shared" si="259"/>
        <v>2654</v>
      </c>
      <c r="BY68" s="735">
        <f>BY41+BY51+BY63</f>
        <v>3012.7616104587501</v>
      </c>
      <c r="BZ68" s="738">
        <f>BZ41+BZ51+BZ63</f>
        <v>3122.7097550225126</v>
      </c>
      <c r="CA68" s="738">
        <f>CA41+CA51+CA63</f>
        <v>3129.7122309211077</v>
      </c>
      <c r="CB68" s="184"/>
      <c r="CC68" s="184"/>
      <c r="CD68" s="184"/>
    </row>
    <row r="69" spans="1:82" ht="14.25" hidden="1" customHeight="1" outlineLevel="1">
      <c r="A69" s="203"/>
      <c r="B69" s="377"/>
      <c r="C69" s="376"/>
      <c r="D69" s="373"/>
      <c r="E69" s="373"/>
      <c r="F69" s="353"/>
      <c r="G69" s="375"/>
      <c r="H69" s="373"/>
      <c r="I69" s="373"/>
      <c r="J69" s="353"/>
      <c r="K69" s="375"/>
      <c r="L69" s="373"/>
      <c r="M69" s="373"/>
      <c r="N69" s="353"/>
      <c r="O69" s="375"/>
      <c r="P69" s="373"/>
      <c r="Q69" s="373"/>
      <c r="R69" s="353"/>
      <c r="S69" s="375"/>
      <c r="T69" s="371"/>
      <c r="U69" s="373"/>
      <c r="V69" s="353"/>
      <c r="W69" s="375"/>
      <c r="X69" s="371"/>
      <c r="Y69" s="373"/>
      <c r="Z69" s="353"/>
      <c r="AA69" s="375"/>
      <c r="AB69" s="371"/>
      <c r="AC69" s="373"/>
      <c r="AD69" s="353"/>
      <c r="AE69" s="375"/>
      <c r="AF69" s="371"/>
      <c r="AG69" s="373"/>
      <c r="AH69" s="353"/>
      <c r="AI69" s="375"/>
      <c r="AJ69" s="371"/>
      <c r="AK69" s="373"/>
      <c r="AL69" s="353"/>
      <c r="AM69" s="374"/>
      <c r="AN69" s="371"/>
      <c r="AO69" s="373"/>
      <c r="AP69" s="353"/>
      <c r="AQ69" s="372"/>
      <c r="AR69" s="371"/>
      <c r="AS69" s="373"/>
      <c r="AT69" s="353"/>
      <c r="AU69" s="372"/>
      <c r="AV69" s="696">
        <f>AV67/AV7</f>
        <v>0.19371568029286151</v>
      </c>
      <c r="AW69" s="718">
        <f t="shared" ref="AW69:BC69" si="260">AW67/AW7</f>
        <v>0.18443316412859559</v>
      </c>
      <c r="AX69" s="718">
        <f t="shared" si="260"/>
        <v>0.17922008547008547</v>
      </c>
      <c r="AY69" s="773"/>
      <c r="AZ69" s="696">
        <f>AZ67/AZ7</f>
        <v>0.17102759276879162</v>
      </c>
      <c r="BA69" s="718">
        <f t="shared" si="260"/>
        <v>0.16872261912823386</v>
      </c>
      <c r="BB69" s="718">
        <f t="shared" si="260"/>
        <v>0.17724127906536633</v>
      </c>
      <c r="BC69" s="718">
        <f t="shared" si="260"/>
        <v>0.17479836113744579</v>
      </c>
      <c r="BD69" s="696">
        <f t="shared" ref="BD69:BG69" si="261">BD67/BD7</f>
        <v>0.18120601614781026</v>
      </c>
      <c r="BE69" s="718">
        <f t="shared" si="261"/>
        <v>0.17770049368474286</v>
      </c>
      <c r="BF69" s="718">
        <f t="shared" si="261"/>
        <v>0.18254591386778604</v>
      </c>
      <c r="BG69" s="718">
        <f t="shared" si="261"/>
        <v>0.17707627073873514</v>
      </c>
      <c r="BH69" s="696">
        <f t="shared" ref="BH69:BK69" si="262">BH67/BH7</f>
        <v>0.17878015741369374</v>
      </c>
      <c r="BI69" s="718">
        <f t="shared" si="262"/>
        <v>0.18023590389423758</v>
      </c>
      <c r="BJ69" s="718">
        <f t="shared" si="262"/>
        <v>0.17823840337153499</v>
      </c>
      <c r="BK69" s="718">
        <f t="shared" si="262"/>
        <v>0.18092727463441052</v>
      </c>
      <c r="BL69" s="215"/>
      <c r="BM69" s="257"/>
      <c r="BN69" s="255"/>
      <c r="BO69" s="255"/>
      <c r="BP69" s="255"/>
      <c r="BQ69" s="370"/>
      <c r="BR69" s="370"/>
      <c r="BS69" s="370"/>
      <c r="BT69" s="370"/>
      <c r="BU69" s="697">
        <f>BU67/BU7</f>
        <v>0.24481922398589065</v>
      </c>
      <c r="BV69" s="697">
        <f t="shared" ref="BV69:BW69" si="263">BV67/BV7</f>
        <v>0.23304689926493427</v>
      </c>
      <c r="BW69" s="697">
        <f t="shared" si="263"/>
        <v>0.21515011547344109</v>
      </c>
      <c r="BX69" s="697">
        <f>BX67/BX7</f>
        <v>0.18256861800921786</v>
      </c>
      <c r="BY69" s="697">
        <f>BY67/BY7</f>
        <v>0.17337263644226059</v>
      </c>
      <c r="BZ69" s="778">
        <f>BZ67/BZ7</f>
        <v>0.18180166477094856</v>
      </c>
      <c r="CA69" s="778">
        <f>CA67/CA7</f>
        <v>0.17866547963893745</v>
      </c>
      <c r="CB69" s="184"/>
      <c r="CC69" s="184"/>
      <c r="CD69" s="184"/>
    </row>
    <row r="70" spans="1:82" ht="14.25" hidden="1" customHeight="1" outlineLevel="1">
      <c r="A70" s="203"/>
      <c r="B70" s="217"/>
      <c r="C70" s="216"/>
      <c r="D70" s="353"/>
      <c r="E70" s="353"/>
      <c r="F70" s="353"/>
      <c r="G70" s="354"/>
      <c r="H70" s="353"/>
      <c r="I70" s="353"/>
      <c r="J70" s="353"/>
      <c r="K70" s="354"/>
      <c r="L70" s="353"/>
      <c r="M70" s="353"/>
      <c r="N70" s="353"/>
      <c r="O70" s="354"/>
      <c r="P70" s="353"/>
      <c r="Q70" s="353"/>
      <c r="R70" s="353"/>
      <c r="S70" s="354"/>
      <c r="T70" s="355"/>
      <c r="U70" s="353"/>
      <c r="V70" s="353"/>
      <c r="W70" s="354"/>
      <c r="X70" s="355"/>
      <c r="Y70" s="353"/>
      <c r="Z70" s="353"/>
      <c r="AA70" s="354"/>
      <c r="AB70" s="355"/>
      <c r="AC70" s="353"/>
      <c r="AD70" s="353"/>
      <c r="AE70" s="354"/>
      <c r="AF70" s="355"/>
      <c r="AG70" s="353"/>
      <c r="AH70" s="353"/>
      <c r="AI70" s="354"/>
      <c r="AJ70" s="355"/>
      <c r="AK70" s="353"/>
      <c r="AL70" s="353"/>
      <c r="AM70" s="358"/>
      <c r="AN70" s="355"/>
      <c r="AO70" s="353"/>
      <c r="AP70" s="353"/>
      <c r="AQ70" s="358"/>
      <c r="AR70" s="355"/>
      <c r="AS70" s="353"/>
      <c r="AT70" s="353"/>
      <c r="AU70" s="358"/>
      <c r="AV70" s="355"/>
      <c r="AW70" s="353"/>
      <c r="AX70" s="353"/>
      <c r="AY70" s="715"/>
      <c r="AZ70" s="355"/>
      <c r="BA70" s="353"/>
      <c r="BB70" s="353"/>
      <c r="BC70" s="354"/>
      <c r="BD70" s="714"/>
      <c r="BE70" s="714"/>
      <c r="BF70" s="714"/>
      <c r="BG70" s="715"/>
      <c r="BH70" s="714"/>
      <c r="BI70" s="714"/>
      <c r="BJ70" s="714"/>
      <c r="BK70" s="715"/>
      <c r="BL70" s="215"/>
      <c r="BM70" s="355"/>
      <c r="BN70" s="353"/>
      <c r="BO70" s="353"/>
      <c r="BP70" s="353"/>
      <c r="BQ70" s="353"/>
      <c r="BR70" s="353"/>
      <c r="BS70" s="353"/>
      <c r="BT70" s="714"/>
      <c r="BU70" s="714"/>
      <c r="BV70" s="714"/>
      <c r="BW70" s="714"/>
      <c r="BX70" s="714"/>
      <c r="BY70" s="714"/>
      <c r="BZ70" s="715"/>
      <c r="CA70" s="715"/>
      <c r="CB70" s="184"/>
      <c r="CC70" s="184"/>
      <c r="CD70" s="184"/>
    </row>
    <row r="71" spans="1:82" ht="14.25" customHeight="1" collapsed="1">
      <c r="A71" s="203"/>
      <c r="B71" s="321" t="s">
        <v>351</v>
      </c>
      <c r="C71" s="320"/>
      <c r="D71" s="332">
        <f t="shared" ref="D71:AQ71" si="264">D25-D66</f>
        <v>143.93900000000008</v>
      </c>
      <c r="E71" s="332">
        <f t="shared" si="264"/>
        <v>561.07100000000014</v>
      </c>
      <c r="F71" s="332">
        <f t="shared" si="264"/>
        <v>680.78100000000018</v>
      </c>
      <c r="G71" s="333">
        <f t="shared" si="264"/>
        <v>634.82999999999993</v>
      </c>
      <c r="H71" s="332">
        <f t="shared" si="264"/>
        <v>549.52599999999984</v>
      </c>
      <c r="I71" s="332">
        <f t="shared" si="264"/>
        <v>589.02400000000023</v>
      </c>
      <c r="J71" s="332">
        <f t="shared" si="264"/>
        <v>671.86199999999985</v>
      </c>
      <c r="K71" s="333">
        <f t="shared" si="264"/>
        <v>561.09400000000005</v>
      </c>
      <c r="L71" s="332">
        <f t="shared" si="264"/>
        <v>372.88300000000004</v>
      </c>
      <c r="M71" s="332">
        <f t="shared" si="264"/>
        <v>437.75099999999998</v>
      </c>
      <c r="N71" s="332">
        <f t="shared" si="264"/>
        <v>228.33199999999977</v>
      </c>
      <c r="O71" s="333">
        <f t="shared" si="264"/>
        <v>294.62799999999999</v>
      </c>
      <c r="P71" s="332">
        <f t="shared" si="264"/>
        <v>-196.09199999999998</v>
      </c>
      <c r="Q71" s="332">
        <f t="shared" si="264"/>
        <v>-293.28299999999996</v>
      </c>
      <c r="R71" s="332">
        <f t="shared" si="264"/>
        <v>-77.182999999999993</v>
      </c>
      <c r="S71" s="333">
        <f t="shared" si="264"/>
        <v>172.94200000000001</v>
      </c>
      <c r="T71" s="334">
        <f t="shared" si="264"/>
        <v>116.34300000000007</v>
      </c>
      <c r="U71" s="332">
        <f t="shared" si="264"/>
        <v>385.7650000000001</v>
      </c>
      <c r="V71" s="332">
        <f t="shared" si="264"/>
        <v>182.65099999999995</v>
      </c>
      <c r="W71" s="333">
        <f t="shared" si="264"/>
        <v>698.69899999999996</v>
      </c>
      <c r="X71" s="334">
        <f t="shared" si="264"/>
        <v>674</v>
      </c>
      <c r="Y71" s="332">
        <f t="shared" si="264"/>
        <v>677</v>
      </c>
      <c r="Z71" s="332">
        <f t="shared" si="264"/>
        <v>687</v>
      </c>
      <c r="AA71" s="333">
        <f t="shared" si="264"/>
        <v>361</v>
      </c>
      <c r="AB71" s="334">
        <f t="shared" si="264"/>
        <v>179</v>
      </c>
      <c r="AC71" s="332">
        <f t="shared" si="264"/>
        <v>409</v>
      </c>
      <c r="AD71" s="332">
        <f t="shared" si="264"/>
        <v>322</v>
      </c>
      <c r="AE71" s="333">
        <f t="shared" si="264"/>
        <v>-499</v>
      </c>
      <c r="AF71" s="334">
        <f t="shared" si="264"/>
        <v>39</v>
      </c>
      <c r="AG71" s="332">
        <f t="shared" si="264"/>
        <v>-68</v>
      </c>
      <c r="AH71" s="332">
        <f t="shared" si="264"/>
        <v>250</v>
      </c>
      <c r="AI71" s="333">
        <f t="shared" si="264"/>
        <v>211</v>
      </c>
      <c r="AJ71" s="334">
        <f t="shared" si="264"/>
        <v>330</v>
      </c>
      <c r="AK71" s="332">
        <f t="shared" si="264"/>
        <v>387</v>
      </c>
      <c r="AL71" s="332">
        <f t="shared" si="264"/>
        <v>391</v>
      </c>
      <c r="AM71" s="335">
        <f t="shared" si="264"/>
        <v>412</v>
      </c>
      <c r="AN71" s="334">
        <f t="shared" si="264"/>
        <v>458</v>
      </c>
      <c r="AO71" s="332">
        <f t="shared" si="264"/>
        <v>416</v>
      </c>
      <c r="AP71" s="332">
        <f t="shared" si="264"/>
        <v>396</v>
      </c>
      <c r="AQ71" s="335">
        <f t="shared" si="264"/>
        <v>423</v>
      </c>
      <c r="AR71" s="334">
        <f t="shared" ref="AR71:AW71" si="265">AR25-AR66</f>
        <v>354</v>
      </c>
      <c r="AS71" s="332">
        <f t="shared" si="265"/>
        <v>425</v>
      </c>
      <c r="AT71" s="332">
        <f t="shared" si="265"/>
        <v>596</v>
      </c>
      <c r="AU71" s="335">
        <f t="shared" si="265"/>
        <v>777</v>
      </c>
      <c r="AV71" s="334">
        <f t="shared" si="265"/>
        <v>807</v>
      </c>
      <c r="AW71" s="332">
        <f t="shared" si="265"/>
        <v>940</v>
      </c>
      <c r="AX71" s="332">
        <f t="shared" ref="AX71:AZ71" si="266">AX25-AX66</f>
        <v>1023</v>
      </c>
      <c r="AY71" s="712">
        <f t="shared" si="266"/>
        <v>1098</v>
      </c>
      <c r="AZ71" s="334">
        <f t="shared" si="266"/>
        <v>1196</v>
      </c>
      <c r="BA71" s="332">
        <f t="shared" ref="BA71:BG71" si="267">BA25-BA66</f>
        <v>1279.3492557088489</v>
      </c>
      <c r="BB71" s="332">
        <f t="shared" si="267"/>
        <v>1208.6822525027355</v>
      </c>
      <c r="BC71" s="333">
        <f t="shared" si="267"/>
        <v>1219.5920470385145</v>
      </c>
      <c r="BD71" s="711">
        <f t="shared" si="267"/>
        <v>1155.5336709441876</v>
      </c>
      <c r="BE71" s="711">
        <f t="shared" si="267"/>
        <v>1158.5569696283223</v>
      </c>
      <c r="BF71" s="711">
        <f t="shared" si="267"/>
        <v>1145.3708738903047</v>
      </c>
      <c r="BG71" s="712">
        <f t="shared" si="267"/>
        <v>1169.8153958222736</v>
      </c>
      <c r="BH71" s="711">
        <f t="shared" ref="BH71:BK71" si="268">BH25-BH66</f>
        <v>1168.5846994974336</v>
      </c>
      <c r="BI71" s="711">
        <f t="shared" si="268"/>
        <v>1177.0146016861011</v>
      </c>
      <c r="BJ71" s="711">
        <f t="shared" si="268"/>
        <v>1193.5317037505158</v>
      </c>
      <c r="BK71" s="712">
        <f t="shared" si="268"/>
        <v>1193.8798663392586</v>
      </c>
      <c r="BL71" s="215"/>
      <c r="BM71" s="334">
        <f t="shared" ref="BM71:BX71" si="269">BM25-BM66</f>
        <v>2020.6210000000015</v>
      </c>
      <c r="BN71" s="332">
        <f t="shared" si="269"/>
        <v>2371.5059999999999</v>
      </c>
      <c r="BO71" s="332">
        <f t="shared" si="269"/>
        <v>1333.5939999999996</v>
      </c>
      <c r="BP71" s="332">
        <f t="shared" si="269"/>
        <v>-393.61599999999999</v>
      </c>
      <c r="BQ71" s="332">
        <f t="shared" si="269"/>
        <v>1383.4579999999992</v>
      </c>
      <c r="BR71" s="332">
        <f t="shared" si="269"/>
        <v>2399</v>
      </c>
      <c r="BS71" s="332">
        <f t="shared" si="269"/>
        <v>411</v>
      </c>
      <c r="BT71" s="711">
        <f t="shared" si="269"/>
        <v>432</v>
      </c>
      <c r="BU71" s="711">
        <f t="shared" si="269"/>
        <v>1520</v>
      </c>
      <c r="BV71" s="711">
        <f t="shared" si="269"/>
        <v>1693</v>
      </c>
      <c r="BW71" s="711">
        <f t="shared" si="269"/>
        <v>2152</v>
      </c>
      <c r="BX71" s="711">
        <f t="shared" si="269"/>
        <v>3868</v>
      </c>
      <c r="BY71" s="711">
        <f>BY25-BY66</f>
        <v>4903.6235552500984</v>
      </c>
      <c r="BZ71" s="712">
        <f>BZ25-BZ66</f>
        <v>4629.276910285088</v>
      </c>
      <c r="CA71" s="712">
        <f>CA25-CA66</f>
        <v>4733.010871273309</v>
      </c>
      <c r="CB71" s="184"/>
      <c r="CC71" s="184"/>
      <c r="CD71" s="184"/>
    </row>
    <row r="72" spans="1:82" ht="14.25" customHeight="1">
      <c r="A72" s="203"/>
      <c r="B72" s="262" t="s">
        <v>350</v>
      </c>
      <c r="C72" s="261"/>
      <c r="D72" s="275">
        <f t="shared" ref="D72:AQ72" si="270">D71/D7</f>
        <v>7.7486875481806591E-2</v>
      </c>
      <c r="E72" s="275">
        <f t="shared" si="270"/>
        <v>0.24962161084777862</v>
      </c>
      <c r="F72" s="275">
        <f t="shared" si="270"/>
        <v>0.26766119783301617</v>
      </c>
      <c r="G72" s="277">
        <f t="shared" si="270"/>
        <v>0.25208742588729743</v>
      </c>
      <c r="H72" s="275">
        <f t="shared" si="270"/>
        <v>0.24130942924127907</v>
      </c>
      <c r="I72" s="275">
        <f t="shared" si="270"/>
        <v>0.23285621497168885</v>
      </c>
      <c r="J72" s="275">
        <f t="shared" si="270"/>
        <v>0.262345254792689</v>
      </c>
      <c r="K72" s="277">
        <f t="shared" si="270"/>
        <v>0.23704417830847255</v>
      </c>
      <c r="L72" s="275">
        <f t="shared" si="270"/>
        <v>0.17863540093235741</v>
      </c>
      <c r="M72" s="275">
        <f t="shared" si="270"/>
        <v>0.20360530567935411</v>
      </c>
      <c r="N72" s="275">
        <f t="shared" si="270"/>
        <v>0.12354504568848708</v>
      </c>
      <c r="O72" s="277">
        <f t="shared" si="270"/>
        <v>0.14416563869926607</v>
      </c>
      <c r="P72" s="275">
        <f t="shared" si="270"/>
        <v>-0.14706208808186014</v>
      </c>
      <c r="Q72" s="275">
        <f t="shared" si="270"/>
        <v>-0.28751064870593096</v>
      </c>
      <c r="R72" s="275">
        <f t="shared" si="270"/>
        <v>-6.8078218992008749E-2</v>
      </c>
      <c r="S72" s="277">
        <f t="shared" si="270"/>
        <v>0.11330102188556822</v>
      </c>
      <c r="T72" s="337">
        <f t="shared" si="270"/>
        <v>6.2925455216122902E-2</v>
      </c>
      <c r="U72" s="275">
        <f t="shared" si="270"/>
        <v>0.16804978349320862</v>
      </c>
      <c r="V72" s="275">
        <f t="shared" si="270"/>
        <v>7.2544175646102313E-2</v>
      </c>
      <c r="W72" s="277">
        <f t="shared" si="270"/>
        <v>0.24206296001815392</v>
      </c>
      <c r="X72" s="337">
        <f t="shared" si="270"/>
        <v>0.25093075204765453</v>
      </c>
      <c r="Y72" s="275">
        <f t="shared" si="270"/>
        <v>0.23654786862334032</v>
      </c>
      <c r="Z72" s="275">
        <f t="shared" si="270"/>
        <v>0.24650161463939721</v>
      </c>
      <c r="AA72" s="277">
        <f t="shared" si="270"/>
        <v>0.16544454628780936</v>
      </c>
      <c r="AB72" s="337">
        <f t="shared" si="270"/>
        <v>8.1772498857925993E-2</v>
      </c>
      <c r="AC72" s="275">
        <f t="shared" si="270"/>
        <v>0.16096025186934279</v>
      </c>
      <c r="AD72" s="275">
        <f t="shared" si="270"/>
        <v>0.13743064447289799</v>
      </c>
      <c r="AE72" s="277">
        <f t="shared" si="270"/>
        <v>-0.30315917375455648</v>
      </c>
      <c r="AF72" s="337">
        <f t="shared" si="270"/>
        <v>2.4793388429752067E-2</v>
      </c>
      <c r="AG72" s="275">
        <f t="shared" si="270"/>
        <v>-3.446528129751647E-2</v>
      </c>
      <c r="AH72" s="275">
        <f t="shared" si="270"/>
        <v>0.12658227848101267</v>
      </c>
      <c r="AI72" s="277">
        <f t="shared" si="270"/>
        <v>0.10613682092555332</v>
      </c>
      <c r="AJ72" s="337">
        <f t="shared" si="270"/>
        <v>0.15068493150684931</v>
      </c>
      <c r="AK72" s="275">
        <f t="shared" si="270"/>
        <v>0.16447088822779429</v>
      </c>
      <c r="AL72" s="275">
        <f t="shared" si="270"/>
        <v>0.17262693156732892</v>
      </c>
      <c r="AM72" s="338">
        <f t="shared" si="270"/>
        <v>0.18197879858657243</v>
      </c>
      <c r="AN72" s="337">
        <f t="shared" si="270"/>
        <v>0.19415006358626535</v>
      </c>
      <c r="AO72" s="275">
        <f t="shared" si="270"/>
        <v>0.17035217035217035</v>
      </c>
      <c r="AP72" s="275">
        <f t="shared" si="270"/>
        <v>0.15903614457831325</v>
      </c>
      <c r="AQ72" s="338">
        <f t="shared" si="270"/>
        <v>0.17863175675675674</v>
      </c>
      <c r="AR72" s="337">
        <f t="shared" ref="AR72:AW72" si="271">AR71/AR7</f>
        <v>0.15684536996012405</v>
      </c>
      <c r="AS72" s="275">
        <f t="shared" si="271"/>
        <v>0.17346938775510204</v>
      </c>
      <c r="AT72" s="275">
        <f t="shared" si="271"/>
        <v>0.21127259836937257</v>
      </c>
      <c r="AU72" s="338">
        <f t="shared" si="271"/>
        <v>0.2356687898089172</v>
      </c>
      <c r="AV72" s="337">
        <f t="shared" si="271"/>
        <v>0.24618669920683345</v>
      </c>
      <c r="AW72" s="275">
        <f t="shared" si="271"/>
        <v>0.26508742244782851</v>
      </c>
      <c r="AX72" s="275">
        <f t="shared" ref="AX72:AZ72" si="272">AX71/AX7</f>
        <v>0.27323717948717946</v>
      </c>
      <c r="AY72" s="705">
        <f t="shared" si="272"/>
        <v>0.27664399092970521</v>
      </c>
      <c r="AZ72" s="713">
        <f t="shared" si="272"/>
        <v>0.2844909609895338</v>
      </c>
      <c r="BA72" s="275">
        <f t="shared" ref="BA72:BG72" si="273">BA71/BA7</f>
        <v>0.28686414506852786</v>
      </c>
      <c r="BB72" s="275">
        <f t="shared" si="273"/>
        <v>0.27831530110864078</v>
      </c>
      <c r="BC72" s="277">
        <f t="shared" si="273"/>
        <v>0.27903493596674739</v>
      </c>
      <c r="BD72" s="704">
        <f t="shared" si="273"/>
        <v>0.27261438005995586</v>
      </c>
      <c r="BE72" s="704">
        <f t="shared" si="273"/>
        <v>0.27088966508533224</v>
      </c>
      <c r="BF72" s="704">
        <f t="shared" si="273"/>
        <v>0.26629161717458233</v>
      </c>
      <c r="BG72" s="705">
        <f t="shared" si="273"/>
        <v>0.26832454371109521</v>
      </c>
      <c r="BH72" s="704">
        <f t="shared" ref="BH72:BK72" si="274">BH71/BH7</f>
        <v>0.27006432376136569</v>
      </c>
      <c r="BI72" s="704">
        <f t="shared" si="274"/>
        <v>0.26964129727564085</v>
      </c>
      <c r="BJ72" s="704">
        <f t="shared" si="274"/>
        <v>0.27062786943635958</v>
      </c>
      <c r="BK72" s="705">
        <f t="shared" si="274"/>
        <v>0.27042933390629903</v>
      </c>
      <c r="BL72" s="215"/>
      <c r="BM72" s="337">
        <f t="shared" ref="BM72:BX72" si="275">BM71/BM7</f>
        <v>0.22042302978919867</v>
      </c>
      <c r="BN72" s="275">
        <f t="shared" si="275"/>
        <v>0.24360976680086485</v>
      </c>
      <c r="BO72" s="275">
        <f t="shared" si="275"/>
        <v>0.16404903779443092</v>
      </c>
      <c r="BP72" s="275">
        <f t="shared" si="275"/>
        <v>-7.8509544126613831E-2</v>
      </c>
      <c r="BQ72" s="275">
        <f t="shared" si="275"/>
        <v>0.14488493524802984</v>
      </c>
      <c r="BR72" s="275">
        <f t="shared" si="275"/>
        <v>0.22810687458400686</v>
      </c>
      <c r="BS72" s="275">
        <f t="shared" si="275"/>
        <v>4.7138433306571852E-2</v>
      </c>
      <c r="BT72" s="704">
        <f t="shared" si="275"/>
        <v>5.7530962844586496E-2</v>
      </c>
      <c r="BU72" s="704">
        <f t="shared" si="275"/>
        <v>0.16754850088183421</v>
      </c>
      <c r="BV72" s="704">
        <f t="shared" si="275"/>
        <v>0.17527694378300032</v>
      </c>
      <c r="BW72" s="704">
        <f t="shared" si="275"/>
        <v>0.19879907621247114</v>
      </c>
      <c r="BX72" s="704">
        <f t="shared" si="275"/>
        <v>0.2660796588016785</v>
      </c>
      <c r="BY72" s="704">
        <f>BY71/BY7</f>
        <v>0.28218433909366913</v>
      </c>
      <c r="BZ72" s="705">
        <f>BZ71/BZ7</f>
        <v>0.26951279977971393</v>
      </c>
      <c r="CA72" s="705">
        <f>CA71/CA7</f>
        <v>0.27019278293310511</v>
      </c>
      <c r="CB72" s="184"/>
      <c r="CC72" s="184"/>
      <c r="CD72" s="184"/>
    </row>
    <row r="73" spans="1:82" ht="14.25" customHeight="1">
      <c r="A73" s="203"/>
      <c r="B73" s="321" t="s">
        <v>349</v>
      </c>
      <c r="C73" s="320"/>
      <c r="D73" s="332">
        <f t="shared" ref="D73:AQ73" si="276">D27-D67</f>
        <v>143.93900000000008</v>
      </c>
      <c r="E73" s="332">
        <f t="shared" si="276"/>
        <v>561.07100000000014</v>
      </c>
      <c r="F73" s="332">
        <f t="shared" si="276"/>
        <v>680.78100000000018</v>
      </c>
      <c r="G73" s="333">
        <f t="shared" si="276"/>
        <v>634.82999999999993</v>
      </c>
      <c r="H73" s="332">
        <f t="shared" si="276"/>
        <v>564.66499999999985</v>
      </c>
      <c r="I73" s="332">
        <f t="shared" si="276"/>
        <v>736.01400000000012</v>
      </c>
      <c r="J73" s="332">
        <f t="shared" si="276"/>
        <v>739.86799999999982</v>
      </c>
      <c r="K73" s="333">
        <f t="shared" si="276"/>
        <v>633.91000000000008</v>
      </c>
      <c r="L73" s="332">
        <f t="shared" si="276"/>
        <v>492.65000000000003</v>
      </c>
      <c r="M73" s="332">
        <f t="shared" si="276"/>
        <v>519.98599999999999</v>
      </c>
      <c r="N73" s="332">
        <f t="shared" si="276"/>
        <v>315.85599999999982</v>
      </c>
      <c r="O73" s="333">
        <f t="shared" si="276"/>
        <v>342.20299999999997</v>
      </c>
      <c r="P73" s="332">
        <f t="shared" si="276"/>
        <v>-3.6870000000000118</v>
      </c>
      <c r="Q73" s="332">
        <f t="shared" si="276"/>
        <v>-202.57799999999997</v>
      </c>
      <c r="R73" s="332">
        <f t="shared" si="276"/>
        <v>-54.757999999999981</v>
      </c>
      <c r="S73" s="333">
        <f t="shared" si="276"/>
        <v>191.67400000000004</v>
      </c>
      <c r="T73" s="334">
        <f t="shared" si="276"/>
        <v>256.00900000000001</v>
      </c>
      <c r="U73" s="332">
        <f t="shared" si="276"/>
        <v>424.97500000000008</v>
      </c>
      <c r="V73" s="332">
        <f t="shared" si="276"/>
        <v>338.96699999999998</v>
      </c>
      <c r="W73" s="333">
        <f t="shared" si="276"/>
        <v>710.24599999999998</v>
      </c>
      <c r="X73" s="334">
        <f t="shared" si="276"/>
        <v>659</v>
      </c>
      <c r="Y73" s="332">
        <f t="shared" si="276"/>
        <v>685</v>
      </c>
      <c r="Z73" s="332">
        <f t="shared" si="276"/>
        <v>683</v>
      </c>
      <c r="AA73" s="333">
        <f t="shared" si="276"/>
        <v>384</v>
      </c>
      <c r="AB73" s="334">
        <f t="shared" si="276"/>
        <v>344</v>
      </c>
      <c r="AC73" s="332">
        <f t="shared" si="276"/>
        <v>490</v>
      </c>
      <c r="AD73" s="332">
        <f t="shared" si="276"/>
        <v>431</v>
      </c>
      <c r="AE73" s="333">
        <f t="shared" si="276"/>
        <v>114</v>
      </c>
      <c r="AF73" s="334">
        <f t="shared" si="276"/>
        <v>112</v>
      </c>
      <c r="AG73" s="332">
        <f t="shared" si="276"/>
        <v>285</v>
      </c>
      <c r="AH73" s="332">
        <f t="shared" si="276"/>
        <v>312</v>
      </c>
      <c r="AI73" s="333">
        <f t="shared" si="276"/>
        <v>323</v>
      </c>
      <c r="AJ73" s="334">
        <f t="shared" si="276"/>
        <v>380</v>
      </c>
      <c r="AK73" s="332">
        <f t="shared" si="276"/>
        <v>482</v>
      </c>
      <c r="AL73" s="332">
        <f t="shared" si="276"/>
        <v>477</v>
      </c>
      <c r="AM73" s="335">
        <f t="shared" si="276"/>
        <v>442</v>
      </c>
      <c r="AN73" s="334">
        <f t="shared" si="276"/>
        <v>447</v>
      </c>
      <c r="AO73" s="332">
        <f t="shared" si="276"/>
        <v>476</v>
      </c>
      <c r="AP73" s="332">
        <f t="shared" si="276"/>
        <v>517</v>
      </c>
      <c r="AQ73" s="335">
        <f t="shared" si="276"/>
        <v>456</v>
      </c>
      <c r="AR73" s="334">
        <f t="shared" ref="AR73:AW73" si="277">AR27-AR67</f>
        <v>401</v>
      </c>
      <c r="AS73" s="332">
        <f t="shared" si="277"/>
        <v>470</v>
      </c>
      <c r="AT73" s="332">
        <f t="shared" si="277"/>
        <v>644</v>
      </c>
      <c r="AU73" s="335">
        <f t="shared" si="277"/>
        <v>832</v>
      </c>
      <c r="AV73" s="334">
        <f t="shared" si="277"/>
        <v>852</v>
      </c>
      <c r="AW73" s="332">
        <f t="shared" si="277"/>
        <v>987</v>
      </c>
      <c r="AX73" s="332">
        <f t="shared" ref="AX73:AZ73" si="278">AX27-AX67</f>
        <v>1073</v>
      </c>
      <c r="AY73" s="712">
        <f t="shared" si="278"/>
        <v>1138</v>
      </c>
      <c r="AZ73" s="334">
        <f t="shared" si="278"/>
        <v>1246</v>
      </c>
      <c r="BA73" s="332">
        <f t="shared" ref="BA73:BG73" si="279">BA27-BA67</f>
        <v>1329.3492557088489</v>
      </c>
      <c r="BB73" s="332">
        <f t="shared" si="279"/>
        <v>1258.6822525027355</v>
      </c>
      <c r="BC73" s="333">
        <f t="shared" si="279"/>
        <v>1277.1562066222646</v>
      </c>
      <c r="BD73" s="711">
        <f t="shared" si="279"/>
        <v>1205.5336709441876</v>
      </c>
      <c r="BE73" s="711">
        <f t="shared" si="279"/>
        <v>1230.9709583783224</v>
      </c>
      <c r="BF73" s="711">
        <f t="shared" si="279"/>
        <v>1195.3708738903047</v>
      </c>
      <c r="BG73" s="712">
        <f t="shared" si="279"/>
        <v>1234.8664801935361</v>
      </c>
      <c r="BH73" s="711">
        <f t="shared" ref="BH73:BK73" si="280">BH27-BH67</f>
        <v>1218.5846994974336</v>
      </c>
      <c r="BI73" s="711">
        <f t="shared" si="280"/>
        <v>1222.5506323964682</v>
      </c>
      <c r="BJ73" s="711">
        <f t="shared" si="280"/>
        <v>1243.5317037505158</v>
      </c>
      <c r="BK73" s="712">
        <f t="shared" si="280"/>
        <v>1232.8907689293665</v>
      </c>
      <c r="BL73" s="215"/>
      <c r="BM73" s="334">
        <f t="shared" ref="BM73:BX73" si="281">BM27-BM67</f>
        <v>2020.6210000000015</v>
      </c>
      <c r="BN73" s="332">
        <f t="shared" si="281"/>
        <v>2674.4569999999994</v>
      </c>
      <c r="BO73" s="332">
        <f t="shared" si="281"/>
        <v>1670.6949999999995</v>
      </c>
      <c r="BP73" s="332">
        <f t="shared" si="281"/>
        <v>-69.348999999999933</v>
      </c>
      <c r="BQ73" s="332">
        <f t="shared" si="281"/>
        <v>1730.1969999999994</v>
      </c>
      <c r="BR73" s="332">
        <f t="shared" si="281"/>
        <v>2411</v>
      </c>
      <c r="BS73" s="332">
        <f t="shared" si="281"/>
        <v>1379</v>
      </c>
      <c r="BT73" s="711">
        <f t="shared" si="281"/>
        <v>1032</v>
      </c>
      <c r="BU73" s="711">
        <f t="shared" si="281"/>
        <v>1781</v>
      </c>
      <c r="BV73" s="711">
        <f t="shared" si="281"/>
        <v>1896</v>
      </c>
      <c r="BW73" s="711">
        <f t="shared" si="281"/>
        <v>2347</v>
      </c>
      <c r="BX73" s="711">
        <f t="shared" si="281"/>
        <v>4050</v>
      </c>
      <c r="BY73" s="711">
        <f>BY27-BY67</f>
        <v>5103.6235552500984</v>
      </c>
      <c r="BZ73" s="712">
        <f>BZ27-BZ67</f>
        <v>4829.276910285088</v>
      </c>
      <c r="CA73" s="712">
        <f>CA27-CA67</f>
        <v>4933.010871273309</v>
      </c>
      <c r="CB73" s="184"/>
      <c r="CC73" s="184"/>
      <c r="CD73" s="184"/>
    </row>
    <row r="74" spans="1:82" ht="14.25" customHeight="1">
      <c r="A74" s="203"/>
      <c r="B74" s="262" t="s">
        <v>348</v>
      </c>
      <c r="C74" s="261"/>
      <c r="D74" s="275">
        <f t="shared" ref="D74:AQ74" si="282">D73/D11</f>
        <v>7.7486875481806591E-2</v>
      </c>
      <c r="E74" s="275">
        <f t="shared" si="282"/>
        <v>0.24962161084777862</v>
      </c>
      <c r="F74" s="275">
        <f t="shared" si="282"/>
        <v>0.26766119783301617</v>
      </c>
      <c r="G74" s="277">
        <f t="shared" si="282"/>
        <v>0.25208742588729743</v>
      </c>
      <c r="H74" s="275">
        <f t="shared" si="282"/>
        <v>0.24795731023195783</v>
      </c>
      <c r="I74" s="275">
        <f t="shared" si="282"/>
        <v>0.2909651121281519</v>
      </c>
      <c r="J74" s="275">
        <f t="shared" si="282"/>
        <v>0.28889989160416457</v>
      </c>
      <c r="K74" s="277">
        <f t="shared" si="282"/>
        <v>0.26780659759598896</v>
      </c>
      <c r="L74" s="275">
        <f t="shared" si="282"/>
        <v>0.23601164512548406</v>
      </c>
      <c r="M74" s="275">
        <f t="shared" si="282"/>
        <v>0.24185417846900323</v>
      </c>
      <c r="N74" s="275">
        <f t="shared" si="282"/>
        <v>0.17090221235298947</v>
      </c>
      <c r="O74" s="277">
        <f t="shared" si="282"/>
        <v>0.16744475765984546</v>
      </c>
      <c r="P74" s="275">
        <f t="shared" si="282"/>
        <v>-2.7651200393581589E-3</v>
      </c>
      <c r="Q74" s="275">
        <f t="shared" si="282"/>
        <v>-0.19859089068766375</v>
      </c>
      <c r="R74" s="275">
        <f t="shared" si="282"/>
        <v>-4.8298551696156065E-2</v>
      </c>
      <c r="S74" s="277">
        <f t="shared" si="282"/>
        <v>0.12557308270341735</v>
      </c>
      <c r="T74" s="337">
        <f t="shared" si="282"/>
        <v>0.13846542434374565</v>
      </c>
      <c r="U74" s="275">
        <f t="shared" si="282"/>
        <v>0.18513073176681744</v>
      </c>
      <c r="V74" s="275">
        <f t="shared" si="282"/>
        <v>0.13462878159020411</v>
      </c>
      <c r="W74" s="277">
        <f t="shared" si="282"/>
        <v>0.24606339654279419</v>
      </c>
      <c r="X74" s="337">
        <f t="shared" si="282"/>
        <v>0.24534623976172748</v>
      </c>
      <c r="Y74" s="275">
        <f t="shared" si="282"/>
        <v>0.23934311670160727</v>
      </c>
      <c r="Z74" s="275">
        <f t="shared" si="282"/>
        <v>0.24506637961966271</v>
      </c>
      <c r="AA74" s="277">
        <f t="shared" si="282"/>
        <v>0.1759853345554537</v>
      </c>
      <c r="AB74" s="337">
        <f t="shared" si="282"/>
        <v>0.15714938328003655</v>
      </c>
      <c r="AC74" s="275">
        <f t="shared" si="282"/>
        <v>0.1928374655647383</v>
      </c>
      <c r="AD74" s="275">
        <f t="shared" si="282"/>
        <v>0.18395219803670507</v>
      </c>
      <c r="AE74" s="277">
        <f t="shared" si="282"/>
        <v>6.9258809234507904E-2</v>
      </c>
      <c r="AF74" s="337">
        <f t="shared" si="282"/>
        <v>7.1201525746980299E-2</v>
      </c>
      <c r="AG74" s="275">
        <f t="shared" si="282"/>
        <v>0.14445007602635582</v>
      </c>
      <c r="AH74" s="275">
        <f t="shared" si="282"/>
        <v>0.1579746835443038</v>
      </c>
      <c r="AI74" s="277">
        <f t="shared" si="282"/>
        <v>0.16247484909456741</v>
      </c>
      <c r="AJ74" s="337">
        <f t="shared" si="282"/>
        <v>0.17351598173515981</v>
      </c>
      <c r="AK74" s="275">
        <f t="shared" si="282"/>
        <v>0.20484487887802805</v>
      </c>
      <c r="AL74" s="275">
        <f t="shared" si="282"/>
        <v>0.21059602649006623</v>
      </c>
      <c r="AM74" s="338">
        <f t="shared" si="282"/>
        <v>0.19522968197879859</v>
      </c>
      <c r="AN74" s="337">
        <f t="shared" si="282"/>
        <v>0.18948707079270877</v>
      </c>
      <c r="AO74" s="275">
        <f t="shared" si="282"/>
        <v>0.19492219492219492</v>
      </c>
      <c r="AP74" s="275">
        <f t="shared" si="282"/>
        <v>0.20763052208835342</v>
      </c>
      <c r="AQ74" s="338">
        <f t="shared" si="282"/>
        <v>0.19256756756756757</v>
      </c>
      <c r="AR74" s="337">
        <f t="shared" ref="AR74:AW74" si="283">AR73/AR11</f>
        <v>0.17766947275143996</v>
      </c>
      <c r="AS74" s="275">
        <f t="shared" si="283"/>
        <v>0.19183673469387755</v>
      </c>
      <c r="AT74" s="275">
        <f t="shared" si="283"/>
        <v>0.22828784119106699</v>
      </c>
      <c r="AU74" s="338">
        <f t="shared" si="283"/>
        <v>0.25235062177737339</v>
      </c>
      <c r="AV74" s="337">
        <f t="shared" si="283"/>
        <v>0.25991458206223306</v>
      </c>
      <c r="AW74" s="275">
        <f t="shared" si="283"/>
        <v>0.27834179357021999</v>
      </c>
      <c r="AX74" s="275">
        <f t="shared" ref="AX74:AZ74" si="284">AX73/AX11</f>
        <v>0.28659188034188032</v>
      </c>
      <c r="AY74" s="705">
        <f t="shared" si="284"/>
        <v>0.28672209624590578</v>
      </c>
      <c r="AZ74" s="713">
        <f t="shared" si="284"/>
        <v>0.29638439581351095</v>
      </c>
      <c r="BA74" s="275">
        <f t="shared" ref="BA74:BG74" si="285">BA73/BA11</f>
        <v>0.29807547550814206</v>
      </c>
      <c r="BB74" s="275">
        <f t="shared" si="285"/>
        <v>0.28982847177580129</v>
      </c>
      <c r="BC74" s="277">
        <f t="shared" si="285"/>
        <v>0.29220525109173945</v>
      </c>
      <c r="BD74" s="704">
        <f t="shared" si="285"/>
        <v>0.28441041798229538</v>
      </c>
      <c r="BE74" s="704">
        <f t="shared" si="285"/>
        <v>0.28782124607290649</v>
      </c>
      <c r="BF74" s="704">
        <f t="shared" si="285"/>
        <v>0.27791630675089879</v>
      </c>
      <c r="BG74" s="705">
        <f t="shared" si="285"/>
        <v>0.28324553260743457</v>
      </c>
      <c r="BH74" s="704">
        <f t="shared" ref="BH74:BK74" si="286">BH73/BH11</f>
        <v>0.28161951201077157</v>
      </c>
      <c r="BI74" s="704">
        <f t="shared" si="286"/>
        <v>0.28007310872125735</v>
      </c>
      <c r="BJ74" s="704">
        <f t="shared" si="286"/>
        <v>0.28196514135741318</v>
      </c>
      <c r="BK74" s="705">
        <f t="shared" si="286"/>
        <v>0.27926581126048583</v>
      </c>
      <c r="BL74" s="215"/>
      <c r="BM74" s="337">
        <f t="shared" ref="BM74:BX74" si="287">BM73/BM11</f>
        <v>0.22042302978919867</v>
      </c>
      <c r="BN74" s="275">
        <f t="shared" si="287"/>
        <v>0.27473000114228702</v>
      </c>
      <c r="BO74" s="275">
        <f t="shared" si="287"/>
        <v>0.20551675187348381</v>
      </c>
      <c r="BP74" s="275">
        <f t="shared" si="287"/>
        <v>-1.3832157167484394E-2</v>
      </c>
      <c r="BQ74" s="275">
        <f t="shared" si="287"/>
        <v>0.18119775252399101</v>
      </c>
      <c r="BR74" s="275">
        <f t="shared" si="287"/>
        <v>0.22924788437767424</v>
      </c>
      <c r="BS74" s="275">
        <f t="shared" si="287"/>
        <v>0.15816033948847344</v>
      </c>
      <c r="BT74" s="704">
        <f t="shared" si="287"/>
        <v>0.13743507790651219</v>
      </c>
      <c r="BU74" s="704">
        <f t="shared" si="287"/>
        <v>0.19631834215167548</v>
      </c>
      <c r="BV74" s="704">
        <f t="shared" si="287"/>
        <v>0.19629361217517341</v>
      </c>
      <c r="BW74" s="704">
        <f t="shared" si="287"/>
        <v>0.21681293302540416</v>
      </c>
      <c r="BX74" s="704">
        <f t="shared" si="287"/>
        <v>0.27859943592212971</v>
      </c>
      <c r="BY74" s="704">
        <f>BY73/BY11</f>
        <v>0.29369355614160286</v>
      </c>
      <c r="BZ74" s="705">
        <f>BZ73/BZ11</f>
        <v>0.28115663984384681</v>
      </c>
      <c r="CA74" s="705">
        <f>CA73/CA11</f>
        <v>0.28161015721267929</v>
      </c>
      <c r="CB74" s="184"/>
      <c r="CC74" s="184"/>
      <c r="CD74" s="184"/>
    </row>
    <row r="75" spans="1:82" ht="14.25" hidden="1" customHeight="1" outlineLevel="1">
      <c r="A75" s="203"/>
      <c r="B75" s="321" t="s">
        <v>93</v>
      </c>
      <c r="C75" s="320"/>
      <c r="D75" s="332">
        <f t="shared" ref="D75:AQ75" si="288">D29-D68</f>
        <v>143.93900000000008</v>
      </c>
      <c r="E75" s="332">
        <f t="shared" si="288"/>
        <v>561.07100000000014</v>
      </c>
      <c r="F75" s="332">
        <f t="shared" si="288"/>
        <v>680.78100000000018</v>
      </c>
      <c r="G75" s="333">
        <f t="shared" si="288"/>
        <v>634.82999999999993</v>
      </c>
      <c r="H75" s="332">
        <f t="shared" si="288"/>
        <v>564.66499999999985</v>
      </c>
      <c r="I75" s="332">
        <f t="shared" si="288"/>
        <v>736.01400000000012</v>
      </c>
      <c r="J75" s="332">
        <f t="shared" si="288"/>
        <v>739.86799999999982</v>
      </c>
      <c r="K75" s="333">
        <f t="shared" si="288"/>
        <v>633.91000000000008</v>
      </c>
      <c r="L75" s="332">
        <f t="shared" si="288"/>
        <v>492.65000000000003</v>
      </c>
      <c r="M75" s="332">
        <f t="shared" si="288"/>
        <v>519.98599999999999</v>
      </c>
      <c r="N75" s="332">
        <f t="shared" si="288"/>
        <v>315.85599999999982</v>
      </c>
      <c r="O75" s="333">
        <f t="shared" si="288"/>
        <v>342.20299999999997</v>
      </c>
      <c r="P75" s="332">
        <f t="shared" si="288"/>
        <v>-3.6870000000000118</v>
      </c>
      <c r="Q75" s="332">
        <f t="shared" si="288"/>
        <v>-202.57799999999997</v>
      </c>
      <c r="R75" s="332">
        <f t="shared" si="288"/>
        <v>-54.757999999999981</v>
      </c>
      <c r="S75" s="333">
        <f t="shared" si="288"/>
        <v>191.67400000000004</v>
      </c>
      <c r="T75" s="334">
        <f t="shared" si="288"/>
        <v>256.00900000000001</v>
      </c>
      <c r="U75" s="332">
        <f t="shared" si="288"/>
        <v>424.97500000000008</v>
      </c>
      <c r="V75" s="332">
        <f t="shared" si="288"/>
        <v>338.96699999999998</v>
      </c>
      <c r="W75" s="333">
        <f t="shared" si="288"/>
        <v>710.24599999999998</v>
      </c>
      <c r="X75" s="334">
        <f t="shared" si="288"/>
        <v>659</v>
      </c>
      <c r="Y75" s="332">
        <f t="shared" si="288"/>
        <v>685</v>
      </c>
      <c r="Z75" s="332">
        <f t="shared" si="288"/>
        <v>683</v>
      </c>
      <c r="AA75" s="333">
        <f t="shared" si="288"/>
        <v>384</v>
      </c>
      <c r="AB75" s="334">
        <f t="shared" si="288"/>
        <v>344</v>
      </c>
      <c r="AC75" s="332">
        <f t="shared" si="288"/>
        <v>490</v>
      </c>
      <c r="AD75" s="332">
        <f t="shared" si="288"/>
        <v>431</v>
      </c>
      <c r="AE75" s="333">
        <f t="shared" si="288"/>
        <v>114</v>
      </c>
      <c r="AF75" s="334">
        <f t="shared" si="288"/>
        <v>112</v>
      </c>
      <c r="AG75" s="332">
        <f t="shared" si="288"/>
        <v>285</v>
      </c>
      <c r="AH75" s="332">
        <f t="shared" si="288"/>
        <v>312</v>
      </c>
      <c r="AI75" s="333">
        <f t="shared" si="288"/>
        <v>323</v>
      </c>
      <c r="AJ75" s="334">
        <f t="shared" si="288"/>
        <v>380</v>
      </c>
      <c r="AK75" s="332">
        <f t="shared" si="288"/>
        <v>482</v>
      </c>
      <c r="AL75" s="332">
        <f t="shared" si="288"/>
        <v>477</v>
      </c>
      <c r="AM75" s="335">
        <f t="shared" si="288"/>
        <v>442</v>
      </c>
      <c r="AN75" s="334">
        <f t="shared" si="288"/>
        <v>447</v>
      </c>
      <c r="AO75" s="332">
        <f t="shared" si="288"/>
        <v>476</v>
      </c>
      <c r="AP75" s="332">
        <f t="shared" si="288"/>
        <v>517</v>
      </c>
      <c r="AQ75" s="335">
        <f t="shared" si="288"/>
        <v>456</v>
      </c>
      <c r="AR75" s="334">
        <f t="shared" ref="AR75:AW75" si="289">AR29-AR68</f>
        <v>401</v>
      </c>
      <c r="AS75" s="332">
        <f t="shared" si="289"/>
        <v>470</v>
      </c>
      <c r="AT75" s="332">
        <f t="shared" si="289"/>
        <v>644</v>
      </c>
      <c r="AU75" s="335">
        <f t="shared" si="289"/>
        <v>832</v>
      </c>
      <c r="AV75" s="334">
        <f t="shared" si="289"/>
        <v>852</v>
      </c>
      <c r="AW75" s="332">
        <f t="shared" si="289"/>
        <v>987</v>
      </c>
      <c r="AX75" s="332">
        <f t="shared" ref="AX75:AZ75" si="290">AX29-AX68</f>
        <v>1073</v>
      </c>
      <c r="AY75" s="712">
        <f t="shared" si="290"/>
        <v>1138</v>
      </c>
      <c r="AZ75" s="334">
        <f t="shared" si="290"/>
        <v>1246</v>
      </c>
      <c r="BA75" s="332">
        <f t="shared" ref="BA75:BG75" si="291">BA29-BA68</f>
        <v>1329.3492557088489</v>
      </c>
      <c r="BB75" s="332">
        <f t="shared" si="291"/>
        <v>1258.6822525027355</v>
      </c>
      <c r="BC75" s="333">
        <f t="shared" si="291"/>
        <v>1269.5920470385145</v>
      </c>
      <c r="BD75" s="711">
        <f t="shared" si="291"/>
        <v>1205.5336709441876</v>
      </c>
      <c r="BE75" s="711">
        <f t="shared" si="291"/>
        <v>1208.5569696283223</v>
      </c>
      <c r="BF75" s="711">
        <f t="shared" si="291"/>
        <v>1195.3708738903047</v>
      </c>
      <c r="BG75" s="712">
        <f t="shared" si="291"/>
        <v>1219.8153958222736</v>
      </c>
      <c r="BH75" s="711">
        <f t="shared" ref="BH75:BK75" si="292">BH29-BH68</f>
        <v>1218.5846994974336</v>
      </c>
      <c r="BI75" s="711">
        <f t="shared" si="292"/>
        <v>1227.0146016861011</v>
      </c>
      <c r="BJ75" s="711">
        <f t="shared" si="292"/>
        <v>1243.5317037505158</v>
      </c>
      <c r="BK75" s="712">
        <f t="shared" si="292"/>
        <v>1243.8798663392586</v>
      </c>
      <c r="BL75" s="215"/>
      <c r="BM75" s="334">
        <f t="shared" ref="BM75:BX75" si="293">BM29-BM68</f>
        <v>2020.6210000000015</v>
      </c>
      <c r="BN75" s="332">
        <f t="shared" si="293"/>
        <v>2674.4569999999994</v>
      </c>
      <c r="BO75" s="332">
        <f t="shared" si="293"/>
        <v>1670.6949999999995</v>
      </c>
      <c r="BP75" s="332">
        <f t="shared" si="293"/>
        <v>-69.348999999999933</v>
      </c>
      <c r="BQ75" s="332">
        <f t="shared" si="293"/>
        <v>1730.1969999999994</v>
      </c>
      <c r="BR75" s="332">
        <f t="shared" si="293"/>
        <v>2411</v>
      </c>
      <c r="BS75" s="332">
        <f t="shared" si="293"/>
        <v>1379</v>
      </c>
      <c r="BT75" s="711">
        <f t="shared" si="293"/>
        <v>1032</v>
      </c>
      <c r="BU75" s="711">
        <f t="shared" si="293"/>
        <v>1781</v>
      </c>
      <c r="BV75" s="711">
        <f t="shared" si="293"/>
        <v>1896</v>
      </c>
      <c r="BW75" s="711">
        <f t="shared" si="293"/>
        <v>2347</v>
      </c>
      <c r="BX75" s="711">
        <f t="shared" si="293"/>
        <v>4050</v>
      </c>
      <c r="BY75" s="711">
        <f>BY29-BY68</f>
        <v>5103.6235552500984</v>
      </c>
      <c r="BZ75" s="712">
        <f>BZ29-BZ68</f>
        <v>4829.276910285088</v>
      </c>
      <c r="CA75" s="712">
        <f>CA29-CA68</f>
        <v>4933.010871273309</v>
      </c>
      <c r="CB75" s="184"/>
      <c r="CC75" s="184"/>
      <c r="CD75" s="184"/>
    </row>
    <row r="76" spans="1:82" ht="14.25" hidden="1" customHeight="1" outlineLevel="1">
      <c r="A76" s="203"/>
      <c r="B76" s="262" t="s">
        <v>347</v>
      </c>
      <c r="C76" s="261"/>
      <c r="D76" s="275">
        <f t="shared" ref="D76:AQ76" si="294">D75/D11</f>
        <v>7.7486875481806591E-2</v>
      </c>
      <c r="E76" s="275">
        <f t="shared" si="294"/>
        <v>0.24962161084777862</v>
      </c>
      <c r="F76" s="275">
        <f t="shared" si="294"/>
        <v>0.26766119783301617</v>
      </c>
      <c r="G76" s="277">
        <f t="shared" si="294"/>
        <v>0.25208742588729743</v>
      </c>
      <c r="H76" s="275">
        <f t="shared" si="294"/>
        <v>0.24795731023195783</v>
      </c>
      <c r="I76" s="275">
        <f t="shared" si="294"/>
        <v>0.2909651121281519</v>
      </c>
      <c r="J76" s="275">
        <f t="shared" si="294"/>
        <v>0.28889989160416457</v>
      </c>
      <c r="K76" s="277">
        <f t="shared" si="294"/>
        <v>0.26780659759598896</v>
      </c>
      <c r="L76" s="275">
        <f t="shared" si="294"/>
        <v>0.23601164512548406</v>
      </c>
      <c r="M76" s="275">
        <f t="shared" si="294"/>
        <v>0.24185417846900323</v>
      </c>
      <c r="N76" s="275">
        <f t="shared" si="294"/>
        <v>0.17090221235298947</v>
      </c>
      <c r="O76" s="277">
        <f t="shared" si="294"/>
        <v>0.16744475765984546</v>
      </c>
      <c r="P76" s="275">
        <f t="shared" si="294"/>
        <v>-2.7651200393581589E-3</v>
      </c>
      <c r="Q76" s="275">
        <f t="shared" si="294"/>
        <v>-0.19859089068766375</v>
      </c>
      <c r="R76" s="275">
        <f t="shared" si="294"/>
        <v>-4.8298551696156065E-2</v>
      </c>
      <c r="S76" s="277">
        <f t="shared" si="294"/>
        <v>0.12557308270341735</v>
      </c>
      <c r="T76" s="337">
        <f t="shared" si="294"/>
        <v>0.13846542434374565</v>
      </c>
      <c r="U76" s="275">
        <f t="shared" si="294"/>
        <v>0.18513073176681744</v>
      </c>
      <c r="V76" s="275">
        <f t="shared" si="294"/>
        <v>0.13462878159020411</v>
      </c>
      <c r="W76" s="277">
        <f t="shared" si="294"/>
        <v>0.24606339654279419</v>
      </c>
      <c r="X76" s="337">
        <f t="shared" si="294"/>
        <v>0.24534623976172748</v>
      </c>
      <c r="Y76" s="275">
        <f t="shared" si="294"/>
        <v>0.23934311670160727</v>
      </c>
      <c r="Z76" s="275">
        <f t="shared" si="294"/>
        <v>0.24506637961966271</v>
      </c>
      <c r="AA76" s="277">
        <f t="shared" si="294"/>
        <v>0.1759853345554537</v>
      </c>
      <c r="AB76" s="337">
        <f t="shared" si="294"/>
        <v>0.15714938328003655</v>
      </c>
      <c r="AC76" s="275">
        <f t="shared" si="294"/>
        <v>0.1928374655647383</v>
      </c>
      <c r="AD76" s="275">
        <f t="shared" si="294"/>
        <v>0.18395219803670507</v>
      </c>
      <c r="AE76" s="277">
        <f t="shared" si="294"/>
        <v>6.9258809234507904E-2</v>
      </c>
      <c r="AF76" s="337">
        <f t="shared" si="294"/>
        <v>7.1201525746980299E-2</v>
      </c>
      <c r="AG76" s="275">
        <f t="shared" si="294"/>
        <v>0.14445007602635582</v>
      </c>
      <c r="AH76" s="275">
        <f t="shared" si="294"/>
        <v>0.1579746835443038</v>
      </c>
      <c r="AI76" s="277">
        <f t="shared" si="294"/>
        <v>0.16247484909456741</v>
      </c>
      <c r="AJ76" s="337">
        <f t="shared" si="294"/>
        <v>0.17351598173515981</v>
      </c>
      <c r="AK76" s="275">
        <f t="shared" si="294"/>
        <v>0.20484487887802805</v>
      </c>
      <c r="AL76" s="275">
        <f t="shared" si="294"/>
        <v>0.21059602649006623</v>
      </c>
      <c r="AM76" s="338">
        <f t="shared" si="294"/>
        <v>0.19522968197879859</v>
      </c>
      <c r="AN76" s="337">
        <f t="shared" si="294"/>
        <v>0.18948707079270877</v>
      </c>
      <c r="AO76" s="275">
        <f t="shared" si="294"/>
        <v>0.19492219492219492</v>
      </c>
      <c r="AP76" s="275">
        <f t="shared" si="294"/>
        <v>0.20763052208835342</v>
      </c>
      <c r="AQ76" s="338">
        <f t="shared" si="294"/>
        <v>0.19256756756756757</v>
      </c>
      <c r="AR76" s="337">
        <f t="shared" ref="AR76:AW76" si="295">AR75/AR11</f>
        <v>0.17766947275143996</v>
      </c>
      <c r="AS76" s="275">
        <f t="shared" si="295"/>
        <v>0.19183673469387755</v>
      </c>
      <c r="AT76" s="275">
        <f t="shared" si="295"/>
        <v>0.22828784119106699</v>
      </c>
      <c r="AU76" s="338">
        <f t="shared" si="295"/>
        <v>0.25235062177737339</v>
      </c>
      <c r="AV76" s="337">
        <f t="shared" si="295"/>
        <v>0.25991458206223306</v>
      </c>
      <c r="AW76" s="275">
        <f t="shared" si="295"/>
        <v>0.27834179357021999</v>
      </c>
      <c r="AX76" s="275">
        <f t="shared" ref="AX76:AZ76" si="296">AX75/AX11</f>
        <v>0.28659188034188032</v>
      </c>
      <c r="AY76" s="705">
        <f t="shared" si="296"/>
        <v>0.28672209624590578</v>
      </c>
      <c r="AZ76" s="713">
        <f t="shared" si="296"/>
        <v>0.29638439581351095</v>
      </c>
      <c r="BA76" s="275">
        <f t="shared" ref="BA76:BG76" si="297">BA75/BA11</f>
        <v>0.29807547550814206</v>
      </c>
      <c r="BB76" s="275">
        <f t="shared" si="297"/>
        <v>0.28982847177580129</v>
      </c>
      <c r="BC76" s="277">
        <f t="shared" si="297"/>
        <v>0.29047461928726087</v>
      </c>
      <c r="BD76" s="704">
        <f t="shared" si="297"/>
        <v>0.28441041798229538</v>
      </c>
      <c r="BE76" s="704">
        <f t="shared" si="297"/>
        <v>0.28258048703827587</v>
      </c>
      <c r="BF76" s="704">
        <f t="shared" si="297"/>
        <v>0.27791630675089879</v>
      </c>
      <c r="BG76" s="705">
        <f t="shared" si="297"/>
        <v>0.27979321409572833</v>
      </c>
      <c r="BH76" s="704">
        <f t="shared" ref="BH76:BK76" si="298">BH75/BH11</f>
        <v>0.28161951201077157</v>
      </c>
      <c r="BI76" s="704">
        <f t="shared" si="298"/>
        <v>0.28109575573730194</v>
      </c>
      <c r="BJ76" s="704">
        <f t="shared" si="298"/>
        <v>0.28196514135741318</v>
      </c>
      <c r="BK76" s="705">
        <f t="shared" si="298"/>
        <v>0.28175498490062834</v>
      </c>
      <c r="BL76" s="215"/>
      <c r="BM76" s="337">
        <f t="shared" ref="BM76:BX76" si="299">BM75/BM11</f>
        <v>0.22042302978919867</v>
      </c>
      <c r="BN76" s="275">
        <f t="shared" si="299"/>
        <v>0.27473000114228702</v>
      </c>
      <c r="BO76" s="275">
        <f t="shared" si="299"/>
        <v>0.20551675187348381</v>
      </c>
      <c r="BP76" s="275">
        <f t="shared" si="299"/>
        <v>-1.3832157167484394E-2</v>
      </c>
      <c r="BQ76" s="275">
        <f t="shared" si="299"/>
        <v>0.18119775252399101</v>
      </c>
      <c r="BR76" s="275">
        <f t="shared" si="299"/>
        <v>0.22924788437767424</v>
      </c>
      <c r="BS76" s="275">
        <f t="shared" si="299"/>
        <v>0.15816033948847344</v>
      </c>
      <c r="BT76" s="704">
        <f t="shared" si="299"/>
        <v>0.13743507790651219</v>
      </c>
      <c r="BU76" s="704">
        <f t="shared" si="299"/>
        <v>0.19631834215167548</v>
      </c>
      <c r="BV76" s="704">
        <f t="shared" si="299"/>
        <v>0.19629361217517341</v>
      </c>
      <c r="BW76" s="704">
        <f t="shared" si="299"/>
        <v>0.21681293302540416</v>
      </c>
      <c r="BX76" s="704">
        <f t="shared" si="299"/>
        <v>0.27859943592212971</v>
      </c>
      <c r="BY76" s="704">
        <f>BY75/BY11</f>
        <v>0.29369355614160286</v>
      </c>
      <c r="BZ76" s="705">
        <f>BZ75/BZ11</f>
        <v>0.28115663984384681</v>
      </c>
      <c r="CA76" s="705">
        <f>CA75/CA11</f>
        <v>0.28161015721267929</v>
      </c>
      <c r="CB76" s="184"/>
      <c r="CC76" s="184"/>
      <c r="CD76" s="184"/>
    </row>
    <row r="77" spans="1:82" ht="14.25" customHeight="1" collapsed="1">
      <c r="A77" s="203"/>
      <c r="B77" s="217"/>
      <c r="C77" s="216"/>
      <c r="D77" s="353"/>
      <c r="E77" s="353"/>
      <c r="F77" s="353"/>
      <c r="G77" s="354"/>
      <c r="H77" s="353"/>
      <c r="I77" s="353"/>
      <c r="J77" s="353"/>
      <c r="K77" s="354"/>
      <c r="L77" s="353"/>
      <c r="M77" s="353"/>
      <c r="N77" s="353"/>
      <c r="O77" s="354"/>
      <c r="P77" s="353"/>
      <c r="Q77" s="353"/>
      <c r="R77" s="353"/>
      <c r="S77" s="354"/>
      <c r="T77" s="355"/>
      <c r="U77" s="353"/>
      <c r="V77" s="353"/>
      <c r="W77" s="354"/>
      <c r="X77" s="355"/>
      <c r="Y77" s="353"/>
      <c r="Z77" s="353"/>
      <c r="AA77" s="354"/>
      <c r="AB77" s="355"/>
      <c r="AC77" s="353"/>
      <c r="AD77" s="353"/>
      <c r="AE77" s="354"/>
      <c r="AF77" s="355"/>
      <c r="AG77" s="353"/>
      <c r="AH77" s="353"/>
      <c r="AI77" s="354"/>
      <c r="AJ77" s="355"/>
      <c r="AK77" s="353"/>
      <c r="AL77" s="353"/>
      <c r="AM77" s="358"/>
      <c r="AN77" s="355"/>
      <c r="AO77" s="353"/>
      <c r="AP77" s="353"/>
      <c r="AQ77" s="358"/>
      <c r="AR77" s="355"/>
      <c r="AS77" s="353"/>
      <c r="AT77" s="353"/>
      <c r="AU77" s="358"/>
      <c r="AV77" s="355"/>
      <c r="AW77" s="353"/>
      <c r="AX77" s="353"/>
      <c r="AY77" s="715"/>
      <c r="AZ77" s="355"/>
      <c r="BA77" s="353"/>
      <c r="BB77" s="353"/>
      <c r="BC77" s="354"/>
      <c r="BD77" s="714"/>
      <c r="BE77" s="714"/>
      <c r="BF77" s="714"/>
      <c r="BG77" s="715"/>
      <c r="BH77" s="714"/>
      <c r="BI77" s="714"/>
      <c r="BJ77" s="714"/>
      <c r="BK77" s="715"/>
      <c r="BL77" s="215"/>
      <c r="BM77" s="355"/>
      <c r="BN77" s="353"/>
      <c r="BO77" s="353"/>
      <c r="BP77" s="353"/>
      <c r="BQ77" s="353"/>
      <c r="BR77" s="353"/>
      <c r="BS77" s="353"/>
      <c r="BT77" s="714"/>
      <c r="BU77" s="714"/>
      <c r="BV77" s="714"/>
      <c r="BW77" s="714"/>
      <c r="BX77" s="714"/>
      <c r="BY77" s="788"/>
      <c r="BZ77" s="715"/>
      <c r="CA77" s="715"/>
      <c r="CB77" s="184"/>
      <c r="CC77" s="184"/>
      <c r="CD77" s="184"/>
    </row>
    <row r="78" spans="1:82" ht="14.25" hidden="1" customHeight="1" outlineLevel="1">
      <c r="A78" s="203"/>
      <c r="B78" s="217" t="s">
        <v>346</v>
      </c>
      <c r="C78" s="216"/>
      <c r="D78" s="220">
        <f t="shared" ref="D78:AQ78" si="300">D79+D83+D81</f>
        <v>39.986000000000004</v>
      </c>
      <c r="E78" s="220">
        <f t="shared" si="300"/>
        <v>39.395000000000003</v>
      </c>
      <c r="F78" s="220">
        <f t="shared" si="300"/>
        <v>41.730000000000004</v>
      </c>
      <c r="G78" s="226">
        <f t="shared" si="300"/>
        <v>25.238999999999997</v>
      </c>
      <c r="H78" s="220">
        <f t="shared" si="300"/>
        <v>15.698</v>
      </c>
      <c r="I78" s="220">
        <f t="shared" si="300"/>
        <v>19.253</v>
      </c>
      <c r="J78" s="220">
        <f t="shared" si="300"/>
        <v>15.045000000000005</v>
      </c>
      <c r="K78" s="226">
        <f t="shared" si="300"/>
        <v>18.150999999999996</v>
      </c>
      <c r="L78" s="220">
        <f t="shared" si="300"/>
        <v>16.439</v>
      </c>
      <c r="M78" s="220">
        <f t="shared" si="300"/>
        <v>16.392000000000003</v>
      </c>
      <c r="N78" s="220">
        <f t="shared" si="300"/>
        <v>14.232000000000001</v>
      </c>
      <c r="O78" s="226">
        <f t="shared" si="300"/>
        <v>28.061000000000003</v>
      </c>
      <c r="P78" s="220">
        <f t="shared" si="300"/>
        <v>-6.5670000000000002</v>
      </c>
      <c r="Q78" s="220">
        <f t="shared" si="300"/>
        <v>-89.525000000000006</v>
      </c>
      <c r="R78" s="220">
        <f t="shared" si="300"/>
        <v>2.9990000000000006</v>
      </c>
      <c r="S78" s="226">
        <f t="shared" si="300"/>
        <v>0.90600000000000058</v>
      </c>
      <c r="T78" s="309">
        <f t="shared" si="300"/>
        <v>2.3910000000000009</v>
      </c>
      <c r="U78" s="220">
        <f t="shared" si="300"/>
        <v>1.2549999999999999</v>
      </c>
      <c r="V78" s="220">
        <f t="shared" si="300"/>
        <v>-4.82</v>
      </c>
      <c r="W78" s="226">
        <f t="shared" si="300"/>
        <v>4.4319999999999942</v>
      </c>
      <c r="X78" s="309">
        <f t="shared" si="300"/>
        <v>6</v>
      </c>
      <c r="Y78" s="220">
        <f t="shared" si="300"/>
        <v>9</v>
      </c>
      <c r="Z78" s="220">
        <f t="shared" si="300"/>
        <v>-18</v>
      </c>
      <c r="AA78" s="226">
        <f t="shared" si="300"/>
        <v>-17</v>
      </c>
      <c r="AB78" s="309">
        <f t="shared" si="300"/>
        <v>-20</v>
      </c>
      <c r="AC78" s="220">
        <f t="shared" si="300"/>
        <v>-22</v>
      </c>
      <c r="AD78" s="220">
        <f t="shared" si="300"/>
        <v>-20</v>
      </c>
      <c r="AE78" s="226">
        <f t="shared" si="300"/>
        <v>-33</v>
      </c>
      <c r="AF78" s="309">
        <f t="shared" si="300"/>
        <v>-21</v>
      </c>
      <c r="AG78" s="220">
        <f t="shared" si="300"/>
        <v>-22</v>
      </c>
      <c r="AH78" s="220">
        <f t="shared" si="300"/>
        <v>-22</v>
      </c>
      <c r="AI78" s="226">
        <f t="shared" si="300"/>
        <v>-17</v>
      </c>
      <c r="AJ78" s="309">
        <f t="shared" si="300"/>
        <v>-15</v>
      </c>
      <c r="AK78" s="220">
        <f t="shared" si="300"/>
        <v>-22</v>
      </c>
      <c r="AL78" s="220">
        <f t="shared" si="300"/>
        <v>-21</v>
      </c>
      <c r="AM78" s="345">
        <f t="shared" si="300"/>
        <v>-14</v>
      </c>
      <c r="AN78" s="309">
        <f t="shared" si="300"/>
        <v>-21</v>
      </c>
      <c r="AO78" s="220">
        <f t="shared" si="300"/>
        <v>-27</v>
      </c>
      <c r="AP78" s="220">
        <f t="shared" si="300"/>
        <v>-21</v>
      </c>
      <c r="AQ78" s="345">
        <f t="shared" si="300"/>
        <v>-26</v>
      </c>
      <c r="AR78" s="309">
        <f t="shared" ref="AR78:AW78" si="301">AR79+AR83+AR81</f>
        <v>-40</v>
      </c>
      <c r="AS78" s="220">
        <f t="shared" si="301"/>
        <v>-30</v>
      </c>
      <c r="AT78" s="220">
        <f t="shared" si="301"/>
        <v>-32</v>
      </c>
      <c r="AU78" s="345">
        <f t="shared" si="301"/>
        <v>-37</v>
      </c>
      <c r="AV78" s="309">
        <f t="shared" si="301"/>
        <v>-36</v>
      </c>
      <c r="AW78" s="220">
        <f t="shared" si="301"/>
        <v>-32</v>
      </c>
      <c r="AX78" s="220">
        <f t="shared" ref="AX78:AZ78" si="302">AX79+AX83+AX81</f>
        <v>-45</v>
      </c>
      <c r="AY78" s="738">
        <f t="shared" si="302"/>
        <v>-24</v>
      </c>
      <c r="AZ78" s="747">
        <f t="shared" si="302"/>
        <v>-34</v>
      </c>
      <c r="BA78" s="220">
        <f t="shared" ref="BA78:BG78" si="303">BA79+BA83+BA81</f>
        <v>-25.083977971658491</v>
      </c>
      <c r="BB78" s="220">
        <f t="shared" si="303"/>
        <v>-29.418945292604647</v>
      </c>
      <c r="BC78" s="226">
        <f t="shared" si="303"/>
        <v>-28.504727415056085</v>
      </c>
      <c r="BD78" s="735">
        <f t="shared" si="303"/>
        <v>-45.989133290024796</v>
      </c>
      <c r="BE78" s="735">
        <f t="shared" si="303"/>
        <v>-45.805089923099857</v>
      </c>
      <c r="BF78" s="735">
        <f t="shared" si="303"/>
        <v>-45.912866378702105</v>
      </c>
      <c r="BG78" s="738">
        <f t="shared" si="303"/>
        <v>-46.015613801775331</v>
      </c>
      <c r="BH78" s="735">
        <f t="shared" ref="BH78:BK78" si="304">BH79+BH83+BH81</f>
        <v>-46.117632816618062</v>
      </c>
      <c r="BI78" s="735">
        <f t="shared" si="304"/>
        <v>-46.035603077150881</v>
      </c>
      <c r="BJ78" s="735">
        <f t="shared" si="304"/>
        <v>-46.055044952328323</v>
      </c>
      <c r="BK78" s="738">
        <f t="shared" si="304"/>
        <v>-46.049023974145982</v>
      </c>
      <c r="BL78" s="385"/>
      <c r="BM78" s="309">
        <f t="shared" ref="BM78:BX78" si="305">BM79+BM83+BM81</f>
        <v>146.35000000000002</v>
      </c>
      <c r="BN78" s="220">
        <f t="shared" si="305"/>
        <v>68.146999999999991</v>
      </c>
      <c r="BO78" s="220">
        <f t="shared" si="305"/>
        <v>75.124000000000009</v>
      </c>
      <c r="BP78" s="220">
        <f t="shared" si="305"/>
        <v>-92.186999999999983</v>
      </c>
      <c r="BQ78" s="220">
        <f t="shared" si="305"/>
        <v>3.2579999999999956</v>
      </c>
      <c r="BR78" s="220">
        <f t="shared" si="305"/>
        <v>-20</v>
      </c>
      <c r="BS78" s="220">
        <f t="shared" si="305"/>
        <v>-95</v>
      </c>
      <c r="BT78" s="735">
        <f t="shared" si="305"/>
        <v>-82</v>
      </c>
      <c r="BU78" s="735">
        <f t="shared" si="305"/>
        <v>-72</v>
      </c>
      <c r="BV78" s="700">
        <f t="shared" si="305"/>
        <v>-95</v>
      </c>
      <c r="BW78" s="700">
        <f t="shared" si="305"/>
        <v>-139</v>
      </c>
      <c r="BX78" s="700">
        <f t="shared" si="305"/>
        <v>-137</v>
      </c>
      <c r="BY78" s="735">
        <f>BY79+BY83+BY81</f>
        <v>-117.00765067931921</v>
      </c>
      <c r="BZ78" s="738">
        <f>BZ79+BZ83+BZ81</f>
        <v>-183.7227033936021</v>
      </c>
      <c r="CA78" s="738">
        <f>CA79+CA83+CA81</f>
        <v>-184.25730482024323</v>
      </c>
      <c r="CB78" s="184"/>
      <c r="CC78" s="184"/>
      <c r="CD78" s="184"/>
    </row>
    <row r="79" spans="1:82" ht="14.25" hidden="1" customHeight="1" outlineLevel="1">
      <c r="A79" s="203"/>
      <c r="B79" s="227" t="s">
        <v>1</v>
      </c>
      <c r="C79" s="331"/>
      <c r="D79" s="305">
        <v>48.691000000000003</v>
      </c>
      <c r="E79" s="305">
        <v>48.63</v>
      </c>
      <c r="F79" s="305">
        <v>50.578000000000003</v>
      </c>
      <c r="G79" s="366">
        <v>37.396000000000001</v>
      </c>
      <c r="H79" s="305">
        <v>30.103000000000002</v>
      </c>
      <c r="I79" s="305">
        <v>34.021999999999998</v>
      </c>
      <c r="J79" s="305">
        <v>32.468000000000004</v>
      </c>
      <c r="K79" s="306">
        <v>39.555999999999997</v>
      </c>
      <c r="L79" s="305">
        <v>30.57</v>
      </c>
      <c r="M79" s="305">
        <v>32.414000000000001</v>
      </c>
      <c r="N79" s="305">
        <v>25.399000000000001</v>
      </c>
      <c r="O79" s="306">
        <v>20.937000000000001</v>
      </c>
      <c r="P79" s="305">
        <v>15.234999999999999</v>
      </c>
      <c r="Q79" s="305">
        <v>11.789</v>
      </c>
      <c r="R79" s="305">
        <v>10.233000000000001</v>
      </c>
      <c r="S79" s="306">
        <v>11.323</v>
      </c>
      <c r="T79" s="330">
        <v>8.641</v>
      </c>
      <c r="U79" s="305">
        <v>10.132</v>
      </c>
      <c r="V79" s="305">
        <v>8.48</v>
      </c>
      <c r="W79" s="306">
        <v>10.176999999999998</v>
      </c>
      <c r="X79" s="330">
        <v>11</v>
      </c>
      <c r="Y79" s="305">
        <v>14</v>
      </c>
      <c r="Z79" s="305">
        <v>7</v>
      </c>
      <c r="AA79" s="306">
        <v>10</v>
      </c>
      <c r="AB79" s="330">
        <v>4</v>
      </c>
      <c r="AC79" s="305">
        <v>4</v>
      </c>
      <c r="AD79" s="305">
        <v>4</v>
      </c>
      <c r="AE79" s="306">
        <v>5</v>
      </c>
      <c r="AF79" s="330">
        <v>3</v>
      </c>
      <c r="AG79" s="305">
        <v>4</v>
      </c>
      <c r="AH79" s="305">
        <v>4</v>
      </c>
      <c r="AI79" s="306">
        <v>8</v>
      </c>
      <c r="AJ79" s="330">
        <v>13</v>
      </c>
      <c r="AK79" s="305">
        <v>2</v>
      </c>
      <c r="AL79" s="305">
        <v>4</v>
      </c>
      <c r="AM79" s="346">
        <v>9</v>
      </c>
      <c r="AN79" s="330">
        <v>0</v>
      </c>
      <c r="AO79" s="305">
        <v>0</v>
      </c>
      <c r="AP79" s="305">
        <v>0</v>
      </c>
      <c r="AQ79" s="346">
        <v>6</v>
      </c>
      <c r="AR79" s="330">
        <v>2</v>
      </c>
      <c r="AS79" s="305">
        <v>7</v>
      </c>
      <c r="AT79" s="305">
        <v>6</v>
      </c>
      <c r="AU79" s="346">
        <v>1</v>
      </c>
      <c r="AV79" s="330">
        <v>2</v>
      </c>
      <c r="AW79" s="305">
        <v>12</v>
      </c>
      <c r="AX79" s="305">
        <v>14</v>
      </c>
      <c r="AY79" s="306">
        <v>33</v>
      </c>
      <c r="AZ79" s="330">
        <v>25</v>
      </c>
      <c r="BA79" s="700">
        <f>BS!AZ8*BA80</f>
        <v>33.927145708582835</v>
      </c>
      <c r="BB79" s="700">
        <f>BS!BA8*BB80</f>
        <v>29.592178387636679</v>
      </c>
      <c r="BC79" s="701">
        <f>BS!BB8*BC80</f>
        <v>30.506396265185241</v>
      </c>
      <c r="BD79" s="735">
        <f>BS!BC8*BD80</f>
        <v>12.365866709975199</v>
      </c>
      <c r="BE79" s="735">
        <f>BS!BD8*BE80</f>
        <v>12.549910076900138</v>
      </c>
      <c r="BF79" s="735">
        <f>BS!BE8*BF80</f>
        <v>12.442133621297888</v>
      </c>
      <c r="BG79" s="738">
        <f>BS!BF8*BG80</f>
        <v>12.339386198224668</v>
      </c>
      <c r="BH79" s="735">
        <f>BS!BG8*BH80</f>
        <v>12.237367183381933</v>
      </c>
      <c r="BI79" s="735">
        <f>BS!BH8*BI80</f>
        <v>12.319396922849114</v>
      </c>
      <c r="BJ79" s="735">
        <f>BS!BI8*BJ80</f>
        <v>12.299955047671675</v>
      </c>
      <c r="BK79" s="738">
        <f>BS!BJ8*BK80</f>
        <v>12.305976025854019</v>
      </c>
      <c r="BL79" s="215"/>
      <c r="BM79" s="309">
        <f>SUM(D79:G79)</f>
        <v>185.29500000000002</v>
      </c>
      <c r="BN79" s="220">
        <f>SUM(H79:K79)</f>
        <v>136.149</v>
      </c>
      <c r="BO79" s="220">
        <f>SUM(L79:O79)</f>
        <v>109.32000000000001</v>
      </c>
      <c r="BP79" s="220">
        <f>SUM(P79:S79)</f>
        <v>48.580000000000005</v>
      </c>
      <c r="BQ79" s="220">
        <f>SUM(T79:W79)</f>
        <v>37.43</v>
      </c>
      <c r="BR79" s="220">
        <f>SUM(X79:AA79)</f>
        <v>42</v>
      </c>
      <c r="BS79" s="220">
        <f>SUM(AB79:AE79)</f>
        <v>17</v>
      </c>
      <c r="BT79" s="735">
        <f>SUM(AF79:AI79)</f>
        <v>19</v>
      </c>
      <c r="BU79" s="735">
        <f>SUM(AJ79:AM79)</f>
        <v>28</v>
      </c>
      <c r="BV79" s="700">
        <f>SUM(AN79:AQ79)</f>
        <v>6</v>
      </c>
      <c r="BW79" s="700">
        <f>SUM(AR79:AU79)</f>
        <v>16</v>
      </c>
      <c r="BX79" s="700">
        <f>SUM(AV79:AY79)</f>
        <v>61</v>
      </c>
      <c r="BY79" s="735">
        <f>SUM(AZ79:BC79)</f>
        <v>119.02572036140477</v>
      </c>
      <c r="BZ79" s="738">
        <f>SUM(BD79:BG79)</f>
        <v>49.697296606397892</v>
      </c>
      <c r="CA79" s="738">
        <f>SUM(BH79:BK79)</f>
        <v>49.162695179756739</v>
      </c>
      <c r="CB79" s="184"/>
      <c r="CC79" s="184"/>
      <c r="CD79" s="184"/>
    </row>
    <row r="80" spans="1:82" ht="14.25" hidden="1" customHeight="1" outlineLevel="1">
      <c r="A80" s="203"/>
      <c r="B80" s="369" t="s">
        <v>342</v>
      </c>
      <c r="C80" s="331"/>
      <c r="D80" s="275"/>
      <c r="E80" s="275">
        <f>E79/BS!D8</f>
        <v>4.3917677158563317E-2</v>
      </c>
      <c r="F80" s="275">
        <f>F79/BS!E8</f>
        <v>3.6739111485603049E-2</v>
      </c>
      <c r="G80" s="277">
        <f>G79/BS!F8</f>
        <v>2.8580228467576699E-2</v>
      </c>
      <c r="H80" s="275">
        <f>H79/BS!G8</f>
        <v>3.4944042866611819E-2</v>
      </c>
      <c r="I80" s="275">
        <f>I79/BS!H8</f>
        <v>3.1837471867791484E-2</v>
      </c>
      <c r="J80" s="275">
        <f>J79/BS!I8</f>
        <v>3.4835265287904822E-2</v>
      </c>
      <c r="K80" s="277">
        <f>K79/BS!J8</f>
        <v>3.5550362864268541E-2</v>
      </c>
      <c r="L80" s="275">
        <f>L79/BS!K8</f>
        <v>2.5417344989116346E-2</v>
      </c>
      <c r="M80" s="275">
        <f>M79/BS!L8</f>
        <v>2.6663946583265388E-2</v>
      </c>
      <c r="N80" s="275">
        <f>N79/BS!M8</f>
        <v>2.3126603105460539E-2</v>
      </c>
      <c r="O80" s="277">
        <f>O79/BS!N8</f>
        <v>1.8357222769724998E-2</v>
      </c>
      <c r="P80" s="275">
        <f>P79/BS!O8</f>
        <v>1.0792533989220926E-2</v>
      </c>
      <c r="Q80" s="275">
        <f>Q79/BS!P8</f>
        <v>8.6290693282662211E-3</v>
      </c>
      <c r="R80" s="275">
        <f>R79/BS!Q8</f>
        <v>6.9755742425233946E-3</v>
      </c>
      <c r="S80" s="277">
        <f>S79/BS!R8</f>
        <v>7.2794717995204022E-3</v>
      </c>
      <c r="T80" s="337">
        <f>T79/BS!S8</f>
        <v>5.481542850364219E-3</v>
      </c>
      <c r="U80" s="275">
        <f>U79/BS!T8</f>
        <v>7.2420364045991054E-3</v>
      </c>
      <c r="V80" s="275">
        <f>V79/BS!U8</f>
        <v>5.3118553972647696E-3</v>
      </c>
      <c r="W80" s="277">
        <f>W79/BS!V8</f>
        <v>6.5056314592060391E-3</v>
      </c>
      <c r="X80" s="337">
        <f>X79/BS!W8</f>
        <v>5.9214152828498592E-3</v>
      </c>
      <c r="Y80" s="275">
        <f>Y79/BS!X8</f>
        <v>7.0921985815602835E-3</v>
      </c>
      <c r="Z80" s="275">
        <f>Z79/BS!Y8</f>
        <v>2.7365129007036748E-3</v>
      </c>
      <c r="AA80" s="277">
        <f>AA79/BS!Z8</f>
        <v>1.9928258270227183E-3</v>
      </c>
      <c r="AB80" s="337">
        <f>AB79/BS!AA8</f>
        <v>6.711409395973154E-4</v>
      </c>
      <c r="AC80" s="275">
        <f>AC79/BS!AB8</f>
        <v>2.3795359904818562E-3</v>
      </c>
      <c r="AD80" s="275">
        <f>AD79/BS!AC8</f>
        <v>2.2714366837024418E-3</v>
      </c>
      <c r="AE80" s="277">
        <f>AE79/BS!AD8</f>
        <v>3.2701111837802484E-3</v>
      </c>
      <c r="AF80" s="337">
        <f>AF79/BS!AE8</f>
        <v>2.1551724137931034E-3</v>
      </c>
      <c r="AG80" s="275">
        <f>AG79/BS!AF8</f>
        <v>2.6263952724885093E-3</v>
      </c>
      <c r="AH80" s="275">
        <f>AH79/BS!AG8</f>
        <v>2.5889967637540453E-3</v>
      </c>
      <c r="AI80" s="277">
        <f>AI79/BS!AH8</f>
        <v>4.5845272206303722E-3</v>
      </c>
      <c r="AJ80" s="337">
        <f>AJ79/BS!AI8</f>
        <v>7.5978959672706016E-3</v>
      </c>
      <c r="AK80" s="275">
        <f>AK79/BS!AJ8</f>
        <v>9.3283582089552237E-4</v>
      </c>
      <c r="AL80" s="275">
        <f>AL79/BS!AK8</f>
        <v>1.6306563391765185E-3</v>
      </c>
      <c r="AM80" s="338">
        <f>AM79/BS!AL8</f>
        <v>3.301540719002201E-3</v>
      </c>
      <c r="AN80" s="337">
        <f>AN79/BS!AM8</f>
        <v>0</v>
      </c>
      <c r="AO80" s="275">
        <f>AO79/BS!AN8</f>
        <v>0</v>
      </c>
      <c r="AP80" s="275">
        <f>AP79/BS!AO8</f>
        <v>0</v>
      </c>
      <c r="AQ80" s="338">
        <f>AQ79/BS!AP8</f>
        <v>2.331002331002331E-3</v>
      </c>
      <c r="AR80" s="337">
        <f>AR79/BS!AQ8</f>
        <v>4.1692724619553888E-4</v>
      </c>
      <c r="AS80" s="275">
        <f>AS79/BS!AR8</f>
        <v>2.3632680621201892E-3</v>
      </c>
      <c r="AT80" s="275">
        <f>AT79/BS!AS8</f>
        <v>2.4291497975708503E-3</v>
      </c>
      <c r="AU80" s="338">
        <f>AU79/BS!AT8</f>
        <v>3.5360678925035362E-4</v>
      </c>
      <c r="AV80" s="337">
        <f>AV79/BS!AU8</f>
        <v>5.8719906048150322E-4</v>
      </c>
      <c r="AW80" s="275">
        <f>AW79/BS!AV8</f>
        <v>3.4374104841019765E-3</v>
      </c>
      <c r="AX80" s="275">
        <f>AX79/BS!AW8</f>
        <v>2.8317152103559872E-3</v>
      </c>
      <c r="AY80" s="705">
        <f>AY79/BS!AX8</f>
        <v>6.2523683213338383E-3</v>
      </c>
      <c r="AZ80" s="713">
        <f>AZ79/BS!AY8</f>
        <v>4.9900199600798403E-3</v>
      </c>
      <c r="BA80" s="717">
        <f t="shared" ref="BA80:BC80" si="306">AZ80</f>
        <v>4.9900199600798403E-3</v>
      </c>
      <c r="BB80" s="717">
        <f t="shared" si="306"/>
        <v>4.9900199600798403E-3</v>
      </c>
      <c r="BC80" s="716">
        <f t="shared" si="306"/>
        <v>4.9900199600798403E-3</v>
      </c>
      <c r="BD80" s="717">
        <v>2E-3</v>
      </c>
      <c r="BE80" s="717">
        <f t="shared" ref="BE80" si="307">BD80</f>
        <v>2E-3</v>
      </c>
      <c r="BF80" s="717">
        <f t="shared" ref="BF80" si="308">BE80</f>
        <v>2E-3</v>
      </c>
      <c r="BG80" s="716">
        <f t="shared" ref="BG80" si="309">BF80</f>
        <v>2E-3</v>
      </c>
      <c r="BH80" s="717">
        <v>2E-3</v>
      </c>
      <c r="BI80" s="717">
        <f t="shared" ref="BI80" si="310">BH80</f>
        <v>2E-3</v>
      </c>
      <c r="BJ80" s="717">
        <f t="shared" ref="BJ80" si="311">BI80</f>
        <v>2E-3</v>
      </c>
      <c r="BK80" s="716">
        <f t="shared" ref="BK80" si="312">BJ80</f>
        <v>2E-3</v>
      </c>
      <c r="BL80" s="820"/>
      <c r="BM80" s="337"/>
      <c r="BN80" s="275">
        <f>BN79/BS!BM8</f>
        <v>0.15804393224085084</v>
      </c>
      <c r="BO80" s="275">
        <f>BO79/BS!BN8</f>
        <v>9.0893822512600558E-2</v>
      </c>
      <c r="BP80" s="275">
        <f>BP79/BS!BO8</f>
        <v>3.4414263288241063E-2</v>
      </c>
      <c r="BQ80" s="275">
        <f>BQ79/BS!BP8</f>
        <v>2.3744259795062228E-2</v>
      </c>
      <c r="BR80" s="275">
        <f>BR79/BS!BQ8</f>
        <v>2.2609040170881282E-2</v>
      </c>
      <c r="BS80" s="275">
        <f>BS79/BS!BR8</f>
        <v>2.8523489932885905E-3</v>
      </c>
      <c r="BT80" s="704">
        <f>BT79/BS!BS8</f>
        <v>1.3649425287356323E-2</v>
      </c>
      <c r="BU80" s="704">
        <f>BU79/BS!BT8</f>
        <v>1.6364699006428989E-2</v>
      </c>
      <c r="BV80" s="704">
        <f>BV79/BS!BU8</f>
        <v>1.9986675549633578E-3</v>
      </c>
      <c r="BW80" s="704">
        <f>BW79/BS!BV8</f>
        <v>3.335417969564311E-3</v>
      </c>
      <c r="BX80" s="704">
        <f>BX79/BS!BW8</f>
        <v>1.7909571344685848E-2</v>
      </c>
      <c r="BY80" s="704">
        <f>BY79/BS!BX8</f>
        <v>2.3757628814651651E-2</v>
      </c>
      <c r="BZ80" s="705">
        <f>BZ79/BS!BY8</f>
        <v>8.0378185810960536E-3</v>
      </c>
      <c r="CA80" s="705">
        <f>CA79/BS!BZ8</f>
        <v>8.0348484184602342E-3</v>
      </c>
      <c r="CB80" s="184"/>
      <c r="CC80" s="184"/>
      <c r="CD80" s="184"/>
    </row>
    <row r="81" spans="1:82" ht="14.25" hidden="1" customHeight="1" outlineLevel="1">
      <c r="A81" s="203"/>
      <c r="B81" s="227" t="s">
        <v>2</v>
      </c>
      <c r="C81" s="331"/>
      <c r="D81" s="305">
        <v>-8.7050000000000001</v>
      </c>
      <c r="E81" s="305">
        <v>-9.2349999999999994</v>
      </c>
      <c r="F81" s="305">
        <v>-8.8480000000000008</v>
      </c>
      <c r="G81" s="366">
        <v>-9.3079999999999998</v>
      </c>
      <c r="H81" s="305">
        <v>-10.468</v>
      </c>
      <c r="I81" s="305">
        <v>-8.8450000000000006</v>
      </c>
      <c r="J81" s="305">
        <v>-10.074999999999999</v>
      </c>
      <c r="K81" s="306">
        <v>-9.2430000000000003</v>
      </c>
      <c r="L81" s="305">
        <v>-4.5449999999999999</v>
      </c>
      <c r="M81" s="305">
        <v>-6.2560000000000002</v>
      </c>
      <c r="N81" s="305">
        <v>-4.859</v>
      </c>
      <c r="O81" s="306">
        <v>-4.8460000000000001</v>
      </c>
      <c r="P81" s="305">
        <v>-5.9939999999999998</v>
      </c>
      <c r="Q81" s="305">
        <v>-5.0579999999999998</v>
      </c>
      <c r="R81" s="305">
        <v>-4.8929999999999998</v>
      </c>
      <c r="S81" s="306">
        <v>-5.359</v>
      </c>
      <c r="T81" s="330">
        <v>-5.0599999999999996</v>
      </c>
      <c r="U81" s="305">
        <v>-5.2060000000000004</v>
      </c>
      <c r="V81" s="305">
        <v>-5.4960000000000004</v>
      </c>
      <c r="W81" s="306">
        <v>-5.7450000000000037</v>
      </c>
      <c r="X81" s="330">
        <v>-5</v>
      </c>
      <c r="Y81" s="305">
        <v>-5</v>
      </c>
      <c r="Z81" s="305">
        <v>-25</v>
      </c>
      <c r="AA81" s="306">
        <v>-24</v>
      </c>
      <c r="AB81" s="330">
        <v>-24</v>
      </c>
      <c r="AC81" s="305">
        <v>-23</v>
      </c>
      <c r="AD81" s="305">
        <v>-24</v>
      </c>
      <c r="AE81" s="306">
        <v>-24</v>
      </c>
      <c r="AF81" s="330">
        <v>-24</v>
      </c>
      <c r="AG81" s="305">
        <v>-24</v>
      </c>
      <c r="AH81" s="305">
        <v>-23</v>
      </c>
      <c r="AI81" s="306">
        <v>-24</v>
      </c>
      <c r="AJ81" s="330">
        <v>-25</v>
      </c>
      <c r="AK81" s="305">
        <v>-23</v>
      </c>
      <c r="AL81" s="305">
        <v>-24</v>
      </c>
      <c r="AM81" s="346">
        <v>-23</v>
      </c>
      <c r="AN81" s="330">
        <v>-23</v>
      </c>
      <c r="AO81" s="305">
        <v>-24</v>
      </c>
      <c r="AP81" s="305">
        <v>-24</v>
      </c>
      <c r="AQ81" s="346">
        <v>-32</v>
      </c>
      <c r="AR81" s="330">
        <v>-42</v>
      </c>
      <c r="AS81" s="305">
        <v>-37</v>
      </c>
      <c r="AT81" s="305">
        <v>-38</v>
      </c>
      <c r="AU81" s="346">
        <v>-38</v>
      </c>
      <c r="AV81" s="330">
        <v>-38</v>
      </c>
      <c r="AW81" s="305">
        <v>-44</v>
      </c>
      <c r="AX81" s="305">
        <v>-59</v>
      </c>
      <c r="AY81" s="306">
        <v>-57</v>
      </c>
      <c r="AZ81" s="330">
        <v>-59</v>
      </c>
      <c r="BA81" s="220">
        <f>(BS!AZ30+BS!AZ33)*BA82</f>
        <v>-59.011123680241326</v>
      </c>
      <c r="BB81" s="220">
        <f>(BS!BA30+BS!BA33)*BB82</f>
        <v>-59.011123680241326</v>
      </c>
      <c r="BC81" s="226">
        <f>(BS!BB30+BS!BB33)*BC82</f>
        <v>-59.011123680241326</v>
      </c>
      <c r="BD81" s="735">
        <f>(BS!BC30+BS!BC33)*BD82</f>
        <v>-58.354999999999997</v>
      </c>
      <c r="BE81" s="735">
        <f>(BS!BD30+BS!BD33)*BE82</f>
        <v>-58.354999999999997</v>
      </c>
      <c r="BF81" s="735">
        <f>(BS!BE30+BS!BE33)*BF82</f>
        <v>-58.354999999999997</v>
      </c>
      <c r="BG81" s="738">
        <f>(BS!BF30+BS!BF33)*BG82</f>
        <v>-58.354999999999997</v>
      </c>
      <c r="BH81" s="735">
        <f>(BS!BG30+BS!BG33)*BH82</f>
        <v>-58.354999999999997</v>
      </c>
      <c r="BI81" s="735">
        <f>(BS!BH30+BS!BH33)*BI82</f>
        <v>-58.354999999999997</v>
      </c>
      <c r="BJ81" s="735">
        <f>(BS!BI30+BS!BI33)*BJ82</f>
        <v>-58.354999999999997</v>
      </c>
      <c r="BK81" s="738">
        <f>(BS!BJ30+BS!BJ33)*BK82</f>
        <v>-58.354999999999997</v>
      </c>
      <c r="BL81" s="215"/>
      <c r="BM81" s="309">
        <f>SUM(D81:G81)</f>
        <v>-36.095999999999997</v>
      </c>
      <c r="BN81" s="220">
        <f>SUM(H81:K81)</f>
        <v>-38.631</v>
      </c>
      <c r="BO81" s="220">
        <f>SUM(L81:O81)</f>
        <v>-20.506</v>
      </c>
      <c r="BP81" s="220">
        <f>SUM(P81:S81)</f>
        <v>-21.304000000000002</v>
      </c>
      <c r="BQ81" s="220">
        <f>SUM(T81:W81)</f>
        <v>-21.507000000000005</v>
      </c>
      <c r="BR81" s="220">
        <f>SUM(X81:AA81)</f>
        <v>-59</v>
      </c>
      <c r="BS81" s="220">
        <f>SUM(AB81:AE81)</f>
        <v>-95</v>
      </c>
      <c r="BT81" s="735">
        <f>SUM(AF81:AI81)</f>
        <v>-95</v>
      </c>
      <c r="BU81" s="735">
        <f>SUM(AJ81:AM81)</f>
        <v>-95</v>
      </c>
      <c r="BV81" s="700">
        <f>SUM(AN81:AQ81)</f>
        <v>-103</v>
      </c>
      <c r="BW81" s="700">
        <f>SUM(AR81:AU81)</f>
        <v>-155</v>
      </c>
      <c r="BX81" s="700">
        <f>SUM(AV81:AY81)</f>
        <v>-198</v>
      </c>
      <c r="BY81" s="735">
        <f>SUM(AZ81:BC81)</f>
        <v>-236.03337104072398</v>
      </c>
      <c r="BZ81" s="738">
        <f>SUM(BD81:BG81)</f>
        <v>-233.42</v>
      </c>
      <c r="CA81" s="738">
        <f>SUM(BH81:BK81)</f>
        <v>-233.42</v>
      </c>
      <c r="CB81" s="184"/>
      <c r="CC81" s="184"/>
      <c r="CD81" s="184"/>
    </row>
    <row r="82" spans="1:82" ht="14.25" hidden="1" customHeight="1" outlineLevel="1">
      <c r="A82" s="203"/>
      <c r="B82" s="369" t="s">
        <v>345</v>
      </c>
      <c r="C82" s="331"/>
      <c r="D82" s="337"/>
      <c r="E82" s="275"/>
      <c r="F82" s="275"/>
      <c r="G82" s="277"/>
      <c r="H82" s="337">
        <f>H81/(BS!G30+BS!G33)</f>
        <v>-2.5704554774422152E-2</v>
      </c>
      <c r="I82" s="275">
        <f>I81/(BS!H30+BS!H33)</f>
        <v>-2.1720819325512696E-2</v>
      </c>
      <c r="J82" s="275">
        <f>J81/(BS!I30+BS!I33)</f>
        <v>-2.4761843903302234E-2</v>
      </c>
      <c r="K82" s="277">
        <f>K81/(BS!J30+BS!J33)</f>
        <v>-2.2716659866988464E-2</v>
      </c>
      <c r="L82" s="337">
        <f>L81/(BS!K30+BS!K33)</f>
        <v>-2.2187832573398032E-2</v>
      </c>
      <c r="M82" s="275">
        <f>M81/(BS!L30+BS!L33)</f>
        <v>-3.0494759931757251E-2</v>
      </c>
      <c r="N82" s="275">
        <f>N81/(BS!M30+BS!M33)</f>
        <v>-2.3731495636120325E-2</v>
      </c>
      <c r="O82" s="277">
        <f>O81/(BS!N30+BS!N33)</f>
        <v>-2.3882862592222054E-2</v>
      </c>
      <c r="P82" s="337">
        <f>P81/(BS!O30+BS!O33)</f>
        <v>-2.9578966068573458E-2</v>
      </c>
      <c r="Q82" s="275">
        <f>Q81/(BS!P30+BS!P33)</f>
        <v>-2.4897368498774327E-2</v>
      </c>
      <c r="R82" s="275">
        <f>R81/(BS!Q30+BS!Q33)</f>
        <v>-2.4184340725876205E-2</v>
      </c>
      <c r="S82" s="277">
        <f>S81/(BS!R30+BS!R33)</f>
        <v>-2.647688028339501E-2</v>
      </c>
      <c r="T82" s="337">
        <f>T81/(BS!S30+BS!S33)</f>
        <v>-2.5062656641604009E-2</v>
      </c>
      <c r="U82" s="275">
        <f>U81/(BS!T30+BS!T33)</f>
        <v>-2.4447397709289168E-2</v>
      </c>
      <c r="V82" s="275">
        <f>V81/(BS!U30+BS!U33)</f>
        <v>-2.6595693201064603E-2</v>
      </c>
      <c r="W82" s="277">
        <f>W81/(BS!V30+BS!V33)</f>
        <v>-2.7849684418719659E-2</v>
      </c>
      <c r="X82" s="337">
        <f>X81/(BS!W30+BS!W33)</f>
        <v>-2.4327467170083054E-2</v>
      </c>
      <c r="Y82" s="275">
        <f>Y81/(BS!X30+BS!X33)</f>
        <v>-2.4390243902439025E-2</v>
      </c>
      <c r="Z82" s="275">
        <f>Z81/(BS!Y30+BS!Y33)</f>
        <v>-0.12195121951219512</v>
      </c>
      <c r="AA82" s="277">
        <f>AA81/(BS!Z30+BS!Z33)</f>
        <v>-1.2326656394453005E-2</v>
      </c>
      <c r="AB82" s="337">
        <f>AB81/(BS!AA30+BS!AA33)</f>
        <v>-1.2326656394453005E-2</v>
      </c>
      <c r="AC82" s="275">
        <f>AC81/(BS!AB30+BS!AB33)</f>
        <v>-1.1800923550538737E-2</v>
      </c>
      <c r="AD82" s="275">
        <f>AD81/(BS!AC30+BS!AC33)</f>
        <v>-1.2326656394453005E-2</v>
      </c>
      <c r="AE82" s="277">
        <f>AE81/(BS!AD30+BS!AD33)</f>
        <v>-1.2332990750256937E-2</v>
      </c>
      <c r="AF82" s="337">
        <f>AF81/(BS!AE30+BS!AE33)</f>
        <v>-1.2332990750256937E-2</v>
      </c>
      <c r="AG82" s="275">
        <f>AG81/(BS!AF30+BS!AF33)</f>
        <v>-1.2332990750256937E-2</v>
      </c>
      <c r="AH82" s="275">
        <f>AH81/(BS!AG30+BS!AG33)</f>
        <v>-1.1819116135662899E-2</v>
      </c>
      <c r="AI82" s="277">
        <f>AI81/(BS!AH30+BS!AH33)</f>
        <v>-1.2332990750256937E-2</v>
      </c>
      <c r="AJ82" s="337">
        <f>AJ81/(BS!AI30+BS!AI33)</f>
        <v>-1.2846865364850977E-2</v>
      </c>
      <c r="AK82" s="275">
        <f>AK81/(BS!AJ30+BS!AJ33)</f>
        <v>-1.1819116135662899E-2</v>
      </c>
      <c r="AL82" s="275">
        <f>AL81/(BS!AK30+BS!AK33)</f>
        <v>-1.2326656394453005E-2</v>
      </c>
      <c r="AM82" s="338">
        <f>AM81/(BS!AL30+BS!AL33)</f>
        <v>-1.1813045711350795E-2</v>
      </c>
      <c r="AN82" s="337">
        <f>AN81/(BS!AM30+BS!AM33)</f>
        <v>-1.1813045711350795E-2</v>
      </c>
      <c r="AO82" s="275">
        <f>AO81/(BS!AN30+BS!AN33)</f>
        <v>-1.2326656394453005E-2</v>
      </c>
      <c r="AP82" s="275">
        <f>AP81/(BS!AO30+BS!AO33)</f>
        <v>-1.2326656394453005E-2</v>
      </c>
      <c r="AQ82" s="338">
        <f>AQ81/(BS!AP30+BS!AP33)</f>
        <v>-2.068519715578539E-2</v>
      </c>
      <c r="AR82" s="337">
        <f>AR81/(BS!AQ30+BS!AQ33)</f>
        <v>-9.247027741083224E-3</v>
      </c>
      <c r="AS82" s="275">
        <f>AS81/(BS!AR30+BS!AR33)</f>
        <v>-1.1067903081064912E-2</v>
      </c>
      <c r="AT82" s="275">
        <f>AT81/(BS!AS30+BS!AS33)</f>
        <v>-1.1367035596769369E-2</v>
      </c>
      <c r="AU82" s="338">
        <f>AU81/(BS!AT30+BS!AT33)</f>
        <v>-1.1367035596769369E-2</v>
      </c>
      <c r="AV82" s="337">
        <f>AV81/(BS!AU30+BS!AU33)</f>
        <v>-1.1367035596769369E-2</v>
      </c>
      <c r="AW82" s="275">
        <f>AW81/(BS!AV30+BS!AV33)</f>
        <v>-1.4080000000000001E-2</v>
      </c>
      <c r="AX82" s="275">
        <f>AX81/(BS!AW30+BS!AW33)</f>
        <v>-1.1127876273104489E-2</v>
      </c>
      <c r="AY82" s="705">
        <f>AY81/(BS!AX30+BS!AX33)</f>
        <v>-1.0748632849330567E-2</v>
      </c>
      <c r="AZ82" s="713">
        <f>AZ81/(BS!AY30+BS!AY33)</f>
        <v>-1.1123680241327301E-2</v>
      </c>
      <c r="BA82" s="362">
        <f t="shared" ref="BA82:BC83" si="313">AZ82</f>
        <v>-1.1123680241327301E-2</v>
      </c>
      <c r="BB82" s="362">
        <f t="shared" si="313"/>
        <v>-1.1123680241327301E-2</v>
      </c>
      <c r="BC82" s="361">
        <f t="shared" si="313"/>
        <v>-1.1123680241327301E-2</v>
      </c>
      <c r="BD82" s="717">
        <v>-1.0999999999999999E-2</v>
      </c>
      <c r="BE82" s="717">
        <f t="shared" ref="BE82:BE83" si="314">BD82</f>
        <v>-1.0999999999999999E-2</v>
      </c>
      <c r="BF82" s="717">
        <f t="shared" ref="BF82:BF83" si="315">BE82</f>
        <v>-1.0999999999999999E-2</v>
      </c>
      <c r="BG82" s="716">
        <f t="shared" ref="BG82:BG83" si="316">BF82</f>
        <v>-1.0999999999999999E-2</v>
      </c>
      <c r="BH82" s="717">
        <v>-1.0999999999999999E-2</v>
      </c>
      <c r="BI82" s="717">
        <f t="shared" ref="BI82:BI83" si="317">BH82</f>
        <v>-1.0999999999999999E-2</v>
      </c>
      <c r="BJ82" s="717">
        <f t="shared" ref="BJ82:BJ83" si="318">BI82</f>
        <v>-1.0999999999999999E-2</v>
      </c>
      <c r="BK82" s="716">
        <f t="shared" ref="BK82:BK83" si="319">BJ82</f>
        <v>-1.0999999999999999E-2</v>
      </c>
      <c r="BL82" s="820"/>
      <c r="BM82" s="337"/>
      <c r="BN82" s="275">
        <f>BN81/(BS!BM33+BS!BM30)</f>
        <v>-9.4859825706028092E-2</v>
      </c>
      <c r="BO82" s="275">
        <f>BO81/(BS!BN33+BS!BN30)</f>
        <v>-0.10010642348737075</v>
      </c>
      <c r="BP82" s="275">
        <f>BP81/(BS!BO33+BS!BO30)</f>
        <v>-0.10513017903318135</v>
      </c>
      <c r="BQ82" s="275">
        <f>BQ81/(BS!BP33+BS!BP30)</f>
        <v>-0.10652619691521295</v>
      </c>
      <c r="BR82" s="275">
        <f>BR81/(BS!BQ33+BS!BQ30)</f>
        <v>-0.28706411260698006</v>
      </c>
      <c r="BS82" s="275">
        <f>BS81/(BS!BR33+BS!BR30)</f>
        <v>-4.8793014894709809E-2</v>
      </c>
      <c r="BT82" s="704">
        <f>BT81/(BS!BS33+BS!BS30)</f>
        <v>-4.8818088386433707E-2</v>
      </c>
      <c r="BU82" s="704">
        <f>BU81/(BS!BT33+BS!BT30)</f>
        <v>-4.8818088386433707E-2</v>
      </c>
      <c r="BV82" s="704">
        <f>BV81/(BS!BU33+BS!BU30)</f>
        <v>-5.2901900359527479E-2</v>
      </c>
      <c r="BW82" s="704">
        <f>BW81/(BS!BV33+BS!BV30)</f>
        <v>-3.4125935711140469E-2</v>
      </c>
      <c r="BX82" s="704">
        <f>BX81/(BS!BW33+BS!BW30)</f>
        <v>-5.9228238109482502E-2</v>
      </c>
      <c r="BY82" s="704">
        <f>BY81/(BS!BX33+BS!BX30)</f>
        <v>-4.4501012639653843E-2</v>
      </c>
      <c r="BZ82" s="705">
        <f>BZ81/(BS!BY33+BS!BY30)</f>
        <v>-4.3999999999999997E-2</v>
      </c>
      <c r="CA82" s="705">
        <f>CA81/(BS!BZ33+BS!BZ30)</f>
        <v>-4.3999999999999997E-2</v>
      </c>
      <c r="CB82" s="184"/>
      <c r="CC82" s="184"/>
      <c r="CD82" s="184"/>
    </row>
    <row r="83" spans="1:82" ht="14.25" hidden="1" customHeight="1" outlineLevel="1">
      <c r="A83" s="203"/>
      <c r="B83" s="227" t="s">
        <v>3</v>
      </c>
      <c r="C83" s="331"/>
      <c r="D83" s="305">
        <v>0</v>
      </c>
      <c r="E83" s="305">
        <v>0</v>
      </c>
      <c r="F83" s="305">
        <v>0</v>
      </c>
      <c r="G83" s="306">
        <v>-2.8490000000000002</v>
      </c>
      <c r="H83" s="305">
        <v>-3.9369999999999998</v>
      </c>
      <c r="I83" s="305">
        <v>-5.9240000000000004</v>
      </c>
      <c r="J83" s="305">
        <v>-7.3479999999999999</v>
      </c>
      <c r="K83" s="306">
        <v>-12.162000000000001</v>
      </c>
      <c r="L83" s="305">
        <v>-9.5860000000000003</v>
      </c>
      <c r="M83" s="305">
        <v>-9.766</v>
      </c>
      <c r="N83" s="305">
        <v>-6.3079999999999998</v>
      </c>
      <c r="O83" s="306">
        <v>11.97</v>
      </c>
      <c r="P83" s="305">
        <v>-15.808</v>
      </c>
      <c r="Q83" s="305">
        <v>-96.256</v>
      </c>
      <c r="R83" s="305">
        <v>-2.3410000000000002</v>
      </c>
      <c r="S83" s="306">
        <v>-5.0579999999999998</v>
      </c>
      <c r="T83" s="330">
        <v>-1.19</v>
      </c>
      <c r="U83" s="305">
        <v>-3.6709999999999998</v>
      </c>
      <c r="V83" s="305">
        <v>-7.8040000000000003</v>
      </c>
      <c r="W83" s="306">
        <v>0</v>
      </c>
      <c r="X83" s="330">
        <v>0</v>
      </c>
      <c r="Y83" s="305">
        <v>0</v>
      </c>
      <c r="Z83" s="305">
        <v>0</v>
      </c>
      <c r="AA83" s="306">
        <v>-3</v>
      </c>
      <c r="AB83" s="330">
        <v>0</v>
      </c>
      <c r="AC83" s="305">
        <v>-3</v>
      </c>
      <c r="AD83" s="305">
        <v>0</v>
      </c>
      <c r="AE83" s="306">
        <v>-14</v>
      </c>
      <c r="AF83" s="330">
        <v>0</v>
      </c>
      <c r="AG83" s="305">
        <v>-2</v>
      </c>
      <c r="AH83" s="305">
        <v>-3</v>
      </c>
      <c r="AI83" s="306">
        <v>-1</v>
      </c>
      <c r="AJ83" s="330">
        <v>-3</v>
      </c>
      <c r="AK83" s="305">
        <v>-1</v>
      </c>
      <c r="AL83" s="305">
        <v>-1</v>
      </c>
      <c r="AM83" s="346">
        <v>0</v>
      </c>
      <c r="AN83" s="330">
        <v>2</v>
      </c>
      <c r="AO83" s="305">
        <v>-3</v>
      </c>
      <c r="AP83" s="305">
        <v>3</v>
      </c>
      <c r="AQ83" s="346">
        <v>0</v>
      </c>
      <c r="AR83" s="330">
        <v>0</v>
      </c>
      <c r="AS83" s="305">
        <v>0</v>
      </c>
      <c r="AT83" s="305">
        <v>0</v>
      </c>
      <c r="AU83" s="346">
        <v>0</v>
      </c>
      <c r="AV83" s="330">
        <v>0</v>
      </c>
      <c r="AW83" s="305">
        <v>0</v>
      </c>
      <c r="AX83" s="305">
        <v>0</v>
      </c>
      <c r="AY83" s="306">
        <v>0</v>
      </c>
      <c r="AZ83" s="330">
        <v>0</v>
      </c>
      <c r="BA83" s="360">
        <f t="shared" si="313"/>
        <v>0</v>
      </c>
      <c r="BB83" s="360">
        <f t="shared" si="313"/>
        <v>0</v>
      </c>
      <c r="BC83" s="308">
        <f t="shared" si="313"/>
        <v>0</v>
      </c>
      <c r="BD83" s="360">
        <f t="shared" ref="BD83" si="320">BC83</f>
        <v>0</v>
      </c>
      <c r="BE83" s="360">
        <f t="shared" si="314"/>
        <v>0</v>
      </c>
      <c r="BF83" s="360">
        <f t="shared" si="315"/>
        <v>0</v>
      </c>
      <c r="BG83" s="308">
        <f t="shared" si="316"/>
        <v>0</v>
      </c>
      <c r="BH83" s="360">
        <f t="shared" ref="BH83" si="321">BG83</f>
        <v>0</v>
      </c>
      <c r="BI83" s="360">
        <f t="shared" si="317"/>
        <v>0</v>
      </c>
      <c r="BJ83" s="360">
        <f t="shared" si="318"/>
        <v>0</v>
      </c>
      <c r="BK83" s="308">
        <f t="shared" si="319"/>
        <v>0</v>
      </c>
      <c r="BL83" s="215"/>
      <c r="BM83" s="309">
        <f>SUM(D83:G83)</f>
        <v>-2.8490000000000002</v>
      </c>
      <c r="BN83" s="220">
        <f>SUM(H83:K83)</f>
        <v>-29.371000000000002</v>
      </c>
      <c r="BO83" s="220">
        <f>SUM(L83:O83)</f>
        <v>-13.69</v>
      </c>
      <c r="BP83" s="220">
        <f>SUM(P83:S83)</f>
        <v>-119.46299999999999</v>
      </c>
      <c r="BQ83" s="220">
        <f>SUM(T83:W83)</f>
        <v>-12.664999999999999</v>
      </c>
      <c r="BR83" s="220">
        <f>SUM(X83:AA83)</f>
        <v>-3</v>
      </c>
      <c r="BS83" s="220">
        <f>SUM(AB83:AE83)</f>
        <v>-17</v>
      </c>
      <c r="BT83" s="735">
        <f>SUM(AF83:AI83)</f>
        <v>-6</v>
      </c>
      <c r="BU83" s="735">
        <f>SUM(AJ83:AM83)</f>
        <v>-5</v>
      </c>
      <c r="BV83" s="700">
        <f>SUM(AN83:AQ83)</f>
        <v>2</v>
      </c>
      <c r="BW83" s="700">
        <f>SUM(AR83:AU83)</f>
        <v>0</v>
      </c>
      <c r="BX83" s="700">
        <f>SUM(AV83:AY83)</f>
        <v>0</v>
      </c>
      <c r="BY83" s="735">
        <f>SUM(AZ83:BC83)</f>
        <v>0</v>
      </c>
      <c r="BZ83" s="738">
        <f>SUM(BD83:BG83)</f>
        <v>0</v>
      </c>
      <c r="CA83" s="738">
        <f>SUM(BH83:BK83)</f>
        <v>0</v>
      </c>
      <c r="CB83" s="184"/>
      <c r="CC83" s="184"/>
      <c r="CD83" s="184"/>
    </row>
    <row r="84" spans="1:82" ht="14.25" customHeight="1" collapsed="1">
      <c r="A84" s="203"/>
      <c r="B84" s="217" t="s">
        <v>344</v>
      </c>
      <c r="C84" s="216"/>
      <c r="D84" s="220">
        <f>D78-D85</f>
        <v>39.986000000000004</v>
      </c>
      <c r="E84" s="220">
        <f>E78-E85</f>
        <v>39.395000000000003</v>
      </c>
      <c r="F84" s="220">
        <f>F78-F85</f>
        <v>41.730000000000004</v>
      </c>
      <c r="G84" s="226">
        <f>G78-G85</f>
        <v>25.238999999999997</v>
      </c>
      <c r="H84" s="220">
        <f t="shared" ref="H84:AQ84" si="322">H78+H85</f>
        <v>15.698</v>
      </c>
      <c r="I84" s="220">
        <f t="shared" si="322"/>
        <v>19.253</v>
      </c>
      <c r="J84" s="220">
        <f t="shared" si="322"/>
        <v>15.045000000000005</v>
      </c>
      <c r="K84" s="226">
        <f t="shared" si="322"/>
        <v>18.150999999999996</v>
      </c>
      <c r="L84" s="220">
        <f t="shared" si="322"/>
        <v>16.439</v>
      </c>
      <c r="M84" s="220">
        <f t="shared" si="322"/>
        <v>16.392000000000003</v>
      </c>
      <c r="N84" s="220">
        <f t="shared" si="322"/>
        <v>14.232000000000001</v>
      </c>
      <c r="O84" s="226">
        <f t="shared" si="322"/>
        <v>28.061000000000003</v>
      </c>
      <c r="P84" s="220">
        <f t="shared" si="322"/>
        <v>-6.5670000000000002</v>
      </c>
      <c r="Q84" s="220">
        <f t="shared" si="322"/>
        <v>-12.444000000000003</v>
      </c>
      <c r="R84" s="220">
        <f t="shared" si="322"/>
        <v>5.3400000000000007</v>
      </c>
      <c r="S84" s="226">
        <f t="shared" si="322"/>
        <v>5.9640000000000004</v>
      </c>
      <c r="T84" s="309">
        <f t="shared" si="322"/>
        <v>3.5810000000000008</v>
      </c>
      <c r="U84" s="220">
        <f t="shared" si="322"/>
        <v>4.9260000000000002</v>
      </c>
      <c r="V84" s="220">
        <f t="shared" si="322"/>
        <v>2.984</v>
      </c>
      <c r="W84" s="226">
        <f t="shared" si="322"/>
        <v>4.4319999999999942</v>
      </c>
      <c r="X84" s="309">
        <f t="shared" si="322"/>
        <v>6</v>
      </c>
      <c r="Y84" s="220">
        <f t="shared" si="322"/>
        <v>9</v>
      </c>
      <c r="Z84" s="220">
        <f t="shared" si="322"/>
        <v>-18</v>
      </c>
      <c r="AA84" s="226">
        <f t="shared" si="322"/>
        <v>-217</v>
      </c>
      <c r="AB84" s="309">
        <f t="shared" si="322"/>
        <v>-20</v>
      </c>
      <c r="AC84" s="220">
        <f t="shared" si="322"/>
        <v>-19</v>
      </c>
      <c r="AD84" s="220">
        <f t="shared" si="322"/>
        <v>-20</v>
      </c>
      <c r="AE84" s="226">
        <f t="shared" si="322"/>
        <v>-19</v>
      </c>
      <c r="AF84" s="309">
        <f t="shared" si="322"/>
        <v>-31</v>
      </c>
      <c r="AG84" s="220">
        <f t="shared" si="322"/>
        <v>-20</v>
      </c>
      <c r="AH84" s="220">
        <f t="shared" si="322"/>
        <v>-20</v>
      </c>
      <c r="AI84" s="226">
        <f t="shared" si="322"/>
        <v>-20</v>
      </c>
      <c r="AJ84" s="309">
        <f t="shared" si="322"/>
        <v>-20</v>
      </c>
      <c r="AK84" s="220">
        <f t="shared" si="322"/>
        <v>-20</v>
      </c>
      <c r="AL84" s="220">
        <f t="shared" si="322"/>
        <v>-22</v>
      </c>
      <c r="AM84" s="345">
        <f t="shared" si="322"/>
        <v>-19</v>
      </c>
      <c r="AN84" s="309">
        <f t="shared" si="322"/>
        <v>-20</v>
      </c>
      <c r="AO84" s="220">
        <f t="shared" si="322"/>
        <v>-21</v>
      </c>
      <c r="AP84" s="220">
        <f t="shared" si="322"/>
        <v>-22</v>
      </c>
      <c r="AQ84" s="345">
        <f t="shared" si="322"/>
        <v>-28</v>
      </c>
      <c r="AR84" s="309">
        <f t="shared" ref="AR84:AW84" si="323">AR78+AR85</f>
        <v>-37</v>
      </c>
      <c r="AS84" s="220">
        <f t="shared" si="323"/>
        <v>-31</v>
      </c>
      <c r="AT84" s="220">
        <f t="shared" si="323"/>
        <v>-32</v>
      </c>
      <c r="AU84" s="345">
        <f t="shared" si="323"/>
        <v>-31</v>
      </c>
      <c r="AV84" s="309">
        <f t="shared" si="323"/>
        <v>-31</v>
      </c>
      <c r="AW84" s="220">
        <f t="shared" si="323"/>
        <v>-32</v>
      </c>
      <c r="AX84" s="220">
        <f t="shared" ref="AX84:AZ84" si="324">AX78+AX85</f>
        <v>-45</v>
      </c>
      <c r="AY84" s="738">
        <f t="shared" si="324"/>
        <v>-24</v>
      </c>
      <c r="AZ84" s="747">
        <f t="shared" si="324"/>
        <v>-35</v>
      </c>
      <c r="BA84" s="220">
        <f t="shared" ref="BA84:BG84" si="325">BA78+BA85</f>
        <v>-26.083977971658491</v>
      </c>
      <c r="BB84" s="220">
        <f t="shared" si="325"/>
        <v>-30.418945292604647</v>
      </c>
      <c r="BC84" s="226">
        <f t="shared" si="325"/>
        <v>-29.504727415056085</v>
      </c>
      <c r="BD84" s="735">
        <f t="shared" si="325"/>
        <v>-46.989133290024796</v>
      </c>
      <c r="BE84" s="735">
        <f t="shared" si="325"/>
        <v>-46.805089923099857</v>
      </c>
      <c r="BF84" s="735">
        <f t="shared" si="325"/>
        <v>-46.912866378702105</v>
      </c>
      <c r="BG84" s="738">
        <f t="shared" si="325"/>
        <v>-47.015613801775331</v>
      </c>
      <c r="BH84" s="735">
        <f t="shared" ref="BH84:BK84" si="326">BH78+BH85</f>
        <v>-47.117632816618062</v>
      </c>
      <c r="BI84" s="735">
        <f t="shared" si="326"/>
        <v>-47.035603077150881</v>
      </c>
      <c r="BJ84" s="735">
        <f t="shared" si="326"/>
        <v>-47.055044952328323</v>
      </c>
      <c r="BK84" s="738">
        <f t="shared" si="326"/>
        <v>-47.049023974145982</v>
      </c>
      <c r="BL84" s="215"/>
      <c r="BM84" s="309">
        <f t="shared" ref="BM84:BX84" si="327">BM78+BM85</f>
        <v>146.35000000000002</v>
      </c>
      <c r="BN84" s="220">
        <f t="shared" si="327"/>
        <v>68.146999999999991</v>
      </c>
      <c r="BO84" s="220">
        <f t="shared" si="327"/>
        <v>75.124000000000009</v>
      </c>
      <c r="BP84" s="220">
        <f t="shared" si="327"/>
        <v>-7.7069999999999936</v>
      </c>
      <c r="BQ84" s="220">
        <f t="shared" si="327"/>
        <v>15.922999999999995</v>
      </c>
      <c r="BR84" s="220">
        <f t="shared" si="327"/>
        <v>-220</v>
      </c>
      <c r="BS84" s="220">
        <f t="shared" si="327"/>
        <v>-78</v>
      </c>
      <c r="BT84" s="735">
        <f t="shared" si="327"/>
        <v>-91</v>
      </c>
      <c r="BU84" s="735">
        <f t="shared" si="327"/>
        <v>-81</v>
      </c>
      <c r="BV84" s="700">
        <f t="shared" si="327"/>
        <v>-91</v>
      </c>
      <c r="BW84" s="700">
        <f t="shared" si="327"/>
        <v>-131</v>
      </c>
      <c r="BX84" s="700">
        <f t="shared" si="327"/>
        <v>-132</v>
      </c>
      <c r="BY84" s="735">
        <f>BY78+BY85</f>
        <v>-121.00765067931921</v>
      </c>
      <c r="BZ84" s="738">
        <f>BZ78+BZ85</f>
        <v>-187.7227033936021</v>
      </c>
      <c r="CA84" s="738">
        <f>CA78+CA85</f>
        <v>-188.25730482024323</v>
      </c>
      <c r="CB84" s="184"/>
      <c r="CC84" s="184"/>
      <c r="CD84" s="184"/>
    </row>
    <row r="85" spans="1:82" ht="14.25" hidden="1" customHeight="1" outlineLevel="1">
      <c r="A85" s="203"/>
      <c r="B85" s="227" t="s">
        <v>427</v>
      </c>
      <c r="C85" s="331"/>
      <c r="D85" s="305">
        <v>0</v>
      </c>
      <c r="E85" s="305">
        <v>0</v>
      </c>
      <c r="F85" s="305">
        <v>0</v>
      </c>
      <c r="G85" s="306">
        <v>0</v>
      </c>
      <c r="H85" s="305">
        <v>0</v>
      </c>
      <c r="I85" s="305">
        <v>0</v>
      </c>
      <c r="J85" s="305">
        <v>0</v>
      </c>
      <c r="K85" s="306">
        <v>0</v>
      </c>
      <c r="L85" s="305">
        <v>0</v>
      </c>
      <c r="M85" s="305">
        <v>0</v>
      </c>
      <c r="N85" s="305">
        <v>0</v>
      </c>
      <c r="O85" s="306">
        <v>0</v>
      </c>
      <c r="P85" s="305">
        <v>0</v>
      </c>
      <c r="Q85" s="305">
        <v>77.081000000000003</v>
      </c>
      <c r="R85" s="305">
        <v>2.3410000000000002</v>
      </c>
      <c r="S85" s="306">
        <v>5.0579999999999998</v>
      </c>
      <c r="T85" s="330">
        <v>1.19</v>
      </c>
      <c r="U85" s="305">
        <v>3.6709999999999998</v>
      </c>
      <c r="V85" s="305">
        <v>7.8040000000000003</v>
      </c>
      <c r="W85" s="306">
        <v>0</v>
      </c>
      <c r="X85" s="330">
        <v>0</v>
      </c>
      <c r="Y85" s="305">
        <v>0</v>
      </c>
      <c r="Z85" s="305">
        <v>0</v>
      </c>
      <c r="AA85" s="306">
        <v>-200</v>
      </c>
      <c r="AB85" s="330">
        <v>0</v>
      </c>
      <c r="AC85" s="305">
        <v>3</v>
      </c>
      <c r="AD85" s="305">
        <v>0</v>
      </c>
      <c r="AE85" s="306">
        <v>14</v>
      </c>
      <c r="AF85" s="330">
        <v>-10</v>
      </c>
      <c r="AG85" s="305">
        <v>2</v>
      </c>
      <c r="AH85" s="305">
        <v>2</v>
      </c>
      <c r="AI85" s="306">
        <v>-3</v>
      </c>
      <c r="AJ85" s="330">
        <v>-5</v>
      </c>
      <c r="AK85" s="305">
        <v>2</v>
      </c>
      <c r="AL85" s="305">
        <v>-1</v>
      </c>
      <c r="AM85" s="346">
        <v>-5</v>
      </c>
      <c r="AN85" s="330">
        <v>1</v>
      </c>
      <c r="AO85" s="305">
        <v>6</v>
      </c>
      <c r="AP85" s="305">
        <v>-1</v>
      </c>
      <c r="AQ85" s="346">
        <v>-2</v>
      </c>
      <c r="AR85" s="330">
        <v>3</v>
      </c>
      <c r="AS85" s="305">
        <v>-1</v>
      </c>
      <c r="AT85" s="305">
        <f>47+2-1-AT60-AT18</f>
        <v>0</v>
      </c>
      <c r="AU85" s="346">
        <v>6</v>
      </c>
      <c r="AV85" s="330">
        <v>5</v>
      </c>
      <c r="AW85" s="305">
        <v>0</v>
      </c>
      <c r="AX85" s="305">
        <f>49+1-AX60-AX18</f>
        <v>0</v>
      </c>
      <c r="AY85" s="306">
        <v>0</v>
      </c>
      <c r="AZ85" s="330">
        <v>-1</v>
      </c>
      <c r="BA85" s="360">
        <f t="shared" ref="BA85:BC85" si="328">AZ85</f>
        <v>-1</v>
      </c>
      <c r="BB85" s="360">
        <f t="shared" si="328"/>
        <v>-1</v>
      </c>
      <c r="BC85" s="308">
        <f t="shared" si="328"/>
        <v>-1</v>
      </c>
      <c r="BD85" s="360">
        <f t="shared" ref="BD85" si="329">BC85</f>
        <v>-1</v>
      </c>
      <c r="BE85" s="360">
        <f t="shared" ref="BE85" si="330">BD85</f>
        <v>-1</v>
      </c>
      <c r="BF85" s="360">
        <f t="shared" ref="BF85" si="331">BE85</f>
        <v>-1</v>
      </c>
      <c r="BG85" s="308">
        <f t="shared" ref="BG85" si="332">BF85</f>
        <v>-1</v>
      </c>
      <c r="BH85" s="360">
        <f t="shared" ref="BH85" si="333">BG85</f>
        <v>-1</v>
      </c>
      <c r="BI85" s="360">
        <f t="shared" ref="BI85" si="334">BH85</f>
        <v>-1</v>
      </c>
      <c r="BJ85" s="360">
        <f t="shared" ref="BJ85" si="335">BI85</f>
        <v>-1</v>
      </c>
      <c r="BK85" s="308">
        <f t="shared" ref="BK85" si="336">BJ85</f>
        <v>-1</v>
      </c>
      <c r="BL85" s="215"/>
      <c r="BM85" s="309">
        <f>SUM(D85:G85)</f>
        <v>0</v>
      </c>
      <c r="BN85" s="220">
        <f>SUM(H85:K85)</f>
        <v>0</v>
      </c>
      <c r="BO85" s="220">
        <f>SUM(L85:O85)</f>
        <v>0</v>
      </c>
      <c r="BP85" s="220">
        <f>SUM(P85:S85)</f>
        <v>84.47999999999999</v>
      </c>
      <c r="BQ85" s="220">
        <f>SUM(T85:W85)</f>
        <v>12.664999999999999</v>
      </c>
      <c r="BR85" s="220">
        <f>SUM(X85:AA85)</f>
        <v>-200</v>
      </c>
      <c r="BS85" s="220">
        <f>SUM(AB85:AE85)</f>
        <v>17</v>
      </c>
      <c r="BT85" s="735">
        <f>SUM(AF85:AI85)</f>
        <v>-9</v>
      </c>
      <c r="BU85" s="735">
        <f>SUM(AJ85:AM85)</f>
        <v>-9</v>
      </c>
      <c r="BV85" s="700">
        <f>SUM(AN85:AQ85)</f>
        <v>4</v>
      </c>
      <c r="BW85" s="700">
        <f>SUM(AR85:AU85)</f>
        <v>8</v>
      </c>
      <c r="BX85" s="700">
        <f>SUM(AV85:AY85)</f>
        <v>5</v>
      </c>
      <c r="BY85" s="735">
        <f>SUM(AZ85:BC85)</f>
        <v>-4</v>
      </c>
      <c r="BZ85" s="738">
        <f>SUM(BD85:BG85)</f>
        <v>-4</v>
      </c>
      <c r="CA85" s="738">
        <f>SUM(BH85:BK85)</f>
        <v>-4</v>
      </c>
      <c r="CB85" s="184"/>
      <c r="CC85" s="184"/>
      <c r="CD85" s="184"/>
    </row>
    <row r="86" spans="1:82" ht="11.25" hidden="1" customHeight="1" outlineLevel="1">
      <c r="A86" s="203"/>
      <c r="B86" s="217" t="s">
        <v>343</v>
      </c>
      <c r="C86" s="216"/>
      <c r="D86" s="220">
        <f t="shared" ref="D86:AQ86" si="337">D78+D85</f>
        <v>39.986000000000004</v>
      </c>
      <c r="E86" s="220">
        <f t="shared" si="337"/>
        <v>39.395000000000003</v>
      </c>
      <c r="F86" s="220">
        <f t="shared" si="337"/>
        <v>41.730000000000004</v>
      </c>
      <c r="G86" s="226">
        <f t="shared" si="337"/>
        <v>25.238999999999997</v>
      </c>
      <c r="H86" s="220">
        <f t="shared" si="337"/>
        <v>15.698</v>
      </c>
      <c r="I86" s="220">
        <f t="shared" si="337"/>
        <v>19.253</v>
      </c>
      <c r="J86" s="220">
        <f t="shared" si="337"/>
        <v>15.045000000000005</v>
      </c>
      <c r="K86" s="226">
        <f t="shared" si="337"/>
        <v>18.150999999999996</v>
      </c>
      <c r="L86" s="220">
        <f t="shared" si="337"/>
        <v>16.439</v>
      </c>
      <c r="M86" s="220">
        <f t="shared" si="337"/>
        <v>16.392000000000003</v>
      </c>
      <c r="N86" s="220">
        <f t="shared" si="337"/>
        <v>14.232000000000001</v>
      </c>
      <c r="O86" s="226">
        <f t="shared" si="337"/>
        <v>28.061000000000003</v>
      </c>
      <c r="P86" s="220">
        <f t="shared" si="337"/>
        <v>-6.5670000000000002</v>
      </c>
      <c r="Q86" s="220">
        <f t="shared" si="337"/>
        <v>-12.444000000000003</v>
      </c>
      <c r="R86" s="220">
        <f t="shared" si="337"/>
        <v>5.3400000000000007</v>
      </c>
      <c r="S86" s="226">
        <f t="shared" si="337"/>
        <v>5.9640000000000004</v>
      </c>
      <c r="T86" s="309">
        <f t="shared" si="337"/>
        <v>3.5810000000000008</v>
      </c>
      <c r="U86" s="220">
        <f t="shared" si="337"/>
        <v>4.9260000000000002</v>
      </c>
      <c r="V86" s="220">
        <f t="shared" si="337"/>
        <v>2.984</v>
      </c>
      <c r="W86" s="226">
        <f t="shared" si="337"/>
        <v>4.4319999999999942</v>
      </c>
      <c r="X86" s="309">
        <f t="shared" si="337"/>
        <v>6</v>
      </c>
      <c r="Y86" s="220">
        <f t="shared" si="337"/>
        <v>9</v>
      </c>
      <c r="Z86" s="220">
        <f t="shared" si="337"/>
        <v>-18</v>
      </c>
      <c r="AA86" s="226">
        <f t="shared" si="337"/>
        <v>-217</v>
      </c>
      <c r="AB86" s="309">
        <f t="shared" si="337"/>
        <v>-20</v>
      </c>
      <c r="AC86" s="220">
        <f t="shared" si="337"/>
        <v>-19</v>
      </c>
      <c r="AD86" s="220">
        <f t="shared" si="337"/>
        <v>-20</v>
      </c>
      <c r="AE86" s="226">
        <f t="shared" si="337"/>
        <v>-19</v>
      </c>
      <c r="AF86" s="309">
        <f t="shared" si="337"/>
        <v>-31</v>
      </c>
      <c r="AG86" s="220">
        <f t="shared" si="337"/>
        <v>-20</v>
      </c>
      <c r="AH86" s="220">
        <f t="shared" si="337"/>
        <v>-20</v>
      </c>
      <c r="AI86" s="226">
        <f t="shared" si="337"/>
        <v>-20</v>
      </c>
      <c r="AJ86" s="309">
        <f t="shared" si="337"/>
        <v>-20</v>
      </c>
      <c r="AK86" s="220">
        <f t="shared" si="337"/>
        <v>-20</v>
      </c>
      <c r="AL86" s="220">
        <f t="shared" si="337"/>
        <v>-22</v>
      </c>
      <c r="AM86" s="345">
        <f t="shared" si="337"/>
        <v>-19</v>
      </c>
      <c r="AN86" s="309">
        <f t="shared" si="337"/>
        <v>-20</v>
      </c>
      <c r="AO86" s="220">
        <f t="shared" si="337"/>
        <v>-21</v>
      </c>
      <c r="AP86" s="220">
        <f t="shared" si="337"/>
        <v>-22</v>
      </c>
      <c r="AQ86" s="345">
        <f t="shared" si="337"/>
        <v>-28</v>
      </c>
      <c r="AR86" s="309">
        <f t="shared" ref="AR86:AW86" si="338">AR78+AR85</f>
        <v>-37</v>
      </c>
      <c r="AS86" s="220">
        <f t="shared" si="338"/>
        <v>-31</v>
      </c>
      <c r="AT86" s="220">
        <f t="shared" si="338"/>
        <v>-32</v>
      </c>
      <c r="AU86" s="345">
        <f t="shared" si="338"/>
        <v>-31</v>
      </c>
      <c r="AV86" s="309">
        <f t="shared" si="338"/>
        <v>-31</v>
      </c>
      <c r="AW86" s="220">
        <f t="shared" si="338"/>
        <v>-32</v>
      </c>
      <c r="AX86" s="220">
        <f t="shared" ref="AX86:AZ86" si="339">AX78+AX85</f>
        <v>-45</v>
      </c>
      <c r="AY86" s="738">
        <f t="shared" si="339"/>
        <v>-24</v>
      </c>
      <c r="AZ86" s="747">
        <f t="shared" si="339"/>
        <v>-35</v>
      </c>
      <c r="BA86" s="220">
        <f t="shared" ref="BA86:BG86" si="340">BA78+BA85</f>
        <v>-26.083977971658491</v>
      </c>
      <c r="BB86" s="220">
        <f t="shared" si="340"/>
        <v>-30.418945292604647</v>
      </c>
      <c r="BC86" s="226">
        <f t="shared" si="340"/>
        <v>-29.504727415056085</v>
      </c>
      <c r="BD86" s="735">
        <f t="shared" si="340"/>
        <v>-46.989133290024796</v>
      </c>
      <c r="BE86" s="735">
        <f t="shared" si="340"/>
        <v>-46.805089923099857</v>
      </c>
      <c r="BF86" s="735">
        <f t="shared" si="340"/>
        <v>-46.912866378702105</v>
      </c>
      <c r="BG86" s="738">
        <f t="shared" si="340"/>
        <v>-47.015613801775331</v>
      </c>
      <c r="BH86" s="735">
        <f t="shared" ref="BH86:BK86" si="341">BH78+BH85</f>
        <v>-47.117632816618062</v>
      </c>
      <c r="BI86" s="735">
        <f t="shared" si="341"/>
        <v>-47.035603077150881</v>
      </c>
      <c r="BJ86" s="735">
        <f t="shared" si="341"/>
        <v>-47.055044952328323</v>
      </c>
      <c r="BK86" s="738">
        <f t="shared" si="341"/>
        <v>-47.049023974145982</v>
      </c>
      <c r="BL86" s="215"/>
      <c r="BM86" s="309">
        <f t="shared" ref="BM86:BX86" si="342">BM78+BM85</f>
        <v>146.35000000000002</v>
      </c>
      <c r="BN86" s="220">
        <f t="shared" si="342"/>
        <v>68.146999999999991</v>
      </c>
      <c r="BO86" s="220">
        <f t="shared" si="342"/>
        <v>75.124000000000009</v>
      </c>
      <c r="BP86" s="220">
        <f t="shared" si="342"/>
        <v>-7.7069999999999936</v>
      </c>
      <c r="BQ86" s="220">
        <f t="shared" si="342"/>
        <v>15.922999999999995</v>
      </c>
      <c r="BR86" s="220">
        <f t="shared" si="342"/>
        <v>-220</v>
      </c>
      <c r="BS86" s="220">
        <f t="shared" si="342"/>
        <v>-78</v>
      </c>
      <c r="BT86" s="735">
        <f t="shared" si="342"/>
        <v>-91</v>
      </c>
      <c r="BU86" s="735">
        <f t="shared" si="342"/>
        <v>-81</v>
      </c>
      <c r="BV86" s="700">
        <f t="shared" si="342"/>
        <v>-91</v>
      </c>
      <c r="BW86" s="700">
        <f t="shared" si="342"/>
        <v>-131</v>
      </c>
      <c r="BX86" s="700">
        <f t="shared" si="342"/>
        <v>-132</v>
      </c>
      <c r="BY86" s="735">
        <f>BY78+BY85</f>
        <v>-121.00765067931921</v>
      </c>
      <c r="BZ86" s="738">
        <f>BZ78+BZ85</f>
        <v>-187.7227033936021</v>
      </c>
      <c r="CA86" s="738">
        <f>CA78+CA85</f>
        <v>-188.25730482024323</v>
      </c>
      <c r="CB86" s="184"/>
      <c r="CC86" s="184"/>
      <c r="CD86" s="184"/>
    </row>
    <row r="87" spans="1:82" ht="14.25" hidden="1" customHeight="1" outlineLevel="1">
      <c r="A87" s="203"/>
      <c r="B87" s="262" t="s">
        <v>342</v>
      </c>
      <c r="C87" s="261"/>
      <c r="D87" s="275"/>
      <c r="E87" s="275">
        <f>E84/BS!D8</f>
        <v>3.5577563061106356E-2</v>
      </c>
      <c r="F87" s="275">
        <f>F84/BS!E8</f>
        <v>3.031205508905483E-2</v>
      </c>
      <c r="G87" s="277">
        <f>G84/BS!F8</f>
        <v>1.9289132161011021E-2</v>
      </c>
      <c r="H87" s="275">
        <f>H84/BS!G8</f>
        <v>1.8222488951934103E-2</v>
      </c>
      <c r="I87" s="275">
        <f>I84/BS!H8</f>
        <v>1.8016778727605359E-2</v>
      </c>
      <c r="J87" s="275">
        <f>J84/BS!I8</f>
        <v>1.6141941796739195E-2</v>
      </c>
      <c r="K87" s="277">
        <f>K84/BS!J8</f>
        <v>1.6312939537600823E-2</v>
      </c>
      <c r="L87" s="275">
        <f>L84/BS!K8</f>
        <v>1.3668162717568976E-2</v>
      </c>
      <c r="M87" s="275">
        <f>M84/BS!L8</f>
        <v>1.3484155377086639E-2</v>
      </c>
      <c r="N87" s="275">
        <f>N84/BS!M8</f>
        <v>1.2958691893260144E-2</v>
      </c>
      <c r="O87" s="277">
        <f>O84/BS!N8</f>
        <v>2.4603430679717875E-2</v>
      </c>
      <c r="P87" s="275">
        <f>P84/BS!O8</f>
        <v>-4.6520886581695974E-3</v>
      </c>
      <c r="Q87" s="275">
        <f>Q84/BS!P8</f>
        <v>-9.1085027331363876E-3</v>
      </c>
      <c r="R87" s="275">
        <f>R84/BS!Q8</f>
        <v>3.6401413520057591E-3</v>
      </c>
      <c r="S87" s="277">
        <f>S84/BS!R8</f>
        <v>3.834210881598488E-3</v>
      </c>
      <c r="T87" s="337">
        <f>T84/BS!S8</f>
        <v>2.2716589453945463E-3</v>
      </c>
      <c r="U87" s="275">
        <f>U84/BS!T8</f>
        <v>3.5209505851811289E-3</v>
      </c>
      <c r="V87" s="275">
        <f>V84/BS!U8</f>
        <v>1.8691717577167537E-3</v>
      </c>
      <c r="W87" s="277">
        <f>W84/BS!V8</f>
        <v>2.8331491232387869E-3</v>
      </c>
      <c r="X87" s="337">
        <f>X84/BS!W8</f>
        <v>3.2298628815544688E-3</v>
      </c>
      <c r="Y87" s="275">
        <f>Y84/BS!X8</f>
        <v>4.559270516717325E-3</v>
      </c>
      <c r="Z87" s="275">
        <f>Z84/BS!Y8</f>
        <v>-7.0367474589523062E-3</v>
      </c>
      <c r="AA87" s="277">
        <f>AA84/BS!Z8</f>
        <v>-4.3244320446392988E-2</v>
      </c>
      <c r="AB87" s="337">
        <f>AB84/BS!AA8</f>
        <v>-3.3557046979865771E-3</v>
      </c>
      <c r="AC87" s="275">
        <f>AC84/BS!AB8</f>
        <v>-1.1302795954788817E-2</v>
      </c>
      <c r="AD87" s="275">
        <f>AD84/BS!AC8</f>
        <v>-1.1357183418512209E-2</v>
      </c>
      <c r="AE87" s="277">
        <f>AE84/BS!AD8</f>
        <v>-1.2426422498364944E-2</v>
      </c>
      <c r="AF87" s="337">
        <f>AF84/BS!AE8</f>
        <v>-2.2270114942528736E-2</v>
      </c>
      <c r="AG87" s="275">
        <f>AG84/BS!AF8</f>
        <v>-1.3131976362442548E-2</v>
      </c>
      <c r="AH87" s="275">
        <f>AH84/BS!AG8</f>
        <v>-1.2944983818770227E-2</v>
      </c>
      <c r="AI87" s="277">
        <f>AI84/BS!AH8</f>
        <v>-1.1461318051575931E-2</v>
      </c>
      <c r="AJ87" s="337">
        <f>AJ84/BS!AI8</f>
        <v>-1.1689070718877849E-2</v>
      </c>
      <c r="AK87" s="275">
        <f>AK84/BS!AJ8</f>
        <v>-9.3283582089552231E-3</v>
      </c>
      <c r="AL87" s="275">
        <f>AL84/BS!AK8</f>
        <v>-8.9686098654708519E-3</v>
      </c>
      <c r="AM87" s="338">
        <f>AM84/BS!AL8</f>
        <v>-6.9699192956713136E-3</v>
      </c>
      <c r="AN87" s="337">
        <f>AN84/BS!AM8</f>
        <v>-6.6622251832111927E-3</v>
      </c>
      <c r="AO87" s="275">
        <f>AO84/BS!AN8</f>
        <v>-7.1696824854899279E-3</v>
      </c>
      <c r="AP87" s="275">
        <f>AP84/BS!AO8</f>
        <v>-7.1731333550701009E-3</v>
      </c>
      <c r="AQ87" s="338">
        <f>AQ84/BS!AP8</f>
        <v>-1.0878010878010878E-2</v>
      </c>
      <c r="AR87" s="337">
        <f>AR84/BS!AQ8</f>
        <v>-7.7131540546174692E-3</v>
      </c>
      <c r="AS87" s="275">
        <f>AS84/BS!AR8</f>
        <v>-1.0465901417960837E-2</v>
      </c>
      <c r="AT87" s="275">
        <f>AT84/BS!AS8</f>
        <v>-1.2955465587044534E-2</v>
      </c>
      <c r="AU87" s="338">
        <f>AU84/BS!AT8</f>
        <v>-1.0961810466760962E-2</v>
      </c>
      <c r="AV87" s="337">
        <f>AV84/BS!AU8</f>
        <v>-9.1015854374633005E-3</v>
      </c>
      <c r="AW87" s="275">
        <f>AW84/BS!AV8</f>
        <v>-9.1664279576052707E-3</v>
      </c>
      <c r="AX87" s="275">
        <f>AX84/BS!AW8</f>
        <v>-9.101941747572815E-3</v>
      </c>
      <c r="AY87" s="705">
        <f>AY84/BS!AX8</f>
        <v>-4.5471769609700648E-3</v>
      </c>
      <c r="AZ87" s="713">
        <f>AZ84/BS!AY8</f>
        <v>-6.9860279441117763E-3</v>
      </c>
      <c r="BA87" s="275">
        <f>BA84/BS!AZ8</f>
        <v>-3.8364432963168835E-3</v>
      </c>
      <c r="BB87" s="275">
        <f>BB84/BS!BA8</f>
        <v>-5.1294346156716443E-3</v>
      </c>
      <c r="BC87" s="277">
        <f>BC84/BS!BB8</f>
        <v>-4.8261740730702702E-3</v>
      </c>
      <c r="BD87" s="704">
        <f>BD84/BS!BC8</f>
        <v>-7.5998123531640493E-3</v>
      </c>
      <c r="BE87" s="704">
        <f>BE84/BS!BD8</f>
        <v>-7.4590319191611036E-3</v>
      </c>
      <c r="BF87" s="704">
        <f>BF84/BS!BE8</f>
        <v>-7.540968101869403E-3</v>
      </c>
      <c r="BG87" s="705">
        <f>BG84/BS!BF8</f>
        <v>-7.6204136974884077E-3</v>
      </c>
      <c r="BH87" s="704">
        <f>BH84/BS!BG8</f>
        <v>-7.7006160084176836E-3</v>
      </c>
      <c r="BI87" s="704">
        <f>BI84/BS!BH8</f>
        <v>-7.6360236416951055E-3</v>
      </c>
      <c r="BJ87" s="704">
        <f>BJ84/BS!BI8</f>
        <v>-7.6512547842580323E-3</v>
      </c>
      <c r="BK87" s="705">
        <f>BK84/BS!BJ8</f>
        <v>-7.646532688719559E-3</v>
      </c>
      <c r="BL87" s="215"/>
      <c r="BM87" s="337"/>
      <c r="BN87" s="275">
        <f>BN84/BS!BM8</f>
        <v>7.9106125277580153E-2</v>
      </c>
      <c r="BO87" s="275">
        <f>BO84/BS!BN8</f>
        <v>6.2461649491736229E-2</v>
      </c>
      <c r="BP87" s="275">
        <f>BP84/BS!BO8</f>
        <v>-5.4596691470249819E-3</v>
      </c>
      <c r="BQ87" s="275">
        <f>BQ84/BS!BP8</f>
        <v>1.010098447012492E-2</v>
      </c>
      <c r="BR87" s="275">
        <f>BR84/BS!BQ8</f>
        <v>-0.11842830565699719</v>
      </c>
      <c r="BS87" s="275">
        <f>BS84/BS!BR8</f>
        <v>-1.3087248322147652E-2</v>
      </c>
      <c r="BT87" s="704">
        <f>BT84/BS!BS8</f>
        <v>-6.5373563218390801E-2</v>
      </c>
      <c r="BU87" s="704">
        <f>BU84/BS!BT8</f>
        <v>-4.7340736411455288E-2</v>
      </c>
      <c r="BV87" s="704">
        <f>BV84/BS!BU8</f>
        <v>-3.0313124583610927E-2</v>
      </c>
      <c r="BW87" s="704">
        <f>BW84/BS!BV8</f>
        <v>-2.7308734625807796E-2</v>
      </c>
      <c r="BX87" s="704">
        <f>BX84/BS!BW8</f>
        <v>-3.8755137991779216E-2</v>
      </c>
      <c r="BY87" s="704">
        <f>BY84/BS!BX8</f>
        <v>-2.415322368848687E-2</v>
      </c>
      <c r="BZ87" s="705">
        <f>BZ84/BS!BY8</f>
        <v>-3.0361430831560145E-2</v>
      </c>
      <c r="CA87" s="705">
        <f>CA84/BS!BZ8</f>
        <v>-3.0767615615210502E-2</v>
      </c>
      <c r="CB87" s="184"/>
      <c r="CC87" s="184"/>
      <c r="CD87" s="184"/>
    </row>
    <row r="88" spans="1:82" ht="14.25" customHeight="1" collapsed="1">
      <c r="A88" s="203"/>
      <c r="B88" s="227"/>
      <c r="C88" s="331"/>
      <c r="D88" s="353"/>
      <c r="E88" s="353"/>
      <c r="F88" s="343"/>
      <c r="G88" s="354"/>
      <c r="H88" s="353"/>
      <c r="I88" s="353"/>
      <c r="J88" s="343"/>
      <c r="K88" s="354"/>
      <c r="L88" s="353"/>
      <c r="M88" s="353"/>
      <c r="N88" s="343"/>
      <c r="O88" s="354"/>
      <c r="P88" s="353"/>
      <c r="Q88" s="353"/>
      <c r="R88" s="343"/>
      <c r="S88" s="354"/>
      <c r="T88" s="355"/>
      <c r="U88" s="353"/>
      <c r="V88" s="343"/>
      <c r="W88" s="354"/>
      <c r="X88" s="355"/>
      <c r="Y88" s="353"/>
      <c r="Z88" s="343"/>
      <c r="AA88" s="354"/>
      <c r="AB88" s="355"/>
      <c r="AC88" s="353"/>
      <c r="AD88" s="343"/>
      <c r="AE88" s="354"/>
      <c r="AF88" s="355"/>
      <c r="AG88" s="353"/>
      <c r="AH88" s="343"/>
      <c r="AI88" s="354"/>
      <c r="AJ88" s="355"/>
      <c r="AK88" s="353"/>
      <c r="AL88" s="343"/>
      <c r="AM88" s="358"/>
      <c r="AN88" s="355"/>
      <c r="AO88" s="353"/>
      <c r="AP88" s="343"/>
      <c r="AQ88" s="358"/>
      <c r="AR88" s="355"/>
      <c r="AS88" s="353"/>
      <c r="AT88" s="343"/>
      <c r="AU88" s="358"/>
      <c r="AV88" s="355"/>
      <c r="AW88" s="353"/>
      <c r="AX88" s="343"/>
      <c r="AY88" s="715"/>
      <c r="AZ88" s="355"/>
      <c r="BA88" s="367"/>
      <c r="BB88" s="367"/>
      <c r="BC88" s="368"/>
      <c r="BD88" s="718"/>
      <c r="BE88" s="718"/>
      <c r="BF88" s="718"/>
      <c r="BG88" s="368"/>
      <c r="BH88" s="718"/>
      <c r="BI88" s="718"/>
      <c r="BJ88" s="718"/>
      <c r="BK88" s="368"/>
      <c r="BL88" s="215"/>
      <c r="BM88" s="355"/>
      <c r="BN88" s="353"/>
      <c r="BO88" s="353"/>
      <c r="BP88" s="353"/>
      <c r="BQ88" s="353"/>
      <c r="BR88" s="353"/>
      <c r="BS88" s="353"/>
      <c r="BT88" s="714"/>
      <c r="BU88" s="714"/>
      <c r="BV88" s="714"/>
      <c r="BW88" s="714"/>
      <c r="BX88" s="714"/>
      <c r="BY88" s="714"/>
      <c r="BZ88" s="715"/>
      <c r="CA88" s="715"/>
      <c r="CB88" s="184"/>
      <c r="CC88" s="184"/>
      <c r="CD88" s="184"/>
    </row>
    <row r="89" spans="1:82" ht="14.25" customHeight="1">
      <c r="A89" s="203"/>
      <c r="B89" s="321" t="s">
        <v>341</v>
      </c>
      <c r="C89" s="320"/>
      <c r="D89" s="332">
        <f t="shared" ref="D89:AQ89" si="343">D71+D78</f>
        <v>183.92500000000007</v>
      </c>
      <c r="E89" s="332">
        <f t="shared" si="343"/>
        <v>600.46600000000012</v>
      </c>
      <c r="F89" s="332">
        <f t="shared" si="343"/>
        <v>722.51100000000019</v>
      </c>
      <c r="G89" s="333">
        <f t="shared" si="343"/>
        <v>660.06899999999996</v>
      </c>
      <c r="H89" s="332">
        <f t="shared" si="343"/>
        <v>565.22399999999982</v>
      </c>
      <c r="I89" s="332">
        <f t="shared" si="343"/>
        <v>608.27700000000027</v>
      </c>
      <c r="J89" s="332">
        <f t="shared" si="343"/>
        <v>686.90699999999981</v>
      </c>
      <c r="K89" s="333">
        <f t="shared" si="343"/>
        <v>579.245</v>
      </c>
      <c r="L89" s="332">
        <f t="shared" si="343"/>
        <v>389.32200000000006</v>
      </c>
      <c r="M89" s="332">
        <f t="shared" si="343"/>
        <v>454.14299999999997</v>
      </c>
      <c r="N89" s="332">
        <f t="shared" si="343"/>
        <v>242.56399999999977</v>
      </c>
      <c r="O89" s="333">
        <f t="shared" si="343"/>
        <v>322.68899999999996</v>
      </c>
      <c r="P89" s="332">
        <f t="shared" si="343"/>
        <v>-202.65899999999999</v>
      </c>
      <c r="Q89" s="332">
        <f t="shared" si="343"/>
        <v>-382.80799999999999</v>
      </c>
      <c r="R89" s="332">
        <f t="shared" si="343"/>
        <v>-74.183999999999997</v>
      </c>
      <c r="S89" s="333">
        <f t="shared" si="343"/>
        <v>173.84800000000001</v>
      </c>
      <c r="T89" s="334">
        <f t="shared" si="343"/>
        <v>118.73400000000008</v>
      </c>
      <c r="U89" s="332">
        <f t="shared" si="343"/>
        <v>387.0200000000001</v>
      </c>
      <c r="V89" s="332">
        <f t="shared" si="343"/>
        <v>177.83099999999996</v>
      </c>
      <c r="W89" s="333">
        <f t="shared" si="343"/>
        <v>703.13099999999997</v>
      </c>
      <c r="X89" s="334">
        <f t="shared" si="343"/>
        <v>680</v>
      </c>
      <c r="Y89" s="332">
        <f t="shared" si="343"/>
        <v>686</v>
      </c>
      <c r="Z89" s="332">
        <f t="shared" si="343"/>
        <v>669</v>
      </c>
      <c r="AA89" s="333">
        <f t="shared" si="343"/>
        <v>344</v>
      </c>
      <c r="AB89" s="334">
        <f t="shared" si="343"/>
        <v>159</v>
      </c>
      <c r="AC89" s="332">
        <f t="shared" si="343"/>
        <v>387</v>
      </c>
      <c r="AD89" s="332">
        <f t="shared" si="343"/>
        <v>302</v>
      </c>
      <c r="AE89" s="333">
        <f t="shared" si="343"/>
        <v>-532</v>
      </c>
      <c r="AF89" s="334">
        <f t="shared" si="343"/>
        <v>18</v>
      </c>
      <c r="AG89" s="332">
        <f t="shared" si="343"/>
        <v>-90</v>
      </c>
      <c r="AH89" s="332">
        <f t="shared" si="343"/>
        <v>228</v>
      </c>
      <c r="AI89" s="333">
        <f t="shared" si="343"/>
        <v>194</v>
      </c>
      <c r="AJ89" s="334">
        <f t="shared" si="343"/>
        <v>315</v>
      </c>
      <c r="AK89" s="332">
        <f t="shared" si="343"/>
        <v>365</v>
      </c>
      <c r="AL89" s="332">
        <f t="shared" si="343"/>
        <v>370</v>
      </c>
      <c r="AM89" s="335">
        <f t="shared" si="343"/>
        <v>398</v>
      </c>
      <c r="AN89" s="334">
        <f t="shared" si="343"/>
        <v>437</v>
      </c>
      <c r="AO89" s="332">
        <f t="shared" si="343"/>
        <v>389</v>
      </c>
      <c r="AP89" s="332">
        <f t="shared" si="343"/>
        <v>375</v>
      </c>
      <c r="AQ89" s="335">
        <f t="shared" si="343"/>
        <v>397</v>
      </c>
      <c r="AR89" s="334">
        <f t="shared" ref="AR89:AW89" si="344">AR71+AR78</f>
        <v>314</v>
      </c>
      <c r="AS89" s="332">
        <f t="shared" si="344"/>
        <v>395</v>
      </c>
      <c r="AT89" s="332">
        <f t="shared" si="344"/>
        <v>564</v>
      </c>
      <c r="AU89" s="335">
        <f t="shared" si="344"/>
        <v>740</v>
      </c>
      <c r="AV89" s="334">
        <f t="shared" si="344"/>
        <v>771</v>
      </c>
      <c r="AW89" s="332">
        <f t="shared" si="344"/>
        <v>908</v>
      </c>
      <c r="AX89" s="332">
        <f t="shared" ref="AX89:AZ89" si="345">AX71+AX78</f>
        <v>978</v>
      </c>
      <c r="AY89" s="712">
        <f t="shared" si="345"/>
        <v>1074</v>
      </c>
      <c r="AZ89" s="334">
        <f t="shared" si="345"/>
        <v>1162</v>
      </c>
      <c r="BA89" s="332">
        <f t="shared" ref="BA89:BG89" si="346">BA71+BA78</f>
        <v>1254.2652777371904</v>
      </c>
      <c r="BB89" s="332">
        <f t="shared" si="346"/>
        <v>1179.263307210131</v>
      </c>
      <c r="BC89" s="333">
        <f t="shared" si="346"/>
        <v>1191.0873196234584</v>
      </c>
      <c r="BD89" s="711">
        <f t="shared" si="346"/>
        <v>1109.5445376541629</v>
      </c>
      <c r="BE89" s="711">
        <f t="shared" si="346"/>
        <v>1112.7518797052226</v>
      </c>
      <c r="BF89" s="711">
        <f t="shared" si="346"/>
        <v>1099.4580075116025</v>
      </c>
      <c r="BG89" s="712">
        <f t="shared" si="346"/>
        <v>1123.7997820204982</v>
      </c>
      <c r="BH89" s="711">
        <f t="shared" ref="BH89:BK89" si="347">BH71+BH78</f>
        <v>1122.4670666808156</v>
      </c>
      <c r="BI89" s="711">
        <f t="shared" si="347"/>
        <v>1130.9789986089502</v>
      </c>
      <c r="BJ89" s="711">
        <f t="shared" si="347"/>
        <v>1147.4766587981876</v>
      </c>
      <c r="BK89" s="712">
        <f t="shared" si="347"/>
        <v>1147.8308423651126</v>
      </c>
      <c r="BL89" s="215"/>
      <c r="BM89" s="334">
        <f t="shared" ref="BM89:BX89" si="348">BM71+BM78</f>
        <v>2166.9710000000014</v>
      </c>
      <c r="BN89" s="332">
        <f t="shared" si="348"/>
        <v>2439.6529999999998</v>
      </c>
      <c r="BO89" s="332">
        <f t="shared" si="348"/>
        <v>1408.7179999999996</v>
      </c>
      <c r="BP89" s="332">
        <f t="shared" si="348"/>
        <v>-485.803</v>
      </c>
      <c r="BQ89" s="332">
        <f t="shared" si="348"/>
        <v>1386.7159999999992</v>
      </c>
      <c r="BR89" s="332">
        <f t="shared" si="348"/>
        <v>2379</v>
      </c>
      <c r="BS89" s="332">
        <f t="shared" si="348"/>
        <v>316</v>
      </c>
      <c r="BT89" s="711">
        <f t="shared" si="348"/>
        <v>350</v>
      </c>
      <c r="BU89" s="711">
        <f t="shared" si="348"/>
        <v>1448</v>
      </c>
      <c r="BV89" s="711">
        <f t="shared" si="348"/>
        <v>1598</v>
      </c>
      <c r="BW89" s="711">
        <f t="shared" si="348"/>
        <v>2013</v>
      </c>
      <c r="BX89" s="711">
        <f t="shared" si="348"/>
        <v>3731</v>
      </c>
      <c r="BY89" s="711">
        <f>BY71+BY78</f>
        <v>4786.6159045707791</v>
      </c>
      <c r="BZ89" s="712">
        <f>BZ71+BZ78</f>
        <v>4445.5542068914856</v>
      </c>
      <c r="CA89" s="712">
        <f>CA71+CA78</f>
        <v>4548.753566453066</v>
      </c>
      <c r="CB89" s="184"/>
      <c r="CC89" s="184"/>
      <c r="CD89" s="184"/>
    </row>
    <row r="90" spans="1:82" ht="14.25" hidden="1" customHeight="1" outlineLevel="1">
      <c r="A90" s="203"/>
      <c r="B90" s="262" t="s">
        <v>340</v>
      </c>
      <c r="C90" s="261"/>
      <c r="D90" s="275">
        <f t="shared" ref="D90:AQ90" si="349">D89/D7</f>
        <v>9.9012592646824521E-2</v>
      </c>
      <c r="E90" s="275">
        <f t="shared" si="349"/>
        <v>0.2671485251943555</v>
      </c>
      <c r="F90" s="275">
        <f t="shared" si="349"/>
        <v>0.28406809195252269</v>
      </c>
      <c r="G90" s="277">
        <f t="shared" si="349"/>
        <v>0.26210969096923986</v>
      </c>
      <c r="H90" s="275">
        <f t="shared" si="349"/>
        <v>0.24820277991118295</v>
      </c>
      <c r="I90" s="275">
        <f t="shared" si="349"/>
        <v>0.24046741707355554</v>
      </c>
      <c r="J90" s="275">
        <f t="shared" si="349"/>
        <v>0.26821994983178332</v>
      </c>
      <c r="K90" s="277">
        <f t="shared" si="349"/>
        <v>0.24471239233406733</v>
      </c>
      <c r="L90" s="275">
        <f t="shared" si="349"/>
        <v>0.18651075957280769</v>
      </c>
      <c r="M90" s="275">
        <f t="shared" si="349"/>
        <v>0.21122949881813841</v>
      </c>
      <c r="N90" s="275">
        <f t="shared" si="349"/>
        <v>0.13124564433536334</v>
      </c>
      <c r="O90" s="277">
        <f t="shared" si="349"/>
        <v>0.15789628204456965</v>
      </c>
      <c r="P90" s="275">
        <f t="shared" si="349"/>
        <v>-0.15198710660598952</v>
      </c>
      <c r="Q90" s="275">
        <f t="shared" si="349"/>
        <v>-0.37527363130430347</v>
      </c>
      <c r="R90" s="275">
        <f t="shared" si="349"/>
        <v>-6.5432991691216677E-2</v>
      </c>
      <c r="S90" s="277">
        <f t="shared" si="349"/>
        <v>0.11389457767784728</v>
      </c>
      <c r="T90" s="337">
        <f t="shared" si="349"/>
        <v>6.4218655180209708E-2</v>
      </c>
      <c r="U90" s="275">
        <f t="shared" si="349"/>
        <v>0.16859649581362124</v>
      </c>
      <c r="V90" s="275">
        <f t="shared" si="349"/>
        <v>7.0629798354906473E-2</v>
      </c>
      <c r="W90" s="277">
        <f t="shared" si="349"/>
        <v>0.2435984181178513</v>
      </c>
      <c r="X90" s="337">
        <f t="shared" si="349"/>
        <v>0.25316455696202533</v>
      </c>
      <c r="Y90" s="275">
        <f t="shared" si="349"/>
        <v>0.23969252271139063</v>
      </c>
      <c r="Z90" s="275">
        <f t="shared" si="349"/>
        <v>0.24004305705059203</v>
      </c>
      <c r="AA90" s="277">
        <f t="shared" si="349"/>
        <v>0.15765352887259396</v>
      </c>
      <c r="AB90" s="337">
        <f t="shared" si="349"/>
        <v>7.2635906806761075E-2</v>
      </c>
      <c r="AC90" s="275">
        <f t="shared" si="349"/>
        <v>0.15230224321133412</v>
      </c>
      <c r="AD90" s="275">
        <f t="shared" si="349"/>
        <v>0.12889457959880496</v>
      </c>
      <c r="AE90" s="277">
        <f t="shared" si="349"/>
        <v>-0.32320777642770354</v>
      </c>
      <c r="AF90" s="337">
        <f t="shared" si="349"/>
        <v>1.1443102352193261E-2</v>
      </c>
      <c r="AG90" s="275">
        <f t="shared" si="349"/>
        <v>-4.5615813482007099E-2</v>
      </c>
      <c r="AH90" s="275">
        <f t="shared" si="349"/>
        <v>0.11544303797468354</v>
      </c>
      <c r="AI90" s="277">
        <f t="shared" si="349"/>
        <v>9.7585513078470826E-2</v>
      </c>
      <c r="AJ90" s="337">
        <f t="shared" si="349"/>
        <v>0.14383561643835616</v>
      </c>
      <c r="AK90" s="275">
        <f t="shared" si="349"/>
        <v>0.15512112197195072</v>
      </c>
      <c r="AL90" s="275">
        <f t="shared" si="349"/>
        <v>0.16335540838852097</v>
      </c>
      <c r="AM90" s="338">
        <f t="shared" si="349"/>
        <v>0.17579505300353357</v>
      </c>
      <c r="AN90" s="337">
        <f t="shared" si="349"/>
        <v>0.18524798643493007</v>
      </c>
      <c r="AO90" s="275">
        <f t="shared" si="349"/>
        <v>0.15929565929565931</v>
      </c>
      <c r="AP90" s="275">
        <f t="shared" si="349"/>
        <v>0.15060240963855423</v>
      </c>
      <c r="AQ90" s="338">
        <f t="shared" si="349"/>
        <v>0.16765202702702703</v>
      </c>
      <c r="AR90" s="337">
        <f t="shared" ref="AR90:AW90" si="350">AR89/AR7</f>
        <v>0.13912272928666372</v>
      </c>
      <c r="AS90" s="275">
        <f t="shared" si="350"/>
        <v>0.16122448979591836</v>
      </c>
      <c r="AT90" s="275">
        <f t="shared" si="350"/>
        <v>0.19992910315490961</v>
      </c>
      <c r="AU90" s="338">
        <f t="shared" si="350"/>
        <v>0.22444646648468305</v>
      </c>
      <c r="AV90" s="337">
        <f t="shared" si="350"/>
        <v>0.23520439292251372</v>
      </c>
      <c r="AW90" s="275">
        <f t="shared" si="350"/>
        <v>0.25606316976875354</v>
      </c>
      <c r="AX90" s="275">
        <f t="shared" ref="AX90:AZ90" si="351">AX89/AX7</f>
        <v>0.26121794871794873</v>
      </c>
      <c r="AY90" s="705">
        <f t="shared" si="351"/>
        <v>0.2705971277399849</v>
      </c>
      <c r="AZ90" s="713">
        <f t="shared" si="351"/>
        <v>0.27640342530922929</v>
      </c>
      <c r="BA90" s="275">
        <f t="shared" ref="BA90:BG90" si="352">BA89/BA7</f>
        <v>0.28123964975292254</v>
      </c>
      <c r="BB90" s="275">
        <f t="shared" si="352"/>
        <v>0.27154119434860846</v>
      </c>
      <c r="BC90" s="277">
        <f t="shared" si="352"/>
        <v>0.27251323487143142</v>
      </c>
      <c r="BD90" s="704">
        <f t="shared" si="352"/>
        <v>0.26176458885386272</v>
      </c>
      <c r="BE90" s="704">
        <f t="shared" si="352"/>
        <v>0.26017968206874165</v>
      </c>
      <c r="BF90" s="704">
        <f t="shared" si="352"/>
        <v>0.25561716079035612</v>
      </c>
      <c r="BG90" s="705">
        <f t="shared" si="352"/>
        <v>0.25776978556631253</v>
      </c>
      <c r="BH90" s="704">
        <f t="shared" ref="BH90:BK90" si="353">BH89/BH7</f>
        <v>0.25940636518510568</v>
      </c>
      <c r="BI90" s="704">
        <f t="shared" si="353"/>
        <v>0.25909503921154597</v>
      </c>
      <c r="BJ90" s="704">
        <f t="shared" si="353"/>
        <v>0.26018509807714174</v>
      </c>
      <c r="BK90" s="705">
        <f t="shared" si="353"/>
        <v>0.25999863042308546</v>
      </c>
      <c r="BL90" s="215"/>
      <c r="BM90" s="337">
        <f t="shared" ref="BM90:BX90" si="354">BM89/BM7</f>
        <v>0.23638787941198749</v>
      </c>
      <c r="BN90" s="275">
        <f t="shared" si="354"/>
        <v>0.25061007579362243</v>
      </c>
      <c r="BO90" s="275">
        <f t="shared" si="354"/>
        <v>0.17329024607466376</v>
      </c>
      <c r="BP90" s="275">
        <f t="shared" si="354"/>
        <v>-9.6896904763376951E-2</v>
      </c>
      <c r="BQ90" s="275">
        <f t="shared" si="354"/>
        <v>0.14522613470550386</v>
      </c>
      <c r="BR90" s="275">
        <f t="shared" si="354"/>
        <v>0.22620519159456118</v>
      </c>
      <c r="BS90" s="275">
        <f t="shared" si="354"/>
        <v>3.624268838169515E-2</v>
      </c>
      <c r="BT90" s="704">
        <f t="shared" si="354"/>
        <v>4.6610733786123321E-2</v>
      </c>
      <c r="BU90" s="704">
        <f t="shared" si="354"/>
        <v>0.15961199294532627</v>
      </c>
      <c r="BV90" s="704">
        <f t="shared" si="354"/>
        <v>0.16544155709700797</v>
      </c>
      <c r="BW90" s="704">
        <f t="shared" si="354"/>
        <v>0.18595842956120093</v>
      </c>
      <c r="BX90" s="704">
        <f t="shared" si="354"/>
        <v>0.25665543096925086</v>
      </c>
      <c r="BY90" s="704">
        <f>BY89/BY7</f>
        <v>0.27545100685398366</v>
      </c>
      <c r="BZ90" s="705">
        <f>BZ89/BZ7</f>
        <v>0.25881661090738778</v>
      </c>
      <c r="CA90" s="705">
        <f>CA89/CA7</f>
        <v>0.25967410986871353</v>
      </c>
      <c r="CB90" s="184"/>
      <c r="CC90" s="184"/>
      <c r="CD90" s="184"/>
    </row>
    <row r="91" spans="1:82" ht="14.25" customHeight="1" collapsed="1">
      <c r="A91" s="203"/>
      <c r="B91" s="321" t="s">
        <v>339</v>
      </c>
      <c r="C91" s="320"/>
      <c r="D91" s="332">
        <f t="shared" ref="D91:AQ91" si="355">D73+D84</f>
        <v>183.92500000000007</v>
      </c>
      <c r="E91" s="332">
        <f t="shared" si="355"/>
        <v>600.46600000000012</v>
      </c>
      <c r="F91" s="332">
        <f t="shared" si="355"/>
        <v>722.51100000000019</v>
      </c>
      <c r="G91" s="333">
        <f t="shared" si="355"/>
        <v>660.06899999999996</v>
      </c>
      <c r="H91" s="332">
        <f t="shared" si="355"/>
        <v>580.36299999999983</v>
      </c>
      <c r="I91" s="332">
        <f t="shared" si="355"/>
        <v>755.26700000000017</v>
      </c>
      <c r="J91" s="332">
        <f t="shared" si="355"/>
        <v>754.91299999999978</v>
      </c>
      <c r="K91" s="333">
        <f t="shared" si="355"/>
        <v>652.06100000000004</v>
      </c>
      <c r="L91" s="332">
        <f t="shared" si="355"/>
        <v>509.08900000000006</v>
      </c>
      <c r="M91" s="332">
        <f t="shared" si="355"/>
        <v>536.37800000000004</v>
      </c>
      <c r="N91" s="332">
        <f t="shared" si="355"/>
        <v>330.08799999999985</v>
      </c>
      <c r="O91" s="333">
        <f t="shared" si="355"/>
        <v>370.26399999999995</v>
      </c>
      <c r="P91" s="332">
        <f t="shared" si="355"/>
        <v>-10.254000000000012</v>
      </c>
      <c r="Q91" s="332">
        <f t="shared" si="355"/>
        <v>-215.02199999999999</v>
      </c>
      <c r="R91" s="332">
        <f t="shared" si="355"/>
        <v>-49.417999999999978</v>
      </c>
      <c r="S91" s="333">
        <f t="shared" si="355"/>
        <v>197.63800000000003</v>
      </c>
      <c r="T91" s="334">
        <f t="shared" si="355"/>
        <v>259.59000000000003</v>
      </c>
      <c r="U91" s="332">
        <f t="shared" si="355"/>
        <v>429.90100000000007</v>
      </c>
      <c r="V91" s="332">
        <f t="shared" si="355"/>
        <v>341.95099999999996</v>
      </c>
      <c r="W91" s="333">
        <f t="shared" si="355"/>
        <v>714.678</v>
      </c>
      <c r="X91" s="334">
        <f t="shared" si="355"/>
        <v>665</v>
      </c>
      <c r="Y91" s="332">
        <f t="shared" si="355"/>
        <v>694</v>
      </c>
      <c r="Z91" s="332">
        <f t="shared" si="355"/>
        <v>665</v>
      </c>
      <c r="AA91" s="333">
        <f t="shared" si="355"/>
        <v>167</v>
      </c>
      <c r="AB91" s="334">
        <f t="shared" si="355"/>
        <v>324</v>
      </c>
      <c r="AC91" s="332">
        <f t="shared" si="355"/>
        <v>471</v>
      </c>
      <c r="AD91" s="332">
        <f t="shared" si="355"/>
        <v>411</v>
      </c>
      <c r="AE91" s="333">
        <f t="shared" si="355"/>
        <v>95</v>
      </c>
      <c r="AF91" s="334">
        <f t="shared" si="355"/>
        <v>81</v>
      </c>
      <c r="AG91" s="332">
        <f t="shared" si="355"/>
        <v>265</v>
      </c>
      <c r="AH91" s="332">
        <f t="shared" si="355"/>
        <v>292</v>
      </c>
      <c r="AI91" s="333">
        <f t="shared" si="355"/>
        <v>303</v>
      </c>
      <c r="AJ91" s="334">
        <f t="shared" si="355"/>
        <v>360</v>
      </c>
      <c r="AK91" s="332">
        <f t="shared" si="355"/>
        <v>462</v>
      </c>
      <c r="AL91" s="332">
        <f t="shared" si="355"/>
        <v>455</v>
      </c>
      <c r="AM91" s="335">
        <f t="shared" si="355"/>
        <v>423</v>
      </c>
      <c r="AN91" s="334">
        <f t="shared" si="355"/>
        <v>427</v>
      </c>
      <c r="AO91" s="332">
        <f t="shared" si="355"/>
        <v>455</v>
      </c>
      <c r="AP91" s="332">
        <f t="shared" si="355"/>
        <v>495</v>
      </c>
      <c r="AQ91" s="335">
        <f t="shared" si="355"/>
        <v>428</v>
      </c>
      <c r="AR91" s="334">
        <f t="shared" ref="AR91:AW91" si="356">AR73+AR84</f>
        <v>364</v>
      </c>
      <c r="AS91" s="332">
        <f t="shared" si="356"/>
        <v>439</v>
      </c>
      <c r="AT91" s="332">
        <f t="shared" si="356"/>
        <v>612</v>
      </c>
      <c r="AU91" s="335">
        <f t="shared" si="356"/>
        <v>801</v>
      </c>
      <c r="AV91" s="334">
        <f t="shared" si="356"/>
        <v>821</v>
      </c>
      <c r="AW91" s="332">
        <f t="shared" si="356"/>
        <v>955</v>
      </c>
      <c r="AX91" s="332">
        <f t="shared" ref="AX91:AZ91" si="357">AX73+AX84</f>
        <v>1028</v>
      </c>
      <c r="AY91" s="712">
        <f t="shared" si="357"/>
        <v>1114</v>
      </c>
      <c r="AZ91" s="334">
        <f t="shared" si="357"/>
        <v>1211</v>
      </c>
      <c r="BA91" s="332">
        <f t="shared" ref="BA91:BG91" si="358">BA73+BA84</f>
        <v>1303.2652777371904</v>
      </c>
      <c r="BB91" s="332">
        <f t="shared" si="358"/>
        <v>1228.263307210131</v>
      </c>
      <c r="BC91" s="333">
        <f t="shared" si="358"/>
        <v>1247.6514792072085</v>
      </c>
      <c r="BD91" s="711">
        <f t="shared" si="358"/>
        <v>1158.5445376541629</v>
      </c>
      <c r="BE91" s="711">
        <f t="shared" si="358"/>
        <v>1184.1658684552226</v>
      </c>
      <c r="BF91" s="711">
        <f t="shared" si="358"/>
        <v>1148.4580075116025</v>
      </c>
      <c r="BG91" s="712">
        <f t="shared" si="358"/>
        <v>1187.8508663917607</v>
      </c>
      <c r="BH91" s="711">
        <f t="shared" ref="BH91:BK91" si="359">BH73+BH84</f>
        <v>1171.4670666808156</v>
      </c>
      <c r="BI91" s="711">
        <f t="shared" si="359"/>
        <v>1175.5150293193174</v>
      </c>
      <c r="BJ91" s="711">
        <f t="shared" si="359"/>
        <v>1196.4766587981876</v>
      </c>
      <c r="BK91" s="712">
        <f t="shared" si="359"/>
        <v>1185.8417449552205</v>
      </c>
      <c r="BL91" s="215"/>
      <c r="BM91" s="334">
        <f t="shared" ref="BM91:BX91" si="360">BM73+BM84</f>
        <v>2166.9710000000014</v>
      </c>
      <c r="BN91" s="332">
        <f t="shared" si="360"/>
        <v>2742.6039999999994</v>
      </c>
      <c r="BO91" s="332">
        <f t="shared" si="360"/>
        <v>1745.8189999999995</v>
      </c>
      <c r="BP91" s="332">
        <f t="shared" si="360"/>
        <v>-77.055999999999926</v>
      </c>
      <c r="BQ91" s="332">
        <f t="shared" si="360"/>
        <v>1746.1199999999994</v>
      </c>
      <c r="BR91" s="332">
        <f t="shared" si="360"/>
        <v>2191</v>
      </c>
      <c r="BS91" s="332">
        <f t="shared" si="360"/>
        <v>1301</v>
      </c>
      <c r="BT91" s="711">
        <f t="shared" si="360"/>
        <v>941</v>
      </c>
      <c r="BU91" s="711">
        <f t="shared" si="360"/>
        <v>1700</v>
      </c>
      <c r="BV91" s="711">
        <f t="shared" si="360"/>
        <v>1805</v>
      </c>
      <c r="BW91" s="711">
        <f t="shared" si="360"/>
        <v>2216</v>
      </c>
      <c r="BX91" s="711">
        <f t="shared" si="360"/>
        <v>3918</v>
      </c>
      <c r="BY91" s="711">
        <f>BY73+BY84</f>
        <v>4982.6159045707791</v>
      </c>
      <c r="BZ91" s="712">
        <f>BZ73+BZ84</f>
        <v>4641.5542068914856</v>
      </c>
      <c r="CA91" s="712">
        <f>CA73+CA84</f>
        <v>4744.753566453066</v>
      </c>
      <c r="CB91" s="184"/>
      <c r="CC91" s="184"/>
      <c r="CD91" s="184"/>
    </row>
    <row r="92" spans="1:82" ht="14.25" hidden="1" customHeight="1" outlineLevel="1">
      <c r="A92" s="203"/>
      <c r="B92" s="262" t="s">
        <v>338</v>
      </c>
      <c r="C92" s="261"/>
      <c r="D92" s="275">
        <f t="shared" ref="D92:AQ92" si="361">D91/D11</f>
        <v>9.9012592646824521E-2</v>
      </c>
      <c r="E92" s="275">
        <f t="shared" si="361"/>
        <v>0.2671485251943555</v>
      </c>
      <c r="F92" s="275">
        <f t="shared" si="361"/>
        <v>0.28406809195252269</v>
      </c>
      <c r="G92" s="277">
        <f t="shared" si="361"/>
        <v>0.26210969096923986</v>
      </c>
      <c r="H92" s="275">
        <f t="shared" si="361"/>
        <v>0.2548506609018617</v>
      </c>
      <c r="I92" s="275">
        <f t="shared" si="361"/>
        <v>0.29857631423001862</v>
      </c>
      <c r="J92" s="275">
        <f t="shared" si="361"/>
        <v>0.2947745866432589</v>
      </c>
      <c r="K92" s="277">
        <f t="shared" si="361"/>
        <v>0.27547481162158377</v>
      </c>
      <c r="L92" s="275">
        <f t="shared" si="361"/>
        <v>0.24388700376593436</v>
      </c>
      <c r="M92" s="275">
        <f t="shared" si="361"/>
        <v>0.24947837160778755</v>
      </c>
      <c r="N92" s="275">
        <f t="shared" si="361"/>
        <v>0.17860281099986575</v>
      </c>
      <c r="O92" s="277">
        <f t="shared" si="361"/>
        <v>0.18117540100514903</v>
      </c>
      <c r="P92" s="275">
        <f t="shared" si="361"/>
        <v>-7.6901385634875257E-3</v>
      </c>
      <c r="Q92" s="275">
        <f t="shared" si="361"/>
        <v>-0.21078996977679135</v>
      </c>
      <c r="R92" s="275">
        <f t="shared" si="361"/>
        <v>-4.3588477075872753E-2</v>
      </c>
      <c r="S92" s="277">
        <f t="shared" si="361"/>
        <v>0.12948033076649937</v>
      </c>
      <c r="T92" s="337">
        <f t="shared" si="361"/>
        <v>0.14040224955135536</v>
      </c>
      <c r="U92" s="275">
        <f t="shared" si="361"/>
        <v>0.18727663207785536</v>
      </c>
      <c r="V92" s="275">
        <f t="shared" si="361"/>
        <v>0.1358139479464133</v>
      </c>
      <c r="W92" s="277">
        <f t="shared" si="361"/>
        <v>0.24759885464249157</v>
      </c>
      <c r="X92" s="337">
        <f t="shared" si="361"/>
        <v>0.24758004467609829</v>
      </c>
      <c r="Y92" s="275">
        <f t="shared" si="361"/>
        <v>0.24248777078965758</v>
      </c>
      <c r="Z92" s="275">
        <f t="shared" si="361"/>
        <v>0.23860782203085756</v>
      </c>
      <c r="AA92" s="277">
        <f t="shared" si="361"/>
        <v>7.653528872593951E-2</v>
      </c>
      <c r="AB92" s="337">
        <f t="shared" si="361"/>
        <v>0.14801279122887162</v>
      </c>
      <c r="AC92" s="275">
        <f t="shared" si="361"/>
        <v>0.18536009445100354</v>
      </c>
      <c r="AD92" s="275">
        <f t="shared" si="361"/>
        <v>0.17541613316261204</v>
      </c>
      <c r="AE92" s="277">
        <f t="shared" si="361"/>
        <v>5.7715674362089915E-2</v>
      </c>
      <c r="AF92" s="337">
        <f t="shared" si="361"/>
        <v>5.1493960584869679E-2</v>
      </c>
      <c r="AG92" s="275">
        <f t="shared" si="361"/>
        <v>0.13431322858590977</v>
      </c>
      <c r="AH92" s="275">
        <f t="shared" si="361"/>
        <v>0.14784810126582279</v>
      </c>
      <c r="AI92" s="277">
        <f t="shared" si="361"/>
        <v>0.15241448692152917</v>
      </c>
      <c r="AJ92" s="337">
        <f t="shared" si="361"/>
        <v>0.16438356164383561</v>
      </c>
      <c r="AK92" s="275">
        <f t="shared" si="361"/>
        <v>0.19634509137271569</v>
      </c>
      <c r="AL92" s="275">
        <f t="shared" si="361"/>
        <v>0.20088300220750552</v>
      </c>
      <c r="AM92" s="338">
        <f t="shared" si="361"/>
        <v>0.18683745583038869</v>
      </c>
      <c r="AN92" s="337">
        <f t="shared" si="361"/>
        <v>0.18100890207715134</v>
      </c>
      <c r="AO92" s="275">
        <f t="shared" si="361"/>
        <v>0.18632268632268631</v>
      </c>
      <c r="AP92" s="275">
        <f t="shared" si="361"/>
        <v>0.19879518072289157</v>
      </c>
      <c r="AQ92" s="338">
        <f t="shared" si="361"/>
        <v>0.18074324324324326</v>
      </c>
      <c r="AR92" s="337">
        <f t="shared" ref="AR92:AW92" si="362">AR91/AR11</f>
        <v>0.16127603012848915</v>
      </c>
      <c r="AS92" s="275">
        <f t="shared" si="362"/>
        <v>0.17918367346938777</v>
      </c>
      <c r="AT92" s="275">
        <f t="shared" si="362"/>
        <v>0.21694434597660403</v>
      </c>
      <c r="AU92" s="338">
        <f t="shared" si="362"/>
        <v>0.2429481346678799</v>
      </c>
      <c r="AV92" s="337">
        <f t="shared" si="362"/>
        <v>0.25045759609517998</v>
      </c>
      <c r="AW92" s="275">
        <f t="shared" si="362"/>
        <v>0.26931754089114496</v>
      </c>
      <c r="AX92" s="275">
        <f t="shared" ref="AX92:AZ92" si="363">AX91/AX11</f>
        <v>0.2745726495726496</v>
      </c>
      <c r="AY92" s="705">
        <f t="shared" si="363"/>
        <v>0.28067523305618541</v>
      </c>
      <c r="AZ92" s="713">
        <f t="shared" si="363"/>
        <v>0.28805899143672692</v>
      </c>
      <c r="BA92" s="275">
        <f t="shared" ref="BA92:BG92" si="364">BA91/BA11</f>
        <v>0.29222675358374445</v>
      </c>
      <c r="BB92" s="275">
        <f t="shared" si="364"/>
        <v>0.28282410160242577</v>
      </c>
      <c r="BC92" s="277">
        <f t="shared" si="364"/>
        <v>0.28545475633001316</v>
      </c>
      <c r="BD92" s="704">
        <f t="shared" si="364"/>
        <v>0.27332470601775544</v>
      </c>
      <c r="BE92" s="704">
        <f t="shared" si="364"/>
        <v>0.27687744661725699</v>
      </c>
      <c r="BF92" s="704">
        <f t="shared" si="364"/>
        <v>0.26700935657514629</v>
      </c>
      <c r="BG92" s="705">
        <f t="shared" si="364"/>
        <v>0.2724614010549592</v>
      </c>
      <c r="BH92" s="704">
        <f t="shared" ref="BH92:BK92" si="365">BH91/BH11</f>
        <v>0.27073044966952348</v>
      </c>
      <c r="BI92" s="704">
        <f t="shared" si="365"/>
        <v>0.26929776148792928</v>
      </c>
      <c r="BJ92" s="704">
        <f t="shared" si="365"/>
        <v>0.2712956245597743</v>
      </c>
      <c r="BK92" s="705">
        <f t="shared" si="365"/>
        <v>0.26860859475738563</v>
      </c>
      <c r="BL92" s="215"/>
      <c r="BM92" s="337">
        <f t="shared" ref="BM92:BX92" si="366">BM91/BM11</f>
        <v>0.23638787941198749</v>
      </c>
      <c r="BN92" s="275">
        <f t="shared" si="366"/>
        <v>0.28173031013504457</v>
      </c>
      <c r="BO92" s="275">
        <f t="shared" si="366"/>
        <v>0.21475796015371665</v>
      </c>
      <c r="BP92" s="275">
        <f t="shared" si="366"/>
        <v>-1.5369373786178279E-2</v>
      </c>
      <c r="BQ92" s="275">
        <f t="shared" si="366"/>
        <v>0.18286531512723184</v>
      </c>
      <c r="BR92" s="275">
        <f t="shared" si="366"/>
        <v>0.20832937149377198</v>
      </c>
      <c r="BS92" s="275">
        <f t="shared" si="366"/>
        <v>0.14921435944489048</v>
      </c>
      <c r="BT92" s="704">
        <f t="shared" si="366"/>
        <v>0.12531628712212012</v>
      </c>
      <c r="BU92" s="704">
        <f t="shared" si="366"/>
        <v>0.18738977072310406</v>
      </c>
      <c r="BV92" s="704">
        <f t="shared" si="366"/>
        <v>0.18687234703385444</v>
      </c>
      <c r="BW92" s="704">
        <f t="shared" si="366"/>
        <v>0.20471131639722864</v>
      </c>
      <c r="BX92" s="704">
        <f t="shared" si="366"/>
        <v>0.26951915801059367</v>
      </c>
      <c r="BY92" s="704">
        <f>BY91/BY11</f>
        <v>0.28673003956095872</v>
      </c>
      <c r="BZ92" s="705">
        <f>BZ91/BZ11</f>
        <v>0.27022757417023802</v>
      </c>
      <c r="CA92" s="705">
        <f>CA91/CA11</f>
        <v>0.27086313666269629</v>
      </c>
      <c r="CB92" s="184"/>
      <c r="CC92" s="184"/>
      <c r="CD92" s="184"/>
    </row>
    <row r="93" spans="1:82" ht="14.25" hidden="1" customHeight="1" outlineLevel="1">
      <c r="A93" s="203"/>
      <c r="B93" s="321" t="s">
        <v>337</v>
      </c>
      <c r="C93" s="320"/>
      <c r="D93" s="332">
        <f t="shared" ref="D93:AQ93" si="367">D75+D86</f>
        <v>183.92500000000007</v>
      </c>
      <c r="E93" s="332">
        <f t="shared" si="367"/>
        <v>600.46600000000012</v>
      </c>
      <c r="F93" s="332">
        <f t="shared" si="367"/>
        <v>722.51100000000019</v>
      </c>
      <c r="G93" s="333">
        <f t="shared" si="367"/>
        <v>660.06899999999996</v>
      </c>
      <c r="H93" s="332">
        <f t="shared" si="367"/>
        <v>580.36299999999983</v>
      </c>
      <c r="I93" s="332">
        <f t="shared" si="367"/>
        <v>755.26700000000017</v>
      </c>
      <c r="J93" s="332">
        <f t="shared" si="367"/>
        <v>754.91299999999978</v>
      </c>
      <c r="K93" s="333">
        <f t="shared" si="367"/>
        <v>652.06100000000004</v>
      </c>
      <c r="L93" s="332">
        <f t="shared" si="367"/>
        <v>509.08900000000006</v>
      </c>
      <c r="M93" s="332">
        <f t="shared" si="367"/>
        <v>536.37800000000004</v>
      </c>
      <c r="N93" s="332">
        <f t="shared" si="367"/>
        <v>330.08799999999985</v>
      </c>
      <c r="O93" s="333">
        <f t="shared" si="367"/>
        <v>370.26399999999995</v>
      </c>
      <c r="P93" s="332">
        <f t="shared" si="367"/>
        <v>-10.254000000000012</v>
      </c>
      <c r="Q93" s="332">
        <f t="shared" si="367"/>
        <v>-215.02199999999999</v>
      </c>
      <c r="R93" s="332">
        <f t="shared" si="367"/>
        <v>-49.417999999999978</v>
      </c>
      <c r="S93" s="333">
        <f t="shared" si="367"/>
        <v>197.63800000000003</v>
      </c>
      <c r="T93" s="334">
        <f t="shared" si="367"/>
        <v>259.59000000000003</v>
      </c>
      <c r="U93" s="332">
        <f t="shared" si="367"/>
        <v>429.90100000000007</v>
      </c>
      <c r="V93" s="332">
        <f t="shared" si="367"/>
        <v>341.95099999999996</v>
      </c>
      <c r="W93" s="333">
        <f t="shared" si="367"/>
        <v>714.678</v>
      </c>
      <c r="X93" s="334">
        <f t="shared" si="367"/>
        <v>665</v>
      </c>
      <c r="Y93" s="332">
        <f t="shared" si="367"/>
        <v>694</v>
      </c>
      <c r="Z93" s="332">
        <f t="shared" si="367"/>
        <v>665</v>
      </c>
      <c r="AA93" s="333">
        <f t="shared" si="367"/>
        <v>167</v>
      </c>
      <c r="AB93" s="334">
        <f t="shared" si="367"/>
        <v>324</v>
      </c>
      <c r="AC93" s="332">
        <f t="shared" si="367"/>
        <v>471</v>
      </c>
      <c r="AD93" s="332">
        <f t="shared" si="367"/>
        <v>411</v>
      </c>
      <c r="AE93" s="333">
        <f t="shared" si="367"/>
        <v>95</v>
      </c>
      <c r="AF93" s="334">
        <f t="shared" si="367"/>
        <v>81</v>
      </c>
      <c r="AG93" s="332">
        <f t="shared" si="367"/>
        <v>265</v>
      </c>
      <c r="AH93" s="332">
        <f t="shared" si="367"/>
        <v>292</v>
      </c>
      <c r="AI93" s="333">
        <f t="shared" si="367"/>
        <v>303</v>
      </c>
      <c r="AJ93" s="334">
        <f t="shared" si="367"/>
        <v>360</v>
      </c>
      <c r="AK93" s="332">
        <f t="shared" si="367"/>
        <v>462</v>
      </c>
      <c r="AL93" s="332">
        <f t="shared" si="367"/>
        <v>455</v>
      </c>
      <c r="AM93" s="335">
        <f t="shared" si="367"/>
        <v>423</v>
      </c>
      <c r="AN93" s="334">
        <f t="shared" si="367"/>
        <v>427</v>
      </c>
      <c r="AO93" s="332">
        <f t="shared" si="367"/>
        <v>455</v>
      </c>
      <c r="AP93" s="332">
        <f t="shared" si="367"/>
        <v>495</v>
      </c>
      <c r="AQ93" s="335">
        <f t="shared" si="367"/>
        <v>428</v>
      </c>
      <c r="AR93" s="334">
        <f t="shared" ref="AR93:AW93" si="368">AR75+AR86</f>
        <v>364</v>
      </c>
      <c r="AS93" s="332">
        <f t="shared" si="368"/>
        <v>439</v>
      </c>
      <c r="AT93" s="332">
        <f t="shared" si="368"/>
        <v>612</v>
      </c>
      <c r="AU93" s="335">
        <f t="shared" si="368"/>
        <v>801</v>
      </c>
      <c r="AV93" s="334">
        <f t="shared" si="368"/>
        <v>821</v>
      </c>
      <c r="AW93" s="332">
        <f t="shared" si="368"/>
        <v>955</v>
      </c>
      <c r="AX93" s="332">
        <f t="shared" ref="AX93:AZ93" si="369">AX75+AX86</f>
        <v>1028</v>
      </c>
      <c r="AY93" s="712">
        <f t="shared" si="369"/>
        <v>1114</v>
      </c>
      <c r="AZ93" s="334">
        <f t="shared" si="369"/>
        <v>1211</v>
      </c>
      <c r="BA93" s="332">
        <f t="shared" ref="BA93:BG93" si="370">BA75+BA86</f>
        <v>1303.2652777371904</v>
      </c>
      <c r="BB93" s="332">
        <f t="shared" si="370"/>
        <v>1228.263307210131</v>
      </c>
      <c r="BC93" s="333">
        <f t="shared" si="370"/>
        <v>1240.0873196234584</v>
      </c>
      <c r="BD93" s="711">
        <f t="shared" si="370"/>
        <v>1158.5445376541629</v>
      </c>
      <c r="BE93" s="711">
        <f t="shared" si="370"/>
        <v>1161.7518797052226</v>
      </c>
      <c r="BF93" s="711">
        <f t="shared" si="370"/>
        <v>1148.4580075116025</v>
      </c>
      <c r="BG93" s="712">
        <f t="shared" si="370"/>
        <v>1172.7997820204982</v>
      </c>
      <c r="BH93" s="711">
        <f t="shared" ref="BH93:BK93" si="371">BH75+BH86</f>
        <v>1171.4670666808156</v>
      </c>
      <c r="BI93" s="711">
        <f t="shared" si="371"/>
        <v>1179.9789986089502</v>
      </c>
      <c r="BJ93" s="711">
        <f t="shared" si="371"/>
        <v>1196.4766587981876</v>
      </c>
      <c r="BK93" s="712">
        <f t="shared" si="371"/>
        <v>1196.8308423651126</v>
      </c>
      <c r="BL93" s="215"/>
      <c r="BM93" s="334">
        <f t="shared" ref="BM93:BX93" si="372">BM75+BM86</f>
        <v>2166.9710000000014</v>
      </c>
      <c r="BN93" s="332">
        <f t="shared" si="372"/>
        <v>2742.6039999999994</v>
      </c>
      <c r="BO93" s="332">
        <f t="shared" si="372"/>
        <v>1745.8189999999995</v>
      </c>
      <c r="BP93" s="332">
        <f t="shared" si="372"/>
        <v>-77.055999999999926</v>
      </c>
      <c r="BQ93" s="332">
        <f t="shared" si="372"/>
        <v>1746.1199999999994</v>
      </c>
      <c r="BR93" s="332">
        <f t="shared" si="372"/>
        <v>2191</v>
      </c>
      <c r="BS93" s="332">
        <f t="shared" si="372"/>
        <v>1301</v>
      </c>
      <c r="BT93" s="711">
        <f t="shared" si="372"/>
        <v>941</v>
      </c>
      <c r="BU93" s="711">
        <f t="shared" si="372"/>
        <v>1700</v>
      </c>
      <c r="BV93" s="711">
        <f t="shared" si="372"/>
        <v>1805</v>
      </c>
      <c r="BW93" s="711">
        <f t="shared" si="372"/>
        <v>2216</v>
      </c>
      <c r="BX93" s="711">
        <f t="shared" si="372"/>
        <v>3918</v>
      </c>
      <c r="BY93" s="711">
        <f>BY75+BY86</f>
        <v>4982.6159045707791</v>
      </c>
      <c r="BZ93" s="712">
        <f>BZ75+BZ86</f>
        <v>4641.5542068914856</v>
      </c>
      <c r="CA93" s="712">
        <f>CA75+CA86</f>
        <v>4744.753566453066</v>
      </c>
      <c r="CB93" s="184"/>
      <c r="CC93" s="184"/>
      <c r="CD93" s="184"/>
    </row>
    <row r="94" spans="1:82" ht="14.25" hidden="1" customHeight="1" outlineLevel="1">
      <c r="A94" s="203"/>
      <c r="B94" s="262" t="s">
        <v>336</v>
      </c>
      <c r="C94" s="261"/>
      <c r="D94" s="275">
        <f t="shared" ref="D94:AQ94" si="373">D93/D11</f>
        <v>9.9012592646824521E-2</v>
      </c>
      <c r="E94" s="275">
        <f t="shared" si="373"/>
        <v>0.2671485251943555</v>
      </c>
      <c r="F94" s="275">
        <f t="shared" si="373"/>
        <v>0.28406809195252269</v>
      </c>
      <c r="G94" s="277">
        <f t="shared" si="373"/>
        <v>0.26210969096923986</v>
      </c>
      <c r="H94" s="275">
        <f t="shared" si="373"/>
        <v>0.2548506609018617</v>
      </c>
      <c r="I94" s="275">
        <f t="shared" si="373"/>
        <v>0.29857631423001862</v>
      </c>
      <c r="J94" s="275">
        <f t="shared" si="373"/>
        <v>0.2947745866432589</v>
      </c>
      <c r="K94" s="277">
        <f t="shared" si="373"/>
        <v>0.27547481162158377</v>
      </c>
      <c r="L94" s="275">
        <f t="shared" si="373"/>
        <v>0.24388700376593436</v>
      </c>
      <c r="M94" s="275">
        <f t="shared" si="373"/>
        <v>0.24947837160778755</v>
      </c>
      <c r="N94" s="275">
        <f t="shared" si="373"/>
        <v>0.17860281099986575</v>
      </c>
      <c r="O94" s="277">
        <f t="shared" si="373"/>
        <v>0.18117540100514903</v>
      </c>
      <c r="P94" s="275">
        <f t="shared" si="373"/>
        <v>-7.6901385634875257E-3</v>
      </c>
      <c r="Q94" s="275">
        <f t="shared" si="373"/>
        <v>-0.21078996977679135</v>
      </c>
      <c r="R94" s="275">
        <f t="shared" si="373"/>
        <v>-4.3588477075872753E-2</v>
      </c>
      <c r="S94" s="277">
        <f t="shared" si="373"/>
        <v>0.12948033076649937</v>
      </c>
      <c r="T94" s="337">
        <f t="shared" si="373"/>
        <v>0.14040224955135536</v>
      </c>
      <c r="U94" s="275">
        <f t="shared" si="373"/>
        <v>0.18727663207785536</v>
      </c>
      <c r="V94" s="275">
        <f t="shared" si="373"/>
        <v>0.1358139479464133</v>
      </c>
      <c r="W94" s="277">
        <f t="shared" si="373"/>
        <v>0.24759885464249157</v>
      </c>
      <c r="X94" s="337">
        <f t="shared" si="373"/>
        <v>0.24758004467609829</v>
      </c>
      <c r="Y94" s="275">
        <f t="shared" si="373"/>
        <v>0.24248777078965758</v>
      </c>
      <c r="Z94" s="275">
        <f t="shared" si="373"/>
        <v>0.23860782203085756</v>
      </c>
      <c r="AA94" s="277">
        <f t="shared" si="373"/>
        <v>7.653528872593951E-2</v>
      </c>
      <c r="AB94" s="337">
        <f t="shared" si="373"/>
        <v>0.14801279122887162</v>
      </c>
      <c r="AC94" s="275">
        <f t="shared" si="373"/>
        <v>0.18536009445100354</v>
      </c>
      <c r="AD94" s="275">
        <f t="shared" si="373"/>
        <v>0.17541613316261204</v>
      </c>
      <c r="AE94" s="277">
        <f t="shared" si="373"/>
        <v>5.7715674362089915E-2</v>
      </c>
      <c r="AF94" s="337">
        <f t="shared" si="373"/>
        <v>5.1493960584869679E-2</v>
      </c>
      <c r="AG94" s="275">
        <f t="shared" si="373"/>
        <v>0.13431322858590977</v>
      </c>
      <c r="AH94" s="275">
        <f t="shared" si="373"/>
        <v>0.14784810126582279</v>
      </c>
      <c r="AI94" s="277">
        <f t="shared" si="373"/>
        <v>0.15241448692152917</v>
      </c>
      <c r="AJ94" s="337">
        <f t="shared" si="373"/>
        <v>0.16438356164383561</v>
      </c>
      <c r="AK94" s="275">
        <f t="shared" si="373"/>
        <v>0.19634509137271569</v>
      </c>
      <c r="AL94" s="275">
        <f t="shared" si="373"/>
        <v>0.20088300220750552</v>
      </c>
      <c r="AM94" s="338">
        <f t="shared" si="373"/>
        <v>0.18683745583038869</v>
      </c>
      <c r="AN94" s="337">
        <f t="shared" si="373"/>
        <v>0.18100890207715134</v>
      </c>
      <c r="AO94" s="275">
        <f t="shared" si="373"/>
        <v>0.18632268632268631</v>
      </c>
      <c r="AP94" s="275">
        <f t="shared" si="373"/>
        <v>0.19879518072289157</v>
      </c>
      <c r="AQ94" s="338">
        <f t="shared" si="373"/>
        <v>0.18074324324324326</v>
      </c>
      <c r="AR94" s="337">
        <f t="shared" ref="AR94:AW94" si="374">AR93/AR11</f>
        <v>0.16127603012848915</v>
      </c>
      <c r="AS94" s="275">
        <f t="shared" si="374"/>
        <v>0.17918367346938777</v>
      </c>
      <c r="AT94" s="275">
        <f t="shared" si="374"/>
        <v>0.21694434597660403</v>
      </c>
      <c r="AU94" s="338">
        <f t="shared" si="374"/>
        <v>0.2429481346678799</v>
      </c>
      <c r="AV94" s="337">
        <f t="shared" si="374"/>
        <v>0.25045759609517998</v>
      </c>
      <c r="AW94" s="275">
        <f t="shared" si="374"/>
        <v>0.26931754089114496</v>
      </c>
      <c r="AX94" s="275">
        <f t="shared" ref="AX94:AZ94" si="375">AX93/AX11</f>
        <v>0.2745726495726496</v>
      </c>
      <c r="AY94" s="705">
        <f t="shared" si="375"/>
        <v>0.28067523305618541</v>
      </c>
      <c r="AZ94" s="713">
        <f t="shared" si="375"/>
        <v>0.28805899143672692</v>
      </c>
      <c r="BA94" s="275">
        <f t="shared" ref="BA94:BG94" si="376">BA93/BA11</f>
        <v>0.29222675358374445</v>
      </c>
      <c r="BB94" s="275">
        <f t="shared" si="376"/>
        <v>0.28282410160242577</v>
      </c>
      <c r="BC94" s="277">
        <f t="shared" si="376"/>
        <v>0.28372412452553458</v>
      </c>
      <c r="BD94" s="704">
        <f t="shared" si="376"/>
        <v>0.27332470601775544</v>
      </c>
      <c r="BE94" s="704">
        <f t="shared" si="376"/>
        <v>0.27163668758262638</v>
      </c>
      <c r="BF94" s="704">
        <f t="shared" si="376"/>
        <v>0.26700935657514629</v>
      </c>
      <c r="BG94" s="705">
        <f t="shared" si="376"/>
        <v>0.26900908254325295</v>
      </c>
      <c r="BH94" s="704">
        <f t="shared" ref="BH94:BK94" si="377">BH93/BH11</f>
        <v>0.27073044966952348</v>
      </c>
      <c r="BI94" s="704">
        <f t="shared" si="377"/>
        <v>0.27032040850397387</v>
      </c>
      <c r="BJ94" s="704">
        <f t="shared" si="377"/>
        <v>0.2712956245597743</v>
      </c>
      <c r="BK94" s="705">
        <f t="shared" si="377"/>
        <v>0.27109776839752819</v>
      </c>
      <c r="BL94" s="215"/>
      <c r="BM94" s="337">
        <f t="shared" ref="BM94:BX94" si="378">BM93/BM11</f>
        <v>0.23638787941198749</v>
      </c>
      <c r="BN94" s="275">
        <f t="shared" si="378"/>
        <v>0.28173031013504457</v>
      </c>
      <c r="BO94" s="275">
        <f t="shared" si="378"/>
        <v>0.21475796015371665</v>
      </c>
      <c r="BP94" s="275">
        <f t="shared" si="378"/>
        <v>-1.5369373786178279E-2</v>
      </c>
      <c r="BQ94" s="275">
        <f t="shared" si="378"/>
        <v>0.18286531512723184</v>
      </c>
      <c r="BR94" s="275">
        <f t="shared" si="378"/>
        <v>0.20832937149377198</v>
      </c>
      <c r="BS94" s="275">
        <f t="shared" si="378"/>
        <v>0.14921435944489048</v>
      </c>
      <c r="BT94" s="704">
        <f t="shared" si="378"/>
        <v>0.12531628712212012</v>
      </c>
      <c r="BU94" s="704">
        <f t="shared" si="378"/>
        <v>0.18738977072310406</v>
      </c>
      <c r="BV94" s="704">
        <f t="shared" si="378"/>
        <v>0.18687234703385444</v>
      </c>
      <c r="BW94" s="704">
        <f t="shared" si="378"/>
        <v>0.20471131639722864</v>
      </c>
      <c r="BX94" s="704">
        <f t="shared" si="378"/>
        <v>0.26951915801059367</v>
      </c>
      <c r="BY94" s="704">
        <f>BY93/BY11</f>
        <v>0.28673003956095872</v>
      </c>
      <c r="BZ94" s="705">
        <f>BZ93/BZ11</f>
        <v>0.27022757417023802</v>
      </c>
      <c r="CA94" s="705">
        <f>CA93/CA11</f>
        <v>0.27086313666269629</v>
      </c>
      <c r="CB94" s="184"/>
      <c r="CC94" s="184"/>
      <c r="CD94" s="184"/>
    </row>
    <row r="95" spans="1:82" ht="14.25" customHeight="1" collapsed="1">
      <c r="A95" s="203"/>
      <c r="B95" s="217"/>
      <c r="C95" s="216"/>
      <c r="D95" s="353"/>
      <c r="E95" s="353"/>
      <c r="F95" s="353"/>
      <c r="G95" s="354"/>
      <c r="H95" s="353"/>
      <c r="I95" s="353"/>
      <c r="J95" s="353"/>
      <c r="K95" s="354"/>
      <c r="L95" s="353"/>
      <c r="M95" s="353"/>
      <c r="N95" s="353"/>
      <c r="O95" s="354"/>
      <c r="P95" s="353"/>
      <c r="Q95" s="353"/>
      <c r="R95" s="353"/>
      <c r="S95" s="354"/>
      <c r="T95" s="355"/>
      <c r="U95" s="353"/>
      <c r="V95" s="353"/>
      <c r="W95" s="354"/>
      <c r="X95" s="355"/>
      <c r="Y95" s="353"/>
      <c r="Z95" s="353"/>
      <c r="AA95" s="354"/>
      <c r="AB95" s="355"/>
      <c r="AC95" s="353"/>
      <c r="AD95" s="353"/>
      <c r="AE95" s="354"/>
      <c r="AF95" s="355"/>
      <c r="AG95" s="353"/>
      <c r="AH95" s="353"/>
      <c r="AI95" s="354"/>
      <c r="AJ95" s="355"/>
      <c r="AK95" s="353"/>
      <c r="AL95" s="353"/>
      <c r="AM95" s="358"/>
      <c r="AN95" s="355"/>
      <c r="AO95" s="353"/>
      <c r="AP95" s="353"/>
      <c r="AQ95" s="358"/>
      <c r="AR95" s="355"/>
      <c r="AS95" s="353"/>
      <c r="AT95" s="353"/>
      <c r="AU95" s="358"/>
      <c r="AV95" s="355"/>
      <c r="AW95" s="353"/>
      <c r="AX95" s="353"/>
      <c r="AY95" s="715"/>
      <c r="AZ95" s="355"/>
      <c r="BA95" s="353"/>
      <c r="BB95" s="353"/>
      <c r="BC95" s="354"/>
      <c r="BD95" s="714"/>
      <c r="BE95" s="714"/>
      <c r="BF95" s="714"/>
      <c r="BG95" s="715"/>
      <c r="BH95" s="714"/>
      <c r="BI95" s="714"/>
      <c r="BJ95" s="714"/>
      <c r="BK95" s="715"/>
      <c r="BL95" s="215"/>
      <c r="BM95" s="257"/>
      <c r="BN95" s="255"/>
      <c r="BO95" s="255"/>
      <c r="BP95" s="255"/>
      <c r="BQ95" s="255"/>
      <c r="BR95" s="255"/>
      <c r="BS95" s="255"/>
      <c r="BT95" s="741"/>
      <c r="BU95" s="741"/>
      <c r="BV95" s="702"/>
      <c r="BW95" s="702"/>
      <c r="BX95" s="702"/>
      <c r="BY95" s="741"/>
      <c r="BZ95" s="742"/>
      <c r="CA95" s="742"/>
      <c r="CB95" s="184"/>
      <c r="CC95" s="184"/>
      <c r="CD95" s="184"/>
    </row>
    <row r="96" spans="1:82" ht="14.25" hidden="1" customHeight="1" outlineLevel="1">
      <c r="A96" s="203"/>
      <c r="B96" s="217" t="s">
        <v>335</v>
      </c>
      <c r="C96" s="216"/>
      <c r="D96" s="305">
        <v>41.145000000000003</v>
      </c>
      <c r="E96" s="305">
        <v>187.65199999999999</v>
      </c>
      <c r="F96" s="305">
        <v>210.471</v>
      </c>
      <c r="G96" s="366">
        <v>211.04</v>
      </c>
      <c r="H96" s="305">
        <v>161.74799999999999</v>
      </c>
      <c r="I96" s="305">
        <v>196.833</v>
      </c>
      <c r="J96" s="305">
        <v>213.392</v>
      </c>
      <c r="K96" s="366">
        <v>157.48400000000001</v>
      </c>
      <c r="L96" s="305">
        <v>126.946</v>
      </c>
      <c r="M96" s="305">
        <v>151.636</v>
      </c>
      <c r="N96" s="305">
        <v>77.796000000000006</v>
      </c>
      <c r="O96" s="366">
        <v>91.593999999999994</v>
      </c>
      <c r="P96" s="305">
        <v>-69.724999999999994</v>
      </c>
      <c r="Q96" s="305">
        <v>-127.41800000000001</v>
      </c>
      <c r="R96" s="305">
        <v>-19.318999999999999</v>
      </c>
      <c r="S96" s="366">
        <v>35.985999999999997</v>
      </c>
      <c r="T96" s="330">
        <v>35.982999999999997</v>
      </c>
      <c r="U96" s="305">
        <v>123.048</v>
      </c>
      <c r="V96" s="305">
        <v>54.734999999999999</v>
      </c>
      <c r="W96" s="366">
        <v>235.334</v>
      </c>
      <c r="X96" s="330">
        <v>174</v>
      </c>
      <c r="Y96" s="305">
        <v>197</v>
      </c>
      <c r="Z96" s="305">
        <v>193</v>
      </c>
      <c r="AA96" s="366">
        <v>-112</v>
      </c>
      <c r="AB96" s="330">
        <v>42</v>
      </c>
      <c r="AC96" s="305">
        <v>98</v>
      </c>
      <c r="AD96" s="305">
        <v>84</v>
      </c>
      <c r="AE96" s="306">
        <v>-17</v>
      </c>
      <c r="AF96" s="330">
        <v>-16</v>
      </c>
      <c r="AG96" s="305">
        <v>39</v>
      </c>
      <c r="AH96" s="305">
        <v>60</v>
      </c>
      <c r="AI96" s="306">
        <v>11</v>
      </c>
      <c r="AJ96" s="330">
        <v>62</v>
      </c>
      <c r="AK96" s="305">
        <v>103</v>
      </c>
      <c r="AL96" s="305">
        <v>69</v>
      </c>
      <c r="AM96" s="346">
        <v>142</v>
      </c>
      <c r="AN96" s="330">
        <v>89</v>
      </c>
      <c r="AO96" s="305">
        <v>25</v>
      </c>
      <c r="AP96" s="305">
        <v>46</v>
      </c>
      <c r="AQ96" s="346">
        <v>61</v>
      </c>
      <c r="AR96" s="330">
        <v>28</v>
      </c>
      <c r="AS96" s="305">
        <v>75</v>
      </c>
      <c r="AT96" s="305">
        <v>59</v>
      </c>
      <c r="AU96" s="346">
        <v>130</v>
      </c>
      <c r="AV96" s="330">
        <v>68</v>
      </c>
      <c r="AW96" s="305">
        <v>84</v>
      </c>
      <c r="AX96" s="305">
        <v>53</v>
      </c>
      <c r="AY96" s="306">
        <v>92</v>
      </c>
      <c r="AZ96" s="330">
        <v>1027</v>
      </c>
      <c r="BA96" s="365">
        <f t="shared" ref="BA96:BC96" si="379">BA101+BA98+BA99+BA100</f>
        <v>74.05224305291739</v>
      </c>
      <c r="BB96" s="365">
        <f t="shared" si="379"/>
        <v>69.227114968658512</v>
      </c>
      <c r="BC96" s="345">
        <f t="shared" si="379"/>
        <v>70.537346148468558</v>
      </c>
      <c r="BD96" s="365">
        <f t="shared" ref="BD96:BG96" si="380">BD101+BD98+BD99+BD100</f>
        <v>122.69262183022873</v>
      </c>
      <c r="BE96" s="365">
        <f t="shared" si="380"/>
        <v>125.65907487235062</v>
      </c>
      <c r="BF96" s="365">
        <f t="shared" si="380"/>
        <v>121.5726708638343</v>
      </c>
      <c r="BG96" s="345">
        <f t="shared" si="380"/>
        <v>126.12284963505248</v>
      </c>
      <c r="BH96" s="365">
        <f t="shared" ref="BH96:BK96" si="381">BH101+BH98+BH99+BH100</f>
        <v>124.2437126682938</v>
      </c>
      <c r="BI96" s="365">
        <f t="shared" si="381"/>
        <v>124.7142283717215</v>
      </c>
      <c r="BJ96" s="365">
        <f t="shared" si="381"/>
        <v>127.12981576179158</v>
      </c>
      <c r="BK96" s="345">
        <f t="shared" si="381"/>
        <v>125.91180066985035</v>
      </c>
      <c r="BL96" s="215"/>
      <c r="BM96" s="309">
        <f>SUM(D96:G96)</f>
        <v>650.30799999999999</v>
      </c>
      <c r="BN96" s="220">
        <f>SUM(H96:K96)</f>
        <v>729.45699999999999</v>
      </c>
      <c r="BO96" s="220">
        <f>SUM(L96:O96)</f>
        <v>447.97199999999998</v>
      </c>
      <c r="BP96" s="220">
        <f>SUM(P96:S96)</f>
        <v>-180.476</v>
      </c>
      <c r="BQ96" s="220">
        <f>SUM(T96:W96)</f>
        <v>449.1</v>
      </c>
      <c r="BR96" s="220">
        <f>SUM(X96:AA96)</f>
        <v>452</v>
      </c>
      <c r="BS96" s="220">
        <f>SUM(AB96:AE96)</f>
        <v>207</v>
      </c>
      <c r="BT96" s="735">
        <f>SUM(AF96:AI96)</f>
        <v>94</v>
      </c>
      <c r="BU96" s="735">
        <f>SUM(AJ96:AM96)</f>
        <v>376</v>
      </c>
      <c r="BV96" s="700">
        <f>SUM(AN96:AQ96)</f>
        <v>221</v>
      </c>
      <c r="BW96" s="700">
        <f>SUM(AR96:AU96)</f>
        <v>292</v>
      </c>
      <c r="BX96" s="700">
        <f>SUM(AV96:AY96)</f>
        <v>297</v>
      </c>
      <c r="BY96" s="735">
        <f>SUM(AZ96:BC96)</f>
        <v>1240.8167041700444</v>
      </c>
      <c r="BZ96" s="738">
        <f>SUM(BD96:BG96)</f>
        <v>496.04721720146614</v>
      </c>
      <c r="CA96" s="738">
        <f>SUM(BH96:BK96)</f>
        <v>501.99955747165723</v>
      </c>
      <c r="CB96" s="184"/>
      <c r="CC96" s="184"/>
      <c r="CD96" s="184"/>
    </row>
    <row r="97" spans="1:82" ht="14.25" hidden="1" customHeight="1" outlineLevel="1">
      <c r="A97" s="203"/>
      <c r="B97" s="262" t="s">
        <v>91</v>
      </c>
      <c r="C97" s="261"/>
      <c r="D97" s="364">
        <f t="shared" ref="D97:AL97" si="382">D96/D89</f>
        <v>0.22370531466630414</v>
      </c>
      <c r="E97" s="275">
        <f t="shared" si="382"/>
        <v>0.31251061675432074</v>
      </c>
      <c r="F97" s="275">
        <f t="shared" si="382"/>
        <v>0.29130490746853671</v>
      </c>
      <c r="G97" s="277">
        <f t="shared" si="382"/>
        <v>0.31972415005097954</v>
      </c>
      <c r="H97" s="364">
        <f t="shared" si="382"/>
        <v>0.28616619251836445</v>
      </c>
      <c r="I97" s="275">
        <f t="shared" si="382"/>
        <v>0.32359106130923893</v>
      </c>
      <c r="J97" s="275">
        <f t="shared" si="382"/>
        <v>0.31065631883209816</v>
      </c>
      <c r="K97" s="277">
        <f t="shared" si="382"/>
        <v>0.2718780481488835</v>
      </c>
      <c r="L97" s="364">
        <f t="shared" si="382"/>
        <v>0.32606942325375904</v>
      </c>
      <c r="M97" s="275">
        <f t="shared" si="382"/>
        <v>0.33389483048290958</v>
      </c>
      <c r="N97" s="275">
        <f t="shared" si="382"/>
        <v>0.32072360284296136</v>
      </c>
      <c r="O97" s="277">
        <f t="shared" si="382"/>
        <v>0.28384605610975272</v>
      </c>
      <c r="P97" s="364">
        <f t="shared" si="382"/>
        <v>0.34405084402863922</v>
      </c>
      <c r="Q97" s="275">
        <f t="shared" si="382"/>
        <v>0.33285093310484631</v>
      </c>
      <c r="R97" s="275">
        <f t="shared" si="382"/>
        <v>0.26042003666558827</v>
      </c>
      <c r="S97" s="277">
        <f t="shared" si="382"/>
        <v>0.20699691684690072</v>
      </c>
      <c r="T97" s="363">
        <f t="shared" si="382"/>
        <v>0.30305556959253432</v>
      </c>
      <c r="U97" s="275">
        <f t="shared" si="382"/>
        <v>0.31793705751640733</v>
      </c>
      <c r="V97" s="275">
        <f t="shared" si="382"/>
        <v>0.30779222970123327</v>
      </c>
      <c r="W97" s="277">
        <f t="shared" si="382"/>
        <v>0.33469438838566357</v>
      </c>
      <c r="X97" s="363">
        <f t="shared" si="382"/>
        <v>0.25588235294117645</v>
      </c>
      <c r="Y97" s="275">
        <f t="shared" si="382"/>
        <v>0.28717201166180756</v>
      </c>
      <c r="Z97" s="275">
        <f t="shared" si="382"/>
        <v>0.28849028400597909</v>
      </c>
      <c r="AA97" s="277">
        <f t="shared" si="382"/>
        <v>-0.32558139534883723</v>
      </c>
      <c r="AB97" s="363">
        <f t="shared" si="382"/>
        <v>0.26415094339622641</v>
      </c>
      <c r="AC97" s="275">
        <f t="shared" si="382"/>
        <v>0.25322997416020671</v>
      </c>
      <c r="AD97" s="275">
        <f t="shared" si="382"/>
        <v>0.27814569536423839</v>
      </c>
      <c r="AE97" s="277">
        <f t="shared" si="382"/>
        <v>3.1954887218045111E-2</v>
      </c>
      <c r="AF97" s="363">
        <f t="shared" si="382"/>
        <v>-0.88888888888888884</v>
      </c>
      <c r="AG97" s="275">
        <f t="shared" si="382"/>
        <v>-0.43333333333333335</v>
      </c>
      <c r="AH97" s="275">
        <f t="shared" si="382"/>
        <v>0.26315789473684209</v>
      </c>
      <c r="AI97" s="277">
        <f t="shared" si="382"/>
        <v>5.6701030927835051E-2</v>
      </c>
      <c r="AJ97" s="363">
        <f t="shared" si="382"/>
        <v>0.19682539682539682</v>
      </c>
      <c r="AK97" s="275">
        <f t="shared" si="382"/>
        <v>0.28219178082191781</v>
      </c>
      <c r="AL97" s="275">
        <f t="shared" si="382"/>
        <v>0.1864864864864865</v>
      </c>
      <c r="AM97" s="338">
        <v>0.2</v>
      </c>
      <c r="AN97" s="363">
        <f>AN96/AN89</f>
        <v>0.20366132723112129</v>
      </c>
      <c r="AO97" s="275">
        <f>AO96/AO89</f>
        <v>6.4267352185089971E-2</v>
      </c>
      <c r="AP97" s="275">
        <f>AP96/AP89</f>
        <v>0.12266666666666666</v>
      </c>
      <c r="AQ97" s="338">
        <v>0.2</v>
      </c>
      <c r="AR97" s="363">
        <f>AR96/AR89</f>
        <v>8.9171974522292988E-2</v>
      </c>
      <c r="AS97" s="275">
        <f>AS96/AS89</f>
        <v>0.189873417721519</v>
      </c>
      <c r="AT97" s="275">
        <f>AT96/AT89</f>
        <v>0.10460992907801418</v>
      </c>
      <c r="AU97" s="338">
        <f t="shared" ref="AU97:BC97" si="383">AU96/AU89</f>
        <v>0.17567567567567569</v>
      </c>
      <c r="AV97" s="363">
        <f>AV96/AV89</f>
        <v>8.8197146562905324E-2</v>
      </c>
      <c r="AW97" s="275">
        <f>AW96/AW89</f>
        <v>9.2511013215859028E-2</v>
      </c>
      <c r="AX97" s="275">
        <f>AX96/AX89</f>
        <v>5.4192229038854803E-2</v>
      </c>
      <c r="AY97" s="705">
        <f t="shared" ref="AY97" si="384">AY96/AY89</f>
        <v>8.5661080074487903E-2</v>
      </c>
      <c r="AZ97" s="363">
        <f>AZ96/AZ89</f>
        <v>0.88382099827882965</v>
      </c>
      <c r="BA97" s="275">
        <f t="shared" si="383"/>
        <v>5.9040335698772137E-2</v>
      </c>
      <c r="BB97" s="275">
        <f t="shared" si="383"/>
        <v>5.8703696235944229E-2</v>
      </c>
      <c r="BC97" s="277">
        <f t="shared" si="383"/>
        <v>5.9220969769678784E-2</v>
      </c>
      <c r="BD97" s="704">
        <f t="shared" ref="BD97:BG97" si="385">BD96/BD89</f>
        <v>0.11057926713751363</v>
      </c>
      <c r="BE97" s="704">
        <f t="shared" si="385"/>
        <v>0.11292640988900308</v>
      </c>
      <c r="BF97" s="704">
        <f t="shared" si="385"/>
        <v>0.11057509248487724</v>
      </c>
      <c r="BG97" s="705">
        <f t="shared" si="385"/>
        <v>0.11222893228213135</v>
      </c>
      <c r="BH97" s="704">
        <f t="shared" ref="BH97:BK97" si="386">BH96/BH89</f>
        <v>0.11068806948224139</v>
      </c>
      <c r="BI97" s="704">
        <f t="shared" si="386"/>
        <v>0.11027103821124354</v>
      </c>
      <c r="BJ97" s="704">
        <f t="shared" si="386"/>
        <v>0.11079076405348523</v>
      </c>
      <c r="BK97" s="705">
        <f t="shared" si="386"/>
        <v>0.10969543248237545</v>
      </c>
      <c r="BL97" s="215"/>
      <c r="BM97" s="337">
        <f t="shared" ref="BM97:BX97" si="387">BM96/BM89</f>
        <v>0.30010000133827336</v>
      </c>
      <c r="BN97" s="275">
        <f t="shared" si="387"/>
        <v>0.29900030865045152</v>
      </c>
      <c r="BO97" s="275">
        <f t="shared" si="387"/>
        <v>0.31799977000364876</v>
      </c>
      <c r="BP97" s="275">
        <f t="shared" si="387"/>
        <v>0.37150038184202239</v>
      </c>
      <c r="BQ97" s="275">
        <f t="shared" si="387"/>
        <v>0.32385867041268745</v>
      </c>
      <c r="BR97" s="275">
        <f t="shared" si="387"/>
        <v>0.18999579655317361</v>
      </c>
      <c r="BS97" s="275">
        <f t="shared" si="387"/>
        <v>0.65506329113924056</v>
      </c>
      <c r="BT97" s="704">
        <f t="shared" si="387"/>
        <v>0.26857142857142857</v>
      </c>
      <c r="BU97" s="704">
        <f t="shared" si="387"/>
        <v>0.25966850828729282</v>
      </c>
      <c r="BV97" s="704">
        <f t="shared" si="387"/>
        <v>0.13829787234042554</v>
      </c>
      <c r="BW97" s="704">
        <f t="shared" si="387"/>
        <v>0.14505712866368603</v>
      </c>
      <c r="BX97" s="704">
        <f t="shared" si="387"/>
        <v>7.9603323505762533E-2</v>
      </c>
      <c r="BY97" s="704">
        <f>BY96/BY89</f>
        <v>0.25922629450697693</v>
      </c>
      <c r="BZ97" s="705">
        <f>BZ96/BZ89</f>
        <v>0.11158276203954394</v>
      </c>
      <c r="CA97" s="705">
        <f>CA96/CA89</f>
        <v>0.11035980519452412</v>
      </c>
      <c r="CB97" s="184"/>
      <c r="CC97" s="184"/>
      <c r="CD97" s="184"/>
    </row>
    <row r="98" spans="1:82" ht="14.25" hidden="1" customHeight="1" outlineLevel="1">
      <c r="A98" s="203"/>
      <c r="B98" s="227" t="s">
        <v>334</v>
      </c>
      <c r="C98" s="331"/>
      <c r="D98" s="305">
        <v>0</v>
      </c>
      <c r="E98" s="305">
        <v>0</v>
      </c>
      <c r="F98" s="305">
        <v>0</v>
      </c>
      <c r="G98" s="306">
        <v>0</v>
      </c>
      <c r="H98" s="305">
        <v>0</v>
      </c>
      <c r="I98" s="305">
        <v>0</v>
      </c>
      <c r="J98" s="305">
        <v>0</v>
      </c>
      <c r="K98" s="306">
        <v>0</v>
      </c>
      <c r="L98" s="305">
        <v>0</v>
      </c>
      <c r="M98" s="305">
        <v>0</v>
      </c>
      <c r="N98" s="305">
        <v>0</v>
      </c>
      <c r="O98" s="306">
        <v>0</v>
      </c>
      <c r="P98" s="305">
        <v>0</v>
      </c>
      <c r="Q98" s="305">
        <v>0</v>
      </c>
      <c r="R98" s="305">
        <v>0</v>
      </c>
      <c r="S98" s="306">
        <v>0</v>
      </c>
      <c r="T98" s="330">
        <v>0</v>
      </c>
      <c r="U98" s="305">
        <v>0</v>
      </c>
      <c r="V98" s="305">
        <v>0</v>
      </c>
      <c r="W98" s="306">
        <v>0</v>
      </c>
      <c r="X98" s="330">
        <v>0</v>
      </c>
      <c r="Y98" s="305">
        <v>0</v>
      </c>
      <c r="Z98" s="305">
        <v>0</v>
      </c>
      <c r="AA98" s="306">
        <v>0</v>
      </c>
      <c r="AB98" s="330">
        <v>0</v>
      </c>
      <c r="AC98" s="305">
        <v>0</v>
      </c>
      <c r="AD98" s="305">
        <v>0</v>
      </c>
      <c r="AE98" s="306">
        <v>0</v>
      </c>
      <c r="AF98" s="330">
        <v>0</v>
      </c>
      <c r="AG98" s="305">
        <v>0</v>
      </c>
      <c r="AH98" s="305">
        <v>0</v>
      </c>
      <c r="AI98" s="306">
        <v>0</v>
      </c>
      <c r="AJ98" s="330">
        <v>0</v>
      </c>
      <c r="AK98" s="305">
        <v>0</v>
      </c>
      <c r="AL98" s="305">
        <v>0</v>
      </c>
      <c r="AM98" s="346">
        <f>IF(AM91&lt;=0,0,(AM36+AM46+AM17)*AM97)</f>
        <v>0</v>
      </c>
      <c r="AN98" s="330">
        <v>0</v>
      </c>
      <c r="AO98" s="305">
        <v>0</v>
      </c>
      <c r="AP98" s="305">
        <v>0</v>
      </c>
      <c r="AQ98" s="346">
        <f t="shared" ref="AQ98" si="388">IF(AQ91&lt;=0,0,(AQ36+AQ46+AQ17)*AQ97)</f>
        <v>0</v>
      </c>
      <c r="AR98" s="330">
        <v>0</v>
      </c>
      <c r="AS98" s="305">
        <v>0</v>
      </c>
      <c r="AT98" s="305">
        <v>0</v>
      </c>
      <c r="AU98" s="346">
        <f>IF(AU91&lt;=0,0,(AU36+AU46+AU17)*AU97)</f>
        <v>0</v>
      </c>
      <c r="AV98" s="330">
        <v>0</v>
      </c>
      <c r="AW98" s="305">
        <v>0</v>
      </c>
      <c r="AX98" s="305">
        <v>0</v>
      </c>
      <c r="AY98" s="306">
        <f>IF(AY91&lt;=0,0,(AY36+AY46+AY17)*AY97)</f>
        <v>0</v>
      </c>
      <c r="AZ98" s="330">
        <v>0</v>
      </c>
      <c r="BA98" s="360">
        <v>0</v>
      </c>
      <c r="BB98" s="360">
        <v>0</v>
      </c>
      <c r="BC98" s="308">
        <v>0</v>
      </c>
      <c r="BD98" s="360">
        <v>0</v>
      </c>
      <c r="BE98" s="360">
        <v>0</v>
      </c>
      <c r="BF98" s="360">
        <v>0</v>
      </c>
      <c r="BG98" s="308">
        <v>0</v>
      </c>
      <c r="BH98" s="360">
        <v>0</v>
      </c>
      <c r="BI98" s="360">
        <v>0</v>
      </c>
      <c r="BJ98" s="360">
        <v>0</v>
      </c>
      <c r="BK98" s="308">
        <v>0</v>
      </c>
      <c r="BL98" s="215"/>
      <c r="BM98" s="309">
        <f>SUM(D98:G98)</f>
        <v>0</v>
      </c>
      <c r="BN98" s="220">
        <f>SUM(H98:K98)</f>
        <v>0</v>
      </c>
      <c r="BO98" s="220">
        <f>SUM(L98:O98)</f>
        <v>0</v>
      </c>
      <c r="BP98" s="220">
        <f>SUM(P98:S98)</f>
        <v>0</v>
      </c>
      <c r="BQ98" s="220">
        <f>SUM(T98:W98)</f>
        <v>0</v>
      </c>
      <c r="BR98" s="220">
        <f>SUM(X98:AA98)</f>
        <v>0</v>
      </c>
      <c r="BS98" s="220">
        <f>SUM(AB98:AE98)</f>
        <v>0</v>
      </c>
      <c r="BT98" s="735">
        <f>SUM(AF98:AI98)</f>
        <v>0</v>
      </c>
      <c r="BU98" s="735">
        <f>SUM(AJ98:AM98)</f>
        <v>0</v>
      </c>
      <c r="BV98" s="700">
        <f>SUM(AN98:AQ98)</f>
        <v>0</v>
      </c>
      <c r="BW98" s="700">
        <f>SUM(AR98:AU98)</f>
        <v>0</v>
      </c>
      <c r="BX98" s="700">
        <f>SUM(AV98:AY98)</f>
        <v>0</v>
      </c>
      <c r="BY98" s="735">
        <f>SUM(AZ98:BC98)</f>
        <v>0</v>
      </c>
      <c r="BZ98" s="738">
        <f>SUM(BD98:BG98)</f>
        <v>0</v>
      </c>
      <c r="CA98" s="738">
        <f>SUM(BH98:BK98)</f>
        <v>0</v>
      </c>
      <c r="CB98" s="184"/>
      <c r="CC98" s="184"/>
      <c r="CD98" s="184"/>
    </row>
    <row r="99" spans="1:82" ht="14.25" hidden="1" customHeight="1" outlineLevel="1">
      <c r="A99" s="203"/>
      <c r="B99" s="227" t="s">
        <v>333</v>
      </c>
      <c r="C99" s="331"/>
      <c r="D99" s="305">
        <v>-99.619</v>
      </c>
      <c r="E99" s="305">
        <v>-14.956</v>
      </c>
      <c r="F99" s="305">
        <v>-5.8689999999999998</v>
      </c>
      <c r="G99" s="306">
        <v>-22.268000000000001</v>
      </c>
      <c r="H99" s="305">
        <v>-13.433999999999999</v>
      </c>
      <c r="I99" s="305">
        <v>-49.238999999999997</v>
      </c>
      <c r="J99" s="305">
        <v>-23.137</v>
      </c>
      <c r="K99" s="306">
        <v>-22.690999999999999</v>
      </c>
      <c r="L99" s="305">
        <v>-37.326000000000001</v>
      </c>
      <c r="M99" s="305">
        <v>-23.141999999999999</v>
      </c>
      <c r="N99" s="305">
        <v>-24.600999999999999</v>
      </c>
      <c r="O99" s="306">
        <v>-14.765000000000001</v>
      </c>
      <c r="P99" s="305">
        <v>-62.939</v>
      </c>
      <c r="Q99" s="305">
        <v>-48.04</v>
      </c>
      <c r="R99" s="305">
        <v>-2.657</v>
      </c>
      <c r="S99" s="306">
        <v>-6.7969999999999997</v>
      </c>
      <c r="T99" s="330">
        <v>-44.606999999999999</v>
      </c>
      <c r="U99" s="305">
        <v>-14.701000000000001</v>
      </c>
      <c r="V99" s="305">
        <v>-53.652000000000001</v>
      </c>
      <c r="W99" s="306">
        <v>-3.7659999999999982</v>
      </c>
      <c r="X99" s="330">
        <v>-7</v>
      </c>
      <c r="Y99" s="305">
        <v>4</v>
      </c>
      <c r="Z99" s="305">
        <v>-5</v>
      </c>
      <c r="AA99" s="306">
        <v>-8</v>
      </c>
      <c r="AB99" s="330">
        <v>-42</v>
      </c>
      <c r="AC99" s="305">
        <v>-24</v>
      </c>
      <c r="AD99" s="305">
        <v>-27</v>
      </c>
      <c r="AE99" s="306">
        <v>-42</v>
      </c>
      <c r="AF99" s="330">
        <v>-28</v>
      </c>
      <c r="AG99" s="305">
        <v>-27</v>
      </c>
      <c r="AH99" s="305">
        <v>-10</v>
      </c>
      <c r="AI99" s="306">
        <v>-64</v>
      </c>
      <c r="AJ99" s="330">
        <v>-19</v>
      </c>
      <c r="AK99" s="305">
        <v>-11</v>
      </c>
      <c r="AL99" s="305">
        <v>-37</v>
      </c>
      <c r="AM99" s="346">
        <v>57</v>
      </c>
      <c r="AN99" s="330">
        <v>0</v>
      </c>
      <c r="AO99" s="305">
        <v>-68</v>
      </c>
      <c r="AP99" s="305">
        <v>-39</v>
      </c>
      <c r="AQ99" s="346">
        <v>-20</v>
      </c>
      <c r="AR99" s="330">
        <v>-34</v>
      </c>
      <c r="AS99" s="305">
        <v>12</v>
      </c>
      <c r="AT99" s="305">
        <f>1-4</f>
        <v>-3</v>
      </c>
      <c r="AU99" s="346">
        <f>57-6</f>
        <v>51</v>
      </c>
      <c r="AV99" s="330">
        <f>-16-5</f>
        <v>-21</v>
      </c>
      <c r="AW99" s="305">
        <f>-6-4</f>
        <v>-10</v>
      </c>
      <c r="AX99" s="305">
        <f>-46-6-1+5</f>
        <v>-48</v>
      </c>
      <c r="AY99" s="306">
        <f>-11-7+1</f>
        <v>-17</v>
      </c>
      <c r="AZ99" s="330">
        <f>-13-3-39+1006</f>
        <v>951</v>
      </c>
      <c r="BA99" s="329">
        <f>0.01*BA139*-1</f>
        <v>-10.66</v>
      </c>
      <c r="BB99" s="329">
        <f t="shared" ref="BB99:BK99" si="389">0.01*BB139*-1</f>
        <v>-10.61</v>
      </c>
      <c r="BC99" s="328">
        <f t="shared" si="389"/>
        <v>-10.56</v>
      </c>
      <c r="BD99" s="329">
        <f t="shared" si="389"/>
        <v>-10.540000000000001</v>
      </c>
      <c r="BE99" s="329">
        <f t="shared" si="389"/>
        <v>-10.52</v>
      </c>
      <c r="BF99" s="329">
        <f t="shared" si="389"/>
        <v>-10.5</v>
      </c>
      <c r="BG99" s="328">
        <f t="shared" si="389"/>
        <v>-10.48</v>
      </c>
      <c r="BH99" s="329">
        <f t="shared" si="389"/>
        <v>-10.475</v>
      </c>
      <c r="BI99" s="329">
        <f t="shared" si="389"/>
        <v>-10.47</v>
      </c>
      <c r="BJ99" s="329">
        <f t="shared" si="389"/>
        <v>-10.465</v>
      </c>
      <c r="BK99" s="328">
        <f t="shared" si="389"/>
        <v>-10.46</v>
      </c>
      <c r="BL99" s="215"/>
      <c r="BM99" s="309">
        <f>SUM(D99:G99)</f>
        <v>-142.71199999999999</v>
      </c>
      <c r="BN99" s="220">
        <f>SUM(H99:K99)</f>
        <v>-108.501</v>
      </c>
      <c r="BO99" s="220">
        <f>SUM(L99:O99)</f>
        <v>-99.834000000000003</v>
      </c>
      <c r="BP99" s="220">
        <f>SUM(P99:S99)</f>
        <v>-120.43299999999999</v>
      </c>
      <c r="BQ99" s="220">
        <f>SUM(T99:W99)</f>
        <v>-116.726</v>
      </c>
      <c r="BR99" s="220">
        <f>SUM(X99:AA99)</f>
        <v>-16</v>
      </c>
      <c r="BS99" s="220">
        <f>SUM(AB99:AE99)</f>
        <v>-135</v>
      </c>
      <c r="BT99" s="735">
        <f>SUM(AF99:AI99)</f>
        <v>-129</v>
      </c>
      <c r="BU99" s="735">
        <f>SUM(AJ99:AM99)</f>
        <v>-10</v>
      </c>
      <c r="BV99" s="700">
        <f>SUM(AN99:AQ99)</f>
        <v>-127</v>
      </c>
      <c r="BW99" s="700">
        <f>SUM(AR99:AU99)</f>
        <v>26</v>
      </c>
      <c r="BX99" s="700">
        <f>SUM(AV99:AY99)</f>
        <v>-96</v>
      </c>
      <c r="BY99" s="735">
        <f>SUM(AZ99:BC99)</f>
        <v>919.17000000000007</v>
      </c>
      <c r="BZ99" s="738">
        <f>SUM(BD99:BG99)</f>
        <v>-42.040000000000006</v>
      </c>
      <c r="CA99" s="738">
        <f>SUM(BH99:BK99)</f>
        <v>-41.870000000000005</v>
      </c>
      <c r="CB99" s="184"/>
      <c r="CC99" s="184"/>
      <c r="CD99" s="184"/>
    </row>
    <row r="100" spans="1:82" ht="14.25" hidden="1" customHeight="1" outlineLevel="1">
      <c r="A100" s="203"/>
      <c r="B100" s="227" t="s">
        <v>332</v>
      </c>
      <c r="C100" s="331"/>
      <c r="D100" s="305">
        <v>0</v>
      </c>
      <c r="E100" s="305">
        <v>0</v>
      </c>
      <c r="F100" s="305">
        <v>0</v>
      </c>
      <c r="G100" s="306">
        <v>0</v>
      </c>
      <c r="H100" s="305">
        <v>0</v>
      </c>
      <c r="I100" s="305">
        <v>0</v>
      </c>
      <c r="J100" s="305">
        <v>0</v>
      </c>
      <c r="K100" s="306">
        <v>0</v>
      </c>
      <c r="L100" s="305">
        <v>0</v>
      </c>
      <c r="M100" s="305">
        <v>0</v>
      </c>
      <c r="N100" s="305">
        <v>0</v>
      </c>
      <c r="O100" s="306">
        <v>0</v>
      </c>
      <c r="P100" s="305">
        <v>0</v>
      </c>
      <c r="Q100" s="305">
        <v>0</v>
      </c>
      <c r="R100" s="305">
        <v>0</v>
      </c>
      <c r="S100" s="306">
        <v>0</v>
      </c>
      <c r="T100" s="330">
        <v>0</v>
      </c>
      <c r="U100" s="305">
        <v>0</v>
      </c>
      <c r="V100" s="305">
        <v>0</v>
      </c>
      <c r="W100" s="306">
        <v>0</v>
      </c>
      <c r="X100" s="330">
        <v>0</v>
      </c>
      <c r="Y100" s="305">
        <v>0</v>
      </c>
      <c r="Z100" s="305">
        <v>0</v>
      </c>
      <c r="AA100" s="306">
        <v>0</v>
      </c>
      <c r="AB100" s="330">
        <v>0</v>
      </c>
      <c r="AC100" s="305">
        <v>0</v>
      </c>
      <c r="AD100" s="305">
        <v>0</v>
      </c>
      <c r="AE100" s="306">
        <v>0</v>
      </c>
      <c r="AF100" s="330">
        <v>0</v>
      </c>
      <c r="AG100" s="305">
        <v>0</v>
      </c>
      <c r="AH100" s="305">
        <v>0</v>
      </c>
      <c r="AI100" s="306">
        <v>0</v>
      </c>
      <c r="AJ100" s="330">
        <v>0</v>
      </c>
      <c r="AK100" s="305">
        <v>0</v>
      </c>
      <c r="AL100" s="305">
        <v>0</v>
      </c>
      <c r="AM100" s="346">
        <v>0</v>
      </c>
      <c r="AN100" s="330">
        <v>0</v>
      </c>
      <c r="AO100" s="305">
        <v>0</v>
      </c>
      <c r="AP100" s="305">
        <v>0</v>
      </c>
      <c r="AQ100" s="346">
        <v>0</v>
      </c>
      <c r="AR100" s="330">
        <v>0</v>
      </c>
      <c r="AS100" s="305">
        <v>0</v>
      </c>
      <c r="AT100" s="305">
        <v>0</v>
      </c>
      <c r="AU100" s="346">
        <v>0</v>
      </c>
      <c r="AV100" s="330">
        <v>0</v>
      </c>
      <c r="AW100" s="305">
        <v>0</v>
      </c>
      <c r="AX100" s="305">
        <v>0</v>
      </c>
      <c r="AY100" s="306">
        <v>0</v>
      </c>
      <c r="AZ100" s="330">
        <v>0</v>
      </c>
      <c r="BA100" s="329">
        <v>0</v>
      </c>
      <c r="BB100" s="329">
        <v>0</v>
      </c>
      <c r="BC100" s="328">
        <v>0</v>
      </c>
      <c r="BD100" s="329">
        <v>0</v>
      </c>
      <c r="BE100" s="329">
        <v>0</v>
      </c>
      <c r="BF100" s="329">
        <v>0</v>
      </c>
      <c r="BG100" s="328">
        <v>0</v>
      </c>
      <c r="BH100" s="329">
        <v>0</v>
      </c>
      <c r="BI100" s="329">
        <v>0</v>
      </c>
      <c r="BJ100" s="329">
        <v>0</v>
      </c>
      <c r="BK100" s="328">
        <v>0</v>
      </c>
      <c r="BL100" s="215"/>
      <c r="BM100" s="309">
        <f>SUM(D100:G100)</f>
        <v>0</v>
      </c>
      <c r="BN100" s="220">
        <f>SUM(H100:K100)</f>
        <v>0</v>
      </c>
      <c r="BO100" s="220">
        <f>SUM(L100:O100)</f>
        <v>0</v>
      </c>
      <c r="BP100" s="220">
        <f>SUM(P100:S100)</f>
        <v>0</v>
      </c>
      <c r="BQ100" s="220">
        <f>SUM(T100:W100)</f>
        <v>0</v>
      </c>
      <c r="BR100" s="220">
        <f>SUM(X100:AA100)</f>
        <v>0</v>
      </c>
      <c r="BS100" s="220">
        <f>SUM(AB100:AE100)</f>
        <v>0</v>
      </c>
      <c r="BT100" s="735">
        <f>SUM(AF100:AI100)</f>
        <v>0</v>
      </c>
      <c r="BU100" s="735">
        <f>SUM(AJ100:AM100)</f>
        <v>0</v>
      </c>
      <c r="BV100" s="700">
        <f>SUM(AN100:AQ100)</f>
        <v>0</v>
      </c>
      <c r="BW100" s="700">
        <f>SUM(AR100:AU100)</f>
        <v>0</v>
      </c>
      <c r="BX100" s="700">
        <f>SUM(AV100:AY100)</f>
        <v>0</v>
      </c>
      <c r="BY100" s="735">
        <f>SUM(AZ100:BC100)</f>
        <v>0</v>
      </c>
      <c r="BZ100" s="738">
        <f>SUM(BD100:BG100)</f>
        <v>0</v>
      </c>
      <c r="CA100" s="738">
        <f>SUM(BH100:BK100)</f>
        <v>0</v>
      </c>
      <c r="CB100" s="184"/>
      <c r="CC100" s="184"/>
      <c r="CD100" s="184"/>
    </row>
    <row r="101" spans="1:82" ht="14.25" customHeight="1" collapsed="1">
      <c r="A101" s="203"/>
      <c r="B101" s="217" t="s">
        <v>331</v>
      </c>
      <c r="C101" s="216"/>
      <c r="D101" s="220">
        <f t="shared" ref="D101:AQ101" si="390">D96-D98-D99-D100</f>
        <v>140.76400000000001</v>
      </c>
      <c r="E101" s="220">
        <f t="shared" si="390"/>
        <v>202.60799999999998</v>
      </c>
      <c r="F101" s="220">
        <f t="shared" si="390"/>
        <v>216.34</v>
      </c>
      <c r="G101" s="226">
        <f t="shared" si="390"/>
        <v>233.30799999999999</v>
      </c>
      <c r="H101" s="220">
        <f t="shared" si="390"/>
        <v>175.18199999999999</v>
      </c>
      <c r="I101" s="220">
        <f t="shared" si="390"/>
        <v>246.072</v>
      </c>
      <c r="J101" s="220">
        <f t="shared" si="390"/>
        <v>236.529</v>
      </c>
      <c r="K101" s="226">
        <f t="shared" si="390"/>
        <v>180.17500000000001</v>
      </c>
      <c r="L101" s="220">
        <f t="shared" si="390"/>
        <v>164.27199999999999</v>
      </c>
      <c r="M101" s="220">
        <f t="shared" si="390"/>
        <v>174.77799999999999</v>
      </c>
      <c r="N101" s="220">
        <f t="shared" si="390"/>
        <v>102.39700000000001</v>
      </c>
      <c r="O101" s="226">
        <f t="shared" si="390"/>
        <v>106.35899999999999</v>
      </c>
      <c r="P101" s="220">
        <f t="shared" si="390"/>
        <v>-6.7859999999999943</v>
      </c>
      <c r="Q101" s="220">
        <f t="shared" si="390"/>
        <v>-79.378000000000014</v>
      </c>
      <c r="R101" s="220">
        <f t="shared" si="390"/>
        <v>-16.661999999999999</v>
      </c>
      <c r="S101" s="226">
        <f t="shared" si="390"/>
        <v>42.782999999999994</v>
      </c>
      <c r="T101" s="309">
        <f t="shared" si="390"/>
        <v>80.59</v>
      </c>
      <c r="U101" s="220">
        <f t="shared" si="390"/>
        <v>137.749</v>
      </c>
      <c r="V101" s="220">
        <f t="shared" si="390"/>
        <v>108.387</v>
      </c>
      <c r="W101" s="226">
        <f t="shared" si="390"/>
        <v>239.1</v>
      </c>
      <c r="X101" s="309">
        <f t="shared" si="390"/>
        <v>181</v>
      </c>
      <c r="Y101" s="220">
        <f t="shared" si="390"/>
        <v>193</v>
      </c>
      <c r="Z101" s="220">
        <f t="shared" si="390"/>
        <v>198</v>
      </c>
      <c r="AA101" s="226">
        <f t="shared" si="390"/>
        <v>-104</v>
      </c>
      <c r="AB101" s="309">
        <f t="shared" si="390"/>
        <v>84</v>
      </c>
      <c r="AC101" s="220">
        <f t="shared" si="390"/>
        <v>122</v>
      </c>
      <c r="AD101" s="220">
        <f t="shared" si="390"/>
        <v>111</v>
      </c>
      <c r="AE101" s="226">
        <f t="shared" si="390"/>
        <v>25</v>
      </c>
      <c r="AF101" s="309">
        <f t="shared" si="390"/>
        <v>12</v>
      </c>
      <c r="AG101" s="220">
        <f t="shared" si="390"/>
        <v>66</v>
      </c>
      <c r="AH101" s="220">
        <f t="shared" si="390"/>
        <v>70</v>
      </c>
      <c r="AI101" s="226">
        <f t="shared" si="390"/>
        <v>75</v>
      </c>
      <c r="AJ101" s="309">
        <f t="shared" si="390"/>
        <v>81</v>
      </c>
      <c r="AK101" s="220">
        <f t="shared" si="390"/>
        <v>114</v>
      </c>
      <c r="AL101" s="220">
        <f t="shared" si="390"/>
        <v>106</v>
      </c>
      <c r="AM101" s="345">
        <f t="shared" si="390"/>
        <v>85</v>
      </c>
      <c r="AN101" s="309">
        <f t="shared" si="390"/>
        <v>89</v>
      </c>
      <c r="AO101" s="220">
        <f t="shared" si="390"/>
        <v>93</v>
      </c>
      <c r="AP101" s="220">
        <f t="shared" si="390"/>
        <v>85</v>
      </c>
      <c r="AQ101" s="345">
        <f t="shared" si="390"/>
        <v>81</v>
      </c>
      <c r="AR101" s="309">
        <f t="shared" ref="AR101:AW101" si="391">AR96-AR98-AR99-AR100</f>
        <v>62</v>
      </c>
      <c r="AS101" s="220">
        <f t="shared" si="391"/>
        <v>63</v>
      </c>
      <c r="AT101" s="220">
        <f t="shared" si="391"/>
        <v>62</v>
      </c>
      <c r="AU101" s="345">
        <f t="shared" si="391"/>
        <v>79</v>
      </c>
      <c r="AV101" s="309">
        <f t="shared" si="391"/>
        <v>89</v>
      </c>
      <c r="AW101" s="220">
        <f t="shared" si="391"/>
        <v>94</v>
      </c>
      <c r="AX101" s="220">
        <f t="shared" ref="AX101:AZ101" si="392">AX96-AX98-AX99-AX100</f>
        <v>101</v>
      </c>
      <c r="AY101" s="738">
        <f t="shared" si="392"/>
        <v>109</v>
      </c>
      <c r="AZ101" s="747">
        <f t="shared" si="392"/>
        <v>76</v>
      </c>
      <c r="BA101" s="220">
        <f t="shared" ref="BA101:BC101" si="393">BA102*BA91</f>
        <v>84.712243052917387</v>
      </c>
      <c r="BB101" s="220">
        <f t="shared" si="393"/>
        <v>79.837114968658511</v>
      </c>
      <c r="BC101" s="226">
        <f t="shared" si="393"/>
        <v>81.09734614846856</v>
      </c>
      <c r="BD101" s="735">
        <f t="shared" ref="BD101:BG101" si="394">BD102*BD91</f>
        <v>133.23262183022874</v>
      </c>
      <c r="BE101" s="735">
        <f t="shared" si="394"/>
        <v>136.17907487235061</v>
      </c>
      <c r="BF101" s="735">
        <f t="shared" si="394"/>
        <v>132.0726708638343</v>
      </c>
      <c r="BG101" s="738">
        <f t="shared" si="394"/>
        <v>136.60284963505248</v>
      </c>
      <c r="BH101" s="735">
        <f t="shared" ref="BH101:BK101" si="395">BH102*BH91</f>
        <v>134.71871266829379</v>
      </c>
      <c r="BI101" s="735">
        <f t="shared" si="395"/>
        <v>135.1842283717215</v>
      </c>
      <c r="BJ101" s="735">
        <f t="shared" si="395"/>
        <v>137.59481576179158</v>
      </c>
      <c r="BK101" s="738">
        <f t="shared" si="395"/>
        <v>136.37180066985036</v>
      </c>
      <c r="BL101" s="215"/>
      <c r="BM101" s="309">
        <f t="shared" ref="BM101:BX101" si="396">BM96-BM98-BM99-BM100</f>
        <v>793.02</v>
      </c>
      <c r="BN101" s="220">
        <f t="shared" si="396"/>
        <v>837.95799999999997</v>
      </c>
      <c r="BO101" s="220">
        <f t="shared" si="396"/>
        <v>547.80600000000004</v>
      </c>
      <c r="BP101" s="220">
        <f t="shared" si="396"/>
        <v>-60.043000000000006</v>
      </c>
      <c r="BQ101" s="220">
        <f t="shared" si="396"/>
        <v>565.82600000000002</v>
      </c>
      <c r="BR101" s="220">
        <f t="shared" si="396"/>
        <v>468</v>
      </c>
      <c r="BS101" s="220">
        <f t="shared" si="396"/>
        <v>342</v>
      </c>
      <c r="BT101" s="735">
        <f t="shared" si="396"/>
        <v>223</v>
      </c>
      <c r="BU101" s="735">
        <f t="shared" si="396"/>
        <v>386</v>
      </c>
      <c r="BV101" s="700">
        <f t="shared" si="396"/>
        <v>348</v>
      </c>
      <c r="BW101" s="700">
        <f t="shared" si="396"/>
        <v>266</v>
      </c>
      <c r="BX101" s="700">
        <f t="shared" si="396"/>
        <v>393</v>
      </c>
      <c r="BY101" s="735">
        <f>BY96-BY98-BY99-BY100</f>
        <v>321.64670417004436</v>
      </c>
      <c r="BZ101" s="738">
        <f>BZ96-BZ98-BZ99-BZ100</f>
        <v>538.08721720146616</v>
      </c>
      <c r="CA101" s="738">
        <f>CA96-CA98-CA99-CA100</f>
        <v>543.86955747165723</v>
      </c>
      <c r="CB101" s="184"/>
      <c r="CC101" s="184"/>
      <c r="CD101" s="184"/>
    </row>
    <row r="102" spans="1:82" ht="14.25" customHeight="1">
      <c r="A102" s="203"/>
      <c r="B102" s="262" t="s">
        <v>330</v>
      </c>
      <c r="C102" s="261"/>
      <c r="D102" s="275">
        <f t="shared" ref="D102:AQ102" si="397">D101/D91</f>
        <v>0.76533369579991817</v>
      </c>
      <c r="E102" s="275">
        <f t="shared" si="397"/>
        <v>0.33741793873424963</v>
      </c>
      <c r="F102" s="275">
        <f t="shared" si="397"/>
        <v>0.29942796718665865</v>
      </c>
      <c r="G102" s="277">
        <f t="shared" si="397"/>
        <v>0.35346001705882263</v>
      </c>
      <c r="H102" s="275">
        <f t="shared" si="397"/>
        <v>0.30184901518532375</v>
      </c>
      <c r="I102" s="275">
        <f t="shared" si="397"/>
        <v>0.32580795930445783</v>
      </c>
      <c r="J102" s="275">
        <f t="shared" si="397"/>
        <v>0.31331954808037493</v>
      </c>
      <c r="K102" s="277">
        <f t="shared" si="397"/>
        <v>0.27631617287339683</v>
      </c>
      <c r="L102" s="275">
        <f t="shared" si="397"/>
        <v>0.32267835290096619</v>
      </c>
      <c r="M102" s="275">
        <f t="shared" si="397"/>
        <v>0.32584856202155937</v>
      </c>
      <c r="N102" s="275">
        <f t="shared" si="397"/>
        <v>0.31021121640289878</v>
      </c>
      <c r="O102" s="277">
        <f t="shared" si="397"/>
        <v>0.2872517987165914</v>
      </c>
      <c r="P102" s="275">
        <f t="shared" si="397"/>
        <v>0.66179052077238021</v>
      </c>
      <c r="Q102" s="275">
        <f t="shared" si="397"/>
        <v>0.36916222526067111</v>
      </c>
      <c r="R102" s="275">
        <f t="shared" si="397"/>
        <v>0.33716459589623227</v>
      </c>
      <c r="S102" s="277">
        <f t="shared" si="397"/>
        <v>0.21647152875459166</v>
      </c>
      <c r="T102" s="337">
        <f t="shared" si="397"/>
        <v>0.31045109595901227</v>
      </c>
      <c r="U102" s="275">
        <f t="shared" si="397"/>
        <v>0.32042028280929791</v>
      </c>
      <c r="V102" s="275">
        <f t="shared" si="397"/>
        <v>0.31696646595564865</v>
      </c>
      <c r="W102" s="277">
        <f t="shared" si="397"/>
        <v>0.33455626170107378</v>
      </c>
      <c r="X102" s="337">
        <f t="shared" si="397"/>
        <v>0.27218045112781952</v>
      </c>
      <c r="Y102" s="275">
        <f t="shared" si="397"/>
        <v>0.27809798270893371</v>
      </c>
      <c r="Z102" s="275">
        <f t="shared" si="397"/>
        <v>0.29774436090225564</v>
      </c>
      <c r="AA102" s="277">
        <f t="shared" si="397"/>
        <v>-0.6227544910179641</v>
      </c>
      <c r="AB102" s="337">
        <f t="shared" si="397"/>
        <v>0.25925925925925924</v>
      </c>
      <c r="AC102" s="275">
        <f t="shared" si="397"/>
        <v>0.25902335456475584</v>
      </c>
      <c r="AD102" s="275">
        <f t="shared" si="397"/>
        <v>0.27007299270072993</v>
      </c>
      <c r="AE102" s="277">
        <f t="shared" si="397"/>
        <v>0.26315789473684209</v>
      </c>
      <c r="AF102" s="337">
        <f t="shared" si="397"/>
        <v>0.14814814814814814</v>
      </c>
      <c r="AG102" s="275">
        <f t="shared" si="397"/>
        <v>0.24905660377358491</v>
      </c>
      <c r="AH102" s="275">
        <f t="shared" si="397"/>
        <v>0.23972602739726026</v>
      </c>
      <c r="AI102" s="277">
        <f t="shared" si="397"/>
        <v>0.24752475247524752</v>
      </c>
      <c r="AJ102" s="337">
        <f t="shared" si="397"/>
        <v>0.22500000000000001</v>
      </c>
      <c r="AK102" s="275">
        <f t="shared" si="397"/>
        <v>0.24675324675324675</v>
      </c>
      <c r="AL102" s="275">
        <f t="shared" si="397"/>
        <v>0.23296703296703297</v>
      </c>
      <c r="AM102" s="338">
        <f t="shared" si="397"/>
        <v>0.20094562647754138</v>
      </c>
      <c r="AN102" s="337">
        <f t="shared" si="397"/>
        <v>0.20843091334894615</v>
      </c>
      <c r="AO102" s="275">
        <f t="shared" si="397"/>
        <v>0.20439560439560439</v>
      </c>
      <c r="AP102" s="275">
        <f t="shared" si="397"/>
        <v>0.17171717171717171</v>
      </c>
      <c r="AQ102" s="338">
        <f t="shared" si="397"/>
        <v>0.18925233644859812</v>
      </c>
      <c r="AR102" s="337">
        <f t="shared" ref="AR102:AW102" si="398">AR101/AR91</f>
        <v>0.17032967032967034</v>
      </c>
      <c r="AS102" s="275">
        <f t="shared" si="398"/>
        <v>0.14350797266514806</v>
      </c>
      <c r="AT102" s="275">
        <f t="shared" si="398"/>
        <v>0.10130718954248366</v>
      </c>
      <c r="AU102" s="338">
        <f t="shared" si="398"/>
        <v>9.8626716604244699E-2</v>
      </c>
      <c r="AV102" s="337">
        <f t="shared" si="398"/>
        <v>0.10840438489646773</v>
      </c>
      <c r="AW102" s="275">
        <f t="shared" si="398"/>
        <v>9.8429319371727747E-2</v>
      </c>
      <c r="AX102" s="275">
        <f t="shared" ref="AX102:AZ102" si="399">AX101/AX91</f>
        <v>9.8249027237354083E-2</v>
      </c>
      <c r="AY102" s="705">
        <f t="shared" si="399"/>
        <v>9.7845601436265708E-2</v>
      </c>
      <c r="AZ102" s="713">
        <f t="shared" si="399"/>
        <v>6.2758051197357556E-2</v>
      </c>
      <c r="BA102" s="362">
        <v>6.5000000000000002E-2</v>
      </c>
      <c r="BB102" s="362">
        <v>6.5000000000000002E-2</v>
      </c>
      <c r="BC102" s="361">
        <v>6.5000000000000002E-2</v>
      </c>
      <c r="BD102" s="717">
        <v>0.115</v>
      </c>
      <c r="BE102" s="717">
        <f>BD102</f>
        <v>0.115</v>
      </c>
      <c r="BF102" s="717">
        <f t="shared" ref="BF102:BK102" si="400">BE102</f>
        <v>0.115</v>
      </c>
      <c r="BG102" s="716">
        <f t="shared" si="400"/>
        <v>0.115</v>
      </c>
      <c r="BH102" s="717">
        <f t="shared" si="400"/>
        <v>0.115</v>
      </c>
      <c r="BI102" s="717">
        <f t="shared" si="400"/>
        <v>0.115</v>
      </c>
      <c r="BJ102" s="717">
        <f t="shared" si="400"/>
        <v>0.115</v>
      </c>
      <c r="BK102" s="716">
        <f t="shared" si="400"/>
        <v>0.115</v>
      </c>
      <c r="BL102" s="215"/>
      <c r="BM102" s="337">
        <f t="shared" ref="BM102:BX102" si="401">BM101/BM91</f>
        <v>0.36595782776972996</v>
      </c>
      <c r="BN102" s="275">
        <f t="shared" si="401"/>
        <v>0.30553371904948734</v>
      </c>
      <c r="BO102" s="275">
        <f t="shared" si="401"/>
        <v>0.31378166923375228</v>
      </c>
      <c r="BP102" s="275">
        <f t="shared" si="401"/>
        <v>0.7792125207641204</v>
      </c>
      <c r="BQ102" s="275">
        <f t="shared" si="401"/>
        <v>0.32404760268480987</v>
      </c>
      <c r="BR102" s="275">
        <f t="shared" si="401"/>
        <v>0.21360109539023278</v>
      </c>
      <c r="BS102" s="275">
        <f t="shared" si="401"/>
        <v>0.26287471176018445</v>
      </c>
      <c r="BT102" s="704">
        <f t="shared" si="401"/>
        <v>0.23698193411264612</v>
      </c>
      <c r="BU102" s="704">
        <f t="shared" si="401"/>
        <v>0.22705882352941176</v>
      </c>
      <c r="BV102" s="704">
        <f t="shared" si="401"/>
        <v>0.19279778393351801</v>
      </c>
      <c r="BW102" s="704">
        <f t="shared" si="401"/>
        <v>0.12003610108303249</v>
      </c>
      <c r="BX102" s="704">
        <f t="shared" si="401"/>
        <v>0.1003062787136294</v>
      </c>
      <c r="BY102" s="704">
        <f>BY101/BY91</f>
        <v>6.4553782657616313E-2</v>
      </c>
      <c r="BZ102" s="705">
        <f>BZ101/BZ91</f>
        <v>0.11592824153654144</v>
      </c>
      <c r="CA102" s="705">
        <f>CA101/CA91</f>
        <v>0.11462545943734359</v>
      </c>
      <c r="CB102" s="184"/>
      <c r="CC102" s="184"/>
      <c r="CD102" s="184"/>
    </row>
    <row r="103" spans="1:82" ht="14.25" hidden="1" customHeight="1" outlineLevel="1">
      <c r="A103" s="203"/>
      <c r="B103" s="217" t="s">
        <v>329</v>
      </c>
      <c r="C103" s="216"/>
      <c r="D103" s="220">
        <f t="shared" ref="D103:AQ103" si="402">D101+D98</f>
        <v>140.76400000000001</v>
      </c>
      <c r="E103" s="220">
        <f t="shared" si="402"/>
        <v>202.60799999999998</v>
      </c>
      <c r="F103" s="220">
        <f t="shared" si="402"/>
        <v>216.34</v>
      </c>
      <c r="G103" s="226">
        <f t="shared" si="402"/>
        <v>233.30799999999999</v>
      </c>
      <c r="H103" s="220">
        <f t="shared" si="402"/>
        <v>175.18199999999999</v>
      </c>
      <c r="I103" s="220">
        <f t="shared" si="402"/>
        <v>246.072</v>
      </c>
      <c r="J103" s="220">
        <f t="shared" si="402"/>
        <v>236.529</v>
      </c>
      <c r="K103" s="226">
        <f t="shared" si="402"/>
        <v>180.17500000000001</v>
      </c>
      <c r="L103" s="220">
        <f t="shared" si="402"/>
        <v>164.27199999999999</v>
      </c>
      <c r="M103" s="220">
        <f t="shared" si="402"/>
        <v>174.77799999999999</v>
      </c>
      <c r="N103" s="220">
        <f t="shared" si="402"/>
        <v>102.39700000000001</v>
      </c>
      <c r="O103" s="226">
        <f t="shared" si="402"/>
        <v>106.35899999999999</v>
      </c>
      <c r="P103" s="220">
        <f t="shared" si="402"/>
        <v>-6.7859999999999943</v>
      </c>
      <c r="Q103" s="220">
        <f t="shared" si="402"/>
        <v>-79.378000000000014</v>
      </c>
      <c r="R103" s="220">
        <f t="shared" si="402"/>
        <v>-16.661999999999999</v>
      </c>
      <c r="S103" s="226">
        <f t="shared" si="402"/>
        <v>42.782999999999994</v>
      </c>
      <c r="T103" s="309">
        <f t="shared" si="402"/>
        <v>80.59</v>
      </c>
      <c r="U103" s="220">
        <f t="shared" si="402"/>
        <v>137.749</v>
      </c>
      <c r="V103" s="220">
        <f t="shared" si="402"/>
        <v>108.387</v>
      </c>
      <c r="W103" s="226">
        <f t="shared" si="402"/>
        <v>239.1</v>
      </c>
      <c r="X103" s="309">
        <f t="shared" si="402"/>
        <v>181</v>
      </c>
      <c r="Y103" s="220">
        <f t="shared" si="402"/>
        <v>193</v>
      </c>
      <c r="Z103" s="220">
        <f t="shared" si="402"/>
        <v>198</v>
      </c>
      <c r="AA103" s="226">
        <f t="shared" si="402"/>
        <v>-104</v>
      </c>
      <c r="AB103" s="309">
        <f t="shared" si="402"/>
        <v>84</v>
      </c>
      <c r="AC103" s="220">
        <f t="shared" si="402"/>
        <v>122</v>
      </c>
      <c r="AD103" s="220">
        <f t="shared" si="402"/>
        <v>111</v>
      </c>
      <c r="AE103" s="226">
        <f t="shared" si="402"/>
        <v>25</v>
      </c>
      <c r="AF103" s="309">
        <f t="shared" si="402"/>
        <v>12</v>
      </c>
      <c r="AG103" s="220">
        <f t="shared" si="402"/>
        <v>66</v>
      </c>
      <c r="AH103" s="220">
        <f t="shared" si="402"/>
        <v>70</v>
      </c>
      <c r="AI103" s="226">
        <f t="shared" si="402"/>
        <v>75</v>
      </c>
      <c r="AJ103" s="309">
        <f t="shared" si="402"/>
        <v>81</v>
      </c>
      <c r="AK103" s="220">
        <f t="shared" si="402"/>
        <v>114</v>
      </c>
      <c r="AL103" s="220">
        <f t="shared" si="402"/>
        <v>106</v>
      </c>
      <c r="AM103" s="345">
        <f t="shared" si="402"/>
        <v>85</v>
      </c>
      <c r="AN103" s="309">
        <f t="shared" si="402"/>
        <v>89</v>
      </c>
      <c r="AO103" s="220">
        <f t="shared" si="402"/>
        <v>93</v>
      </c>
      <c r="AP103" s="220">
        <f t="shared" si="402"/>
        <v>85</v>
      </c>
      <c r="AQ103" s="345">
        <f t="shared" si="402"/>
        <v>81</v>
      </c>
      <c r="AR103" s="309">
        <f t="shared" ref="AR103:AW103" si="403">AR101+AR98</f>
        <v>62</v>
      </c>
      <c r="AS103" s="220">
        <f t="shared" si="403"/>
        <v>63</v>
      </c>
      <c r="AT103" s="220">
        <f t="shared" si="403"/>
        <v>62</v>
      </c>
      <c r="AU103" s="345">
        <f t="shared" si="403"/>
        <v>79</v>
      </c>
      <c r="AV103" s="309">
        <f t="shared" si="403"/>
        <v>89</v>
      </c>
      <c r="AW103" s="220">
        <f t="shared" si="403"/>
        <v>94</v>
      </c>
      <c r="AX103" s="220">
        <f t="shared" ref="AX103:AZ103" si="404">AX101+AX98</f>
        <v>101</v>
      </c>
      <c r="AY103" s="738">
        <f t="shared" si="404"/>
        <v>109</v>
      </c>
      <c r="AZ103" s="747">
        <f t="shared" si="404"/>
        <v>76</v>
      </c>
      <c r="BA103" s="220">
        <f t="shared" ref="BA103:BG103" si="405">BA101+BA98</f>
        <v>84.712243052917387</v>
      </c>
      <c r="BB103" s="220">
        <f t="shared" si="405"/>
        <v>79.837114968658511</v>
      </c>
      <c r="BC103" s="226">
        <f t="shared" si="405"/>
        <v>81.09734614846856</v>
      </c>
      <c r="BD103" s="735">
        <f t="shared" si="405"/>
        <v>133.23262183022874</v>
      </c>
      <c r="BE103" s="735">
        <f t="shared" si="405"/>
        <v>136.17907487235061</v>
      </c>
      <c r="BF103" s="735">
        <f t="shared" si="405"/>
        <v>132.0726708638343</v>
      </c>
      <c r="BG103" s="738">
        <f t="shared" si="405"/>
        <v>136.60284963505248</v>
      </c>
      <c r="BH103" s="735">
        <f t="shared" ref="BH103:BK103" si="406">BH101+BH98</f>
        <v>134.71871266829379</v>
      </c>
      <c r="BI103" s="735">
        <f t="shared" si="406"/>
        <v>135.1842283717215</v>
      </c>
      <c r="BJ103" s="735">
        <f t="shared" si="406"/>
        <v>137.59481576179158</v>
      </c>
      <c r="BK103" s="738">
        <f t="shared" si="406"/>
        <v>136.37180066985036</v>
      </c>
      <c r="BL103" s="215"/>
      <c r="BM103" s="309">
        <f t="shared" ref="BM103:BX103" si="407">BM101+BM98</f>
        <v>793.02</v>
      </c>
      <c r="BN103" s="220">
        <f t="shared" si="407"/>
        <v>837.95799999999997</v>
      </c>
      <c r="BO103" s="220">
        <f t="shared" si="407"/>
        <v>547.80600000000004</v>
      </c>
      <c r="BP103" s="220">
        <f t="shared" si="407"/>
        <v>-60.043000000000006</v>
      </c>
      <c r="BQ103" s="220">
        <f t="shared" si="407"/>
        <v>565.82600000000002</v>
      </c>
      <c r="BR103" s="220">
        <f t="shared" si="407"/>
        <v>468</v>
      </c>
      <c r="BS103" s="220">
        <f t="shared" si="407"/>
        <v>342</v>
      </c>
      <c r="BT103" s="735">
        <f t="shared" si="407"/>
        <v>223</v>
      </c>
      <c r="BU103" s="735">
        <f t="shared" si="407"/>
        <v>386</v>
      </c>
      <c r="BV103" s="700">
        <f t="shared" si="407"/>
        <v>348</v>
      </c>
      <c r="BW103" s="700">
        <f t="shared" si="407"/>
        <v>266</v>
      </c>
      <c r="BX103" s="700">
        <f t="shared" si="407"/>
        <v>393</v>
      </c>
      <c r="BY103" s="735">
        <f>BY101+BY98</f>
        <v>321.64670417004436</v>
      </c>
      <c r="BZ103" s="738">
        <f>BZ101+BZ98</f>
        <v>538.08721720146616</v>
      </c>
      <c r="CA103" s="738">
        <f>CA101+CA98</f>
        <v>543.86955747165723</v>
      </c>
      <c r="CB103" s="184"/>
      <c r="CC103" s="184"/>
      <c r="CD103" s="184"/>
    </row>
    <row r="104" spans="1:82" ht="14.25" hidden="1" customHeight="1" outlineLevel="1">
      <c r="A104" s="203"/>
      <c r="B104" s="262" t="s">
        <v>328</v>
      </c>
      <c r="C104" s="261"/>
      <c r="D104" s="275">
        <f t="shared" ref="D104:AQ104" si="408">D103/D93</f>
        <v>0.76533369579991817</v>
      </c>
      <c r="E104" s="275">
        <f t="shared" si="408"/>
        <v>0.33741793873424963</v>
      </c>
      <c r="F104" s="275">
        <f t="shared" si="408"/>
        <v>0.29942796718665865</v>
      </c>
      <c r="G104" s="277">
        <f t="shared" si="408"/>
        <v>0.35346001705882263</v>
      </c>
      <c r="H104" s="275">
        <f t="shared" si="408"/>
        <v>0.30184901518532375</v>
      </c>
      <c r="I104" s="275">
        <f t="shared" si="408"/>
        <v>0.32580795930445783</v>
      </c>
      <c r="J104" s="275">
        <f t="shared" si="408"/>
        <v>0.31331954808037493</v>
      </c>
      <c r="K104" s="277">
        <f t="shared" si="408"/>
        <v>0.27631617287339683</v>
      </c>
      <c r="L104" s="275">
        <f t="shared" si="408"/>
        <v>0.32267835290096619</v>
      </c>
      <c r="M104" s="275">
        <f t="shared" si="408"/>
        <v>0.32584856202155937</v>
      </c>
      <c r="N104" s="275">
        <f t="shared" si="408"/>
        <v>0.31021121640289878</v>
      </c>
      <c r="O104" s="277">
        <f t="shared" si="408"/>
        <v>0.2872517987165914</v>
      </c>
      <c r="P104" s="275">
        <f t="shared" si="408"/>
        <v>0.66179052077238021</v>
      </c>
      <c r="Q104" s="275">
        <f t="shared" si="408"/>
        <v>0.36916222526067111</v>
      </c>
      <c r="R104" s="275">
        <f t="shared" si="408"/>
        <v>0.33716459589623227</v>
      </c>
      <c r="S104" s="277">
        <f t="shared" si="408"/>
        <v>0.21647152875459166</v>
      </c>
      <c r="T104" s="337">
        <f t="shared" si="408"/>
        <v>0.31045109595901227</v>
      </c>
      <c r="U104" s="275">
        <f t="shared" si="408"/>
        <v>0.32042028280929791</v>
      </c>
      <c r="V104" s="275">
        <f t="shared" si="408"/>
        <v>0.31696646595564865</v>
      </c>
      <c r="W104" s="277">
        <f t="shared" si="408"/>
        <v>0.33455626170107378</v>
      </c>
      <c r="X104" s="337">
        <f t="shared" si="408"/>
        <v>0.27218045112781952</v>
      </c>
      <c r="Y104" s="275">
        <f t="shared" si="408"/>
        <v>0.27809798270893371</v>
      </c>
      <c r="Z104" s="275">
        <f t="shared" si="408"/>
        <v>0.29774436090225564</v>
      </c>
      <c r="AA104" s="277">
        <f t="shared" si="408"/>
        <v>-0.6227544910179641</v>
      </c>
      <c r="AB104" s="337">
        <f t="shared" si="408"/>
        <v>0.25925925925925924</v>
      </c>
      <c r="AC104" s="275">
        <f t="shared" si="408"/>
        <v>0.25902335456475584</v>
      </c>
      <c r="AD104" s="275">
        <f t="shared" si="408"/>
        <v>0.27007299270072993</v>
      </c>
      <c r="AE104" s="277">
        <f t="shared" si="408"/>
        <v>0.26315789473684209</v>
      </c>
      <c r="AF104" s="337">
        <f t="shared" si="408"/>
        <v>0.14814814814814814</v>
      </c>
      <c r="AG104" s="275">
        <f t="shared" si="408"/>
        <v>0.24905660377358491</v>
      </c>
      <c r="AH104" s="275">
        <f t="shared" si="408"/>
        <v>0.23972602739726026</v>
      </c>
      <c r="AI104" s="277">
        <f t="shared" si="408"/>
        <v>0.24752475247524752</v>
      </c>
      <c r="AJ104" s="337">
        <f t="shared" si="408"/>
        <v>0.22500000000000001</v>
      </c>
      <c r="AK104" s="275">
        <f t="shared" si="408"/>
        <v>0.24675324675324675</v>
      </c>
      <c r="AL104" s="275">
        <f t="shared" si="408"/>
        <v>0.23296703296703297</v>
      </c>
      <c r="AM104" s="338">
        <f t="shared" si="408"/>
        <v>0.20094562647754138</v>
      </c>
      <c r="AN104" s="337">
        <f t="shared" si="408"/>
        <v>0.20843091334894615</v>
      </c>
      <c r="AO104" s="275">
        <f t="shared" si="408"/>
        <v>0.20439560439560439</v>
      </c>
      <c r="AP104" s="275">
        <f t="shared" si="408"/>
        <v>0.17171717171717171</v>
      </c>
      <c r="AQ104" s="338">
        <f t="shared" si="408"/>
        <v>0.18925233644859812</v>
      </c>
      <c r="AR104" s="337">
        <f t="shared" ref="AR104:AW104" si="409">AR103/AR93</f>
        <v>0.17032967032967034</v>
      </c>
      <c r="AS104" s="275">
        <f t="shared" si="409"/>
        <v>0.14350797266514806</v>
      </c>
      <c r="AT104" s="275">
        <f t="shared" si="409"/>
        <v>0.10130718954248366</v>
      </c>
      <c r="AU104" s="338">
        <f t="shared" si="409"/>
        <v>9.8626716604244699E-2</v>
      </c>
      <c r="AV104" s="337">
        <f t="shared" si="409"/>
        <v>0.10840438489646773</v>
      </c>
      <c r="AW104" s="275">
        <f t="shared" si="409"/>
        <v>9.8429319371727747E-2</v>
      </c>
      <c r="AX104" s="275">
        <f t="shared" ref="AX104:AZ104" si="410">AX103/AX93</f>
        <v>9.8249027237354083E-2</v>
      </c>
      <c r="AY104" s="705">
        <f t="shared" si="410"/>
        <v>9.7845601436265708E-2</v>
      </c>
      <c r="AZ104" s="713">
        <f t="shared" si="410"/>
        <v>6.2758051197357556E-2</v>
      </c>
      <c r="BA104" s="275">
        <f t="shared" ref="BA104:BG104" si="411">BA103/BA93</f>
        <v>6.5000000000000002E-2</v>
      </c>
      <c r="BB104" s="275">
        <f t="shared" si="411"/>
        <v>6.5000000000000002E-2</v>
      </c>
      <c r="BC104" s="277">
        <f t="shared" si="411"/>
        <v>6.5396480445500449E-2</v>
      </c>
      <c r="BD104" s="704">
        <f t="shared" si="411"/>
        <v>0.115</v>
      </c>
      <c r="BE104" s="704">
        <f t="shared" si="411"/>
        <v>0.11721872566016768</v>
      </c>
      <c r="BF104" s="704">
        <f t="shared" si="411"/>
        <v>0.115</v>
      </c>
      <c r="BG104" s="705">
        <f t="shared" si="411"/>
        <v>0.11647584841780345</v>
      </c>
      <c r="BH104" s="704">
        <f t="shared" ref="BH104:BK104" si="412">BH103/BH93</f>
        <v>0.11499999999999999</v>
      </c>
      <c r="BI104" s="704">
        <f t="shared" si="412"/>
        <v>0.11456494440247415</v>
      </c>
      <c r="BJ104" s="704">
        <f t="shared" si="412"/>
        <v>0.115</v>
      </c>
      <c r="BK104" s="705">
        <f t="shared" si="412"/>
        <v>0.11394408954264561</v>
      </c>
      <c r="BL104" s="215"/>
      <c r="BM104" s="337">
        <f t="shared" ref="BM104:BX104" si="413">BM103/BM93</f>
        <v>0.36595782776972996</v>
      </c>
      <c r="BN104" s="275">
        <f t="shared" si="413"/>
        <v>0.30553371904948734</v>
      </c>
      <c r="BO104" s="275">
        <f t="shared" si="413"/>
        <v>0.31378166923375228</v>
      </c>
      <c r="BP104" s="275">
        <f t="shared" si="413"/>
        <v>0.7792125207641204</v>
      </c>
      <c r="BQ104" s="275">
        <f t="shared" si="413"/>
        <v>0.32404760268480987</v>
      </c>
      <c r="BR104" s="275">
        <f t="shared" si="413"/>
        <v>0.21360109539023278</v>
      </c>
      <c r="BS104" s="275">
        <f t="shared" si="413"/>
        <v>0.26287471176018445</v>
      </c>
      <c r="BT104" s="704">
        <f t="shared" si="413"/>
        <v>0.23698193411264612</v>
      </c>
      <c r="BU104" s="704">
        <f t="shared" si="413"/>
        <v>0.22705882352941176</v>
      </c>
      <c r="BV104" s="704">
        <f t="shared" si="413"/>
        <v>0.19279778393351801</v>
      </c>
      <c r="BW104" s="704">
        <f t="shared" si="413"/>
        <v>0.12003610108303249</v>
      </c>
      <c r="BX104" s="704">
        <f t="shared" si="413"/>
        <v>0.1003062787136294</v>
      </c>
      <c r="BY104" s="704">
        <f>BY103/BY93</f>
        <v>6.4553782657616313E-2</v>
      </c>
      <c r="BZ104" s="705">
        <f>BZ103/BZ93</f>
        <v>0.11592824153654144</v>
      </c>
      <c r="CA104" s="705">
        <f>CA103/CA93</f>
        <v>0.11462545943734359</v>
      </c>
      <c r="CB104" s="184"/>
      <c r="CC104" s="184"/>
      <c r="CD104" s="184"/>
    </row>
    <row r="105" spans="1:82" ht="14.25" customHeight="1" collapsed="1">
      <c r="A105" s="203"/>
      <c r="B105" s="217"/>
      <c r="C105" s="216"/>
      <c r="D105" s="353"/>
      <c r="E105" s="353"/>
      <c r="F105" s="356"/>
      <c r="G105" s="354"/>
      <c r="H105" s="353"/>
      <c r="I105" s="353"/>
      <c r="J105" s="356"/>
      <c r="K105" s="354"/>
      <c r="L105" s="353"/>
      <c r="M105" s="353"/>
      <c r="N105" s="356"/>
      <c r="O105" s="354"/>
      <c r="P105" s="353"/>
      <c r="Q105" s="353"/>
      <c r="R105" s="356"/>
      <c r="S105" s="354"/>
      <c r="T105" s="355"/>
      <c r="U105" s="353"/>
      <c r="V105" s="356"/>
      <c r="W105" s="354"/>
      <c r="X105" s="355"/>
      <c r="Y105" s="353"/>
      <c r="Z105" s="356"/>
      <c r="AA105" s="354"/>
      <c r="AB105" s="355"/>
      <c r="AC105" s="353"/>
      <c r="AD105" s="356"/>
      <c r="AE105" s="354"/>
      <c r="AF105" s="355"/>
      <c r="AG105" s="353"/>
      <c r="AH105" s="356"/>
      <c r="AI105" s="354"/>
      <c r="AJ105" s="355"/>
      <c r="AK105" s="353"/>
      <c r="AL105" s="356"/>
      <c r="AM105" s="358"/>
      <c r="AN105" s="359"/>
      <c r="AO105" s="359"/>
      <c r="AP105" s="359"/>
      <c r="AQ105" s="358"/>
      <c r="AR105" s="359"/>
      <c r="AS105" s="359"/>
      <c r="AT105" s="359"/>
      <c r="AU105" s="358"/>
      <c r="AV105" s="359"/>
      <c r="AW105" s="359"/>
      <c r="AX105" s="359"/>
      <c r="AY105" s="715"/>
      <c r="AZ105" s="359"/>
      <c r="BA105" s="356"/>
      <c r="BB105" s="356"/>
      <c r="BC105" s="357"/>
      <c r="BD105" s="356"/>
      <c r="BE105" s="356"/>
      <c r="BF105" s="356"/>
      <c r="BG105" s="357"/>
      <c r="BH105" s="356"/>
      <c r="BI105" s="356"/>
      <c r="BJ105" s="356"/>
      <c r="BK105" s="357"/>
      <c r="BL105" s="215"/>
      <c r="BM105" s="355"/>
      <c r="BN105" s="353"/>
      <c r="BO105" s="353"/>
      <c r="BP105" s="353"/>
      <c r="BQ105" s="353"/>
      <c r="BR105" s="353"/>
      <c r="BS105" s="353"/>
      <c r="BT105" s="714"/>
      <c r="BU105" s="714"/>
      <c r="BV105" s="714"/>
      <c r="BW105" s="714"/>
      <c r="BX105" s="714"/>
      <c r="BY105" s="714"/>
      <c r="BZ105" s="715"/>
      <c r="CA105" s="715"/>
      <c r="CB105" s="184"/>
      <c r="CC105" s="184"/>
      <c r="CD105" s="184"/>
    </row>
    <row r="106" spans="1:82" ht="14.25" customHeight="1">
      <c r="A106" s="203"/>
      <c r="B106" s="321" t="s">
        <v>327</v>
      </c>
      <c r="C106" s="320"/>
      <c r="D106" s="332">
        <f t="shared" ref="D106:AQ106" si="414">D89-D96</f>
        <v>142.78000000000006</v>
      </c>
      <c r="E106" s="332">
        <f t="shared" si="414"/>
        <v>412.81400000000014</v>
      </c>
      <c r="F106" s="332">
        <f t="shared" si="414"/>
        <v>512.04000000000019</v>
      </c>
      <c r="G106" s="333">
        <f t="shared" si="414"/>
        <v>449.029</v>
      </c>
      <c r="H106" s="332">
        <f t="shared" si="414"/>
        <v>403.47599999999983</v>
      </c>
      <c r="I106" s="332">
        <f t="shared" si="414"/>
        <v>411.4440000000003</v>
      </c>
      <c r="J106" s="332">
        <f t="shared" si="414"/>
        <v>473.51499999999982</v>
      </c>
      <c r="K106" s="333">
        <f t="shared" si="414"/>
        <v>421.76099999999997</v>
      </c>
      <c r="L106" s="332">
        <f t="shared" si="414"/>
        <v>262.37600000000009</v>
      </c>
      <c r="M106" s="332">
        <f t="shared" si="414"/>
        <v>302.50699999999995</v>
      </c>
      <c r="N106" s="332">
        <f t="shared" si="414"/>
        <v>164.76799999999974</v>
      </c>
      <c r="O106" s="333">
        <f t="shared" si="414"/>
        <v>231.09499999999997</v>
      </c>
      <c r="P106" s="332">
        <f t="shared" si="414"/>
        <v>-132.934</v>
      </c>
      <c r="Q106" s="332">
        <f t="shared" si="414"/>
        <v>-255.39</v>
      </c>
      <c r="R106" s="332">
        <f t="shared" si="414"/>
        <v>-54.864999999999995</v>
      </c>
      <c r="S106" s="333">
        <f t="shared" si="414"/>
        <v>137.86200000000002</v>
      </c>
      <c r="T106" s="334">
        <f t="shared" si="414"/>
        <v>82.75100000000009</v>
      </c>
      <c r="U106" s="332">
        <f t="shared" si="414"/>
        <v>263.97200000000009</v>
      </c>
      <c r="V106" s="332">
        <f t="shared" si="414"/>
        <v>123.09599999999996</v>
      </c>
      <c r="W106" s="333">
        <f t="shared" si="414"/>
        <v>467.79699999999997</v>
      </c>
      <c r="X106" s="334">
        <f t="shared" si="414"/>
        <v>506</v>
      </c>
      <c r="Y106" s="332">
        <f t="shared" si="414"/>
        <v>489</v>
      </c>
      <c r="Z106" s="332">
        <f t="shared" si="414"/>
        <v>476</v>
      </c>
      <c r="AA106" s="333">
        <f t="shared" si="414"/>
        <v>456</v>
      </c>
      <c r="AB106" s="334">
        <f t="shared" si="414"/>
        <v>117</v>
      </c>
      <c r="AC106" s="332">
        <f t="shared" si="414"/>
        <v>289</v>
      </c>
      <c r="AD106" s="332">
        <f t="shared" si="414"/>
        <v>218</v>
      </c>
      <c r="AE106" s="333">
        <f t="shared" si="414"/>
        <v>-515</v>
      </c>
      <c r="AF106" s="334">
        <f t="shared" si="414"/>
        <v>34</v>
      </c>
      <c r="AG106" s="332">
        <f t="shared" si="414"/>
        <v>-129</v>
      </c>
      <c r="AH106" s="332">
        <f t="shared" si="414"/>
        <v>168</v>
      </c>
      <c r="AI106" s="333">
        <f t="shared" si="414"/>
        <v>183</v>
      </c>
      <c r="AJ106" s="334">
        <f t="shared" si="414"/>
        <v>253</v>
      </c>
      <c r="AK106" s="332">
        <f t="shared" si="414"/>
        <v>262</v>
      </c>
      <c r="AL106" s="332">
        <f t="shared" si="414"/>
        <v>301</v>
      </c>
      <c r="AM106" s="335">
        <f t="shared" si="414"/>
        <v>256</v>
      </c>
      <c r="AN106" s="334">
        <f t="shared" si="414"/>
        <v>348</v>
      </c>
      <c r="AO106" s="332">
        <f t="shared" si="414"/>
        <v>364</v>
      </c>
      <c r="AP106" s="332">
        <f t="shared" si="414"/>
        <v>329</v>
      </c>
      <c r="AQ106" s="335">
        <f t="shared" si="414"/>
        <v>336</v>
      </c>
      <c r="AR106" s="334">
        <f t="shared" ref="AR106:AW106" si="415">AR89-AR96</f>
        <v>286</v>
      </c>
      <c r="AS106" s="332">
        <f t="shared" si="415"/>
        <v>320</v>
      </c>
      <c r="AT106" s="332">
        <f t="shared" si="415"/>
        <v>505</v>
      </c>
      <c r="AU106" s="335">
        <f t="shared" si="415"/>
        <v>610</v>
      </c>
      <c r="AV106" s="334">
        <f t="shared" si="415"/>
        <v>703</v>
      </c>
      <c r="AW106" s="332">
        <f t="shared" si="415"/>
        <v>824</v>
      </c>
      <c r="AX106" s="332">
        <f t="shared" ref="AX106:AZ106" si="416">AX89-AX96</f>
        <v>925</v>
      </c>
      <c r="AY106" s="712">
        <f t="shared" si="416"/>
        <v>982</v>
      </c>
      <c r="AZ106" s="334">
        <f t="shared" si="416"/>
        <v>135</v>
      </c>
      <c r="BA106" s="332">
        <f t="shared" ref="BA106:BG106" si="417">BA89-BA96</f>
        <v>1180.213034684273</v>
      </c>
      <c r="BB106" s="332">
        <f t="shared" si="417"/>
        <v>1110.0361922414725</v>
      </c>
      <c r="BC106" s="333">
        <f t="shared" si="417"/>
        <v>1120.5499734749899</v>
      </c>
      <c r="BD106" s="711">
        <f t="shared" si="417"/>
        <v>986.85191582393418</v>
      </c>
      <c r="BE106" s="711">
        <f t="shared" si="417"/>
        <v>987.09280483287193</v>
      </c>
      <c r="BF106" s="711">
        <f t="shared" si="417"/>
        <v>977.88533664776821</v>
      </c>
      <c r="BG106" s="712">
        <f t="shared" si="417"/>
        <v>997.67693238544575</v>
      </c>
      <c r="BH106" s="711">
        <f t="shared" ref="BH106:BK106" si="418">BH89-BH96</f>
        <v>998.22335401252178</v>
      </c>
      <c r="BI106" s="711">
        <f t="shared" si="418"/>
        <v>1006.2647702372287</v>
      </c>
      <c r="BJ106" s="711">
        <f t="shared" si="418"/>
        <v>1020.346843036396</v>
      </c>
      <c r="BK106" s="712">
        <f t="shared" si="418"/>
        <v>1021.9190416952623</v>
      </c>
      <c r="BL106" s="215"/>
      <c r="BM106" s="334">
        <f t="shared" ref="BM106:BX106" si="419">BM89-BM96</f>
        <v>1516.6630000000014</v>
      </c>
      <c r="BN106" s="332">
        <f t="shared" si="419"/>
        <v>1710.1959999999999</v>
      </c>
      <c r="BO106" s="332">
        <f t="shared" si="419"/>
        <v>960.74599999999964</v>
      </c>
      <c r="BP106" s="332">
        <f t="shared" si="419"/>
        <v>-305.327</v>
      </c>
      <c r="BQ106" s="332">
        <f t="shared" si="419"/>
        <v>937.61599999999919</v>
      </c>
      <c r="BR106" s="332">
        <f t="shared" si="419"/>
        <v>1927</v>
      </c>
      <c r="BS106" s="332">
        <f t="shared" si="419"/>
        <v>109</v>
      </c>
      <c r="BT106" s="711">
        <f t="shared" si="419"/>
        <v>256</v>
      </c>
      <c r="BU106" s="711">
        <f t="shared" si="419"/>
        <v>1072</v>
      </c>
      <c r="BV106" s="711">
        <f t="shared" si="419"/>
        <v>1377</v>
      </c>
      <c r="BW106" s="711">
        <f t="shared" si="419"/>
        <v>1721</v>
      </c>
      <c r="BX106" s="711">
        <f t="shared" si="419"/>
        <v>3434</v>
      </c>
      <c r="BY106" s="711">
        <f>BY89-BY96</f>
        <v>3545.7992004007347</v>
      </c>
      <c r="BZ106" s="712">
        <f>BZ89-BZ96</f>
        <v>3949.5069896900195</v>
      </c>
      <c r="CA106" s="712">
        <f>CA89-CA96</f>
        <v>4046.7540089814088</v>
      </c>
      <c r="CB106" s="184"/>
      <c r="CC106" s="184"/>
      <c r="CD106" s="184"/>
    </row>
    <row r="107" spans="1:82" ht="14.25" hidden="1" customHeight="1" outlineLevel="1">
      <c r="A107" s="203"/>
      <c r="B107" s="262" t="s">
        <v>326</v>
      </c>
      <c r="C107" s="261"/>
      <c r="D107" s="275">
        <f t="shared" ref="D107:AQ107" si="420">D106/D$7</f>
        <v>7.6862949452840043E-2</v>
      </c>
      <c r="E107" s="275">
        <f t="shared" si="420"/>
        <v>0.18366177482086027</v>
      </c>
      <c r="F107" s="275">
        <f t="shared" si="420"/>
        <v>0.20131766271152926</v>
      </c>
      <c r="G107" s="277">
        <f t="shared" si="420"/>
        <v>0.17830689280397474</v>
      </c>
      <c r="H107" s="275">
        <f t="shared" si="420"/>
        <v>0.17717553541152611</v>
      </c>
      <c r="I107" s="275">
        <f t="shared" si="420"/>
        <v>0.16265431037243233</v>
      </c>
      <c r="J107" s="275">
        <f t="shared" si="420"/>
        <v>0.18489572757971148</v>
      </c>
      <c r="K107" s="277">
        <f t="shared" si="420"/>
        <v>0.17818046474843729</v>
      </c>
      <c r="L107" s="275">
        <f t="shared" si="420"/>
        <v>0.12569530376828178</v>
      </c>
      <c r="M107" s="275">
        <f t="shared" si="420"/>
        <v>0.14070106111726613</v>
      </c>
      <c r="N107" s="275">
        <f t="shared" si="420"/>
        <v>8.9152068426679693E-2</v>
      </c>
      <c r="O107" s="277">
        <f t="shared" si="420"/>
        <v>0.1130780451118254</v>
      </c>
      <c r="P107" s="275">
        <f t="shared" si="420"/>
        <v>-9.9695814296728053E-2</v>
      </c>
      <c r="Q107" s="275">
        <f t="shared" si="420"/>
        <v>-0.25036345295502199</v>
      </c>
      <c r="R107" s="275">
        <f t="shared" si="420"/>
        <v>-4.8392929595850898E-2</v>
      </c>
      <c r="S107" s="277">
        <f t="shared" si="420"/>
        <v>9.031875125295305E-2</v>
      </c>
      <c r="T107" s="337">
        <f t="shared" si="420"/>
        <v>4.47568340561047E-2</v>
      </c>
      <c r="U107" s="275">
        <f t="shared" si="420"/>
        <v>0.11499342202706121</v>
      </c>
      <c r="V107" s="275">
        <f t="shared" si="420"/>
        <v>4.8890495235901311E-2</v>
      </c>
      <c r="W107" s="277">
        <f t="shared" si="420"/>
        <v>0.1620673945541819</v>
      </c>
      <c r="X107" s="337">
        <f t="shared" si="420"/>
        <v>0.18838421444527179</v>
      </c>
      <c r="Y107" s="275">
        <f t="shared" si="420"/>
        <v>0.17085953878406709</v>
      </c>
      <c r="Z107" s="275">
        <f t="shared" si="420"/>
        <v>0.1707929673484033</v>
      </c>
      <c r="AA107" s="277">
        <f t="shared" si="420"/>
        <v>0.20898258478460127</v>
      </c>
      <c r="AB107" s="337">
        <f t="shared" si="420"/>
        <v>5.3449063499314754E-2</v>
      </c>
      <c r="AC107" s="275">
        <f t="shared" si="420"/>
        <v>0.11373475009838646</v>
      </c>
      <c r="AD107" s="275">
        <f t="shared" si="420"/>
        <v>9.3043107127614169E-2</v>
      </c>
      <c r="AE107" s="277">
        <f t="shared" si="420"/>
        <v>-0.31287970838396112</v>
      </c>
      <c r="AF107" s="337">
        <f t="shared" si="420"/>
        <v>2.1614748887476162E-2</v>
      </c>
      <c r="AG107" s="275">
        <f t="shared" si="420"/>
        <v>-6.5382665990876832E-2</v>
      </c>
      <c r="AH107" s="275">
        <f t="shared" si="420"/>
        <v>8.5063291139240507E-2</v>
      </c>
      <c r="AI107" s="277">
        <f t="shared" si="420"/>
        <v>9.2052313883299805E-2</v>
      </c>
      <c r="AJ107" s="337">
        <f t="shared" si="420"/>
        <v>0.11552511415525114</v>
      </c>
      <c r="AK107" s="275">
        <f t="shared" si="420"/>
        <v>0.111347216319592</v>
      </c>
      <c r="AL107" s="275">
        <f t="shared" si="420"/>
        <v>0.13289183222958056</v>
      </c>
      <c r="AM107" s="338">
        <f t="shared" si="420"/>
        <v>0.11307420494699646</v>
      </c>
      <c r="AN107" s="337">
        <f t="shared" si="420"/>
        <v>0.14752013565069944</v>
      </c>
      <c r="AO107" s="275">
        <f t="shared" si="420"/>
        <v>0.14905814905814907</v>
      </c>
      <c r="AP107" s="275">
        <f t="shared" si="420"/>
        <v>0.13212851405622489</v>
      </c>
      <c r="AQ107" s="338">
        <f t="shared" si="420"/>
        <v>0.14189189189189189</v>
      </c>
      <c r="AR107" s="337">
        <f t="shared" ref="AR107:AW107" si="421">AR106/AR$7</f>
        <v>0.12671688081524146</v>
      </c>
      <c r="AS107" s="275">
        <f t="shared" si="421"/>
        <v>0.1306122448979592</v>
      </c>
      <c r="AT107" s="275">
        <f t="shared" si="421"/>
        <v>0.17901453385324353</v>
      </c>
      <c r="AU107" s="338">
        <f t="shared" si="421"/>
        <v>0.18501668183196845</v>
      </c>
      <c r="AV107" s="337">
        <f t="shared" si="421"/>
        <v>0.21446003660768762</v>
      </c>
      <c r="AW107" s="275">
        <f t="shared" si="421"/>
        <v>0.2323745064861816</v>
      </c>
      <c r="AX107" s="275">
        <f t="shared" ref="AX107:AZ107" si="422">AX106/AX$7</f>
        <v>0.24706196581196582</v>
      </c>
      <c r="AY107" s="705">
        <f t="shared" si="422"/>
        <v>0.24741748551272361</v>
      </c>
      <c r="AZ107" s="713">
        <f t="shared" si="422"/>
        <v>3.2112274024738346E-2</v>
      </c>
      <c r="BA107" s="275">
        <f t="shared" ref="BA107:BG107" si="423">BA106/BA$7</f>
        <v>0.26463516641970486</v>
      </c>
      <c r="BB107" s="275">
        <f t="shared" si="423"/>
        <v>0.25560072256002225</v>
      </c>
      <c r="BC107" s="277">
        <f t="shared" si="423"/>
        <v>0.25637473682727302</v>
      </c>
      <c r="BD107" s="704">
        <f t="shared" si="423"/>
        <v>0.23281885245585002</v>
      </c>
      <c r="BE107" s="704">
        <f t="shared" si="423"/>
        <v>0.23079852464665643</v>
      </c>
      <c r="BF107" s="704">
        <f t="shared" si="423"/>
        <v>0.22735226959524077</v>
      </c>
      <c r="BG107" s="705">
        <f t="shared" si="423"/>
        <v>0.22884055775761131</v>
      </c>
      <c r="BH107" s="704">
        <f t="shared" ref="BH107:BK107" si="424">BH106/BH$7</f>
        <v>0.230693175411361</v>
      </c>
      <c r="BI107" s="704">
        <f t="shared" si="424"/>
        <v>0.23052436024230596</v>
      </c>
      <c r="BJ107" s="704">
        <f t="shared" si="424"/>
        <v>0.23135899226584422</v>
      </c>
      <c r="BK107" s="705">
        <f t="shared" si="424"/>
        <v>0.2314779682139998</v>
      </c>
      <c r="BL107" s="215"/>
      <c r="BM107" s="337">
        <f t="shared" ref="BM107:BX107" si="425">BM106/BM$7</f>
        <v>0.16544787648409845</v>
      </c>
      <c r="BN107" s="275">
        <f t="shared" si="425"/>
        <v>0.17567758578041626</v>
      </c>
      <c r="BO107" s="275">
        <f t="shared" si="425"/>
        <v>0.11818398767904499</v>
      </c>
      <c r="BP107" s="275">
        <f t="shared" si="425"/>
        <v>-6.0899667644472334E-2</v>
      </c>
      <c r="BQ107" s="275">
        <f t="shared" si="425"/>
        <v>9.8193391810605532E-2</v>
      </c>
      <c r="BR107" s="275">
        <f t="shared" si="425"/>
        <v>0.18322715603308928</v>
      </c>
      <c r="BS107" s="275">
        <f t="shared" si="425"/>
        <v>1.250143365064801E-2</v>
      </c>
      <c r="BT107" s="704">
        <f t="shared" si="425"/>
        <v>3.4092422426421624E-2</v>
      </c>
      <c r="BU107" s="704">
        <f t="shared" si="425"/>
        <v>0.11816578483245149</v>
      </c>
      <c r="BV107" s="704">
        <f t="shared" si="425"/>
        <v>0.14256134175380475</v>
      </c>
      <c r="BW107" s="704">
        <f t="shared" si="425"/>
        <v>0.15898383371824482</v>
      </c>
      <c r="BX107" s="704">
        <f t="shared" si="425"/>
        <v>0.23622480566829471</v>
      </c>
      <c r="BY107" s="704">
        <f>BY106/BY$7</f>
        <v>0.20404686302900957</v>
      </c>
      <c r="BZ107" s="705">
        <f>BZ106/BZ$7</f>
        <v>0.22993713860062751</v>
      </c>
      <c r="CA107" s="705">
        <f>CA106/CA$7</f>
        <v>0.23101652568954087</v>
      </c>
      <c r="CB107" s="184"/>
      <c r="CC107" s="184"/>
      <c r="CD107" s="184"/>
    </row>
    <row r="108" spans="1:82" ht="14.25" hidden="1" customHeight="1" outlineLevel="1">
      <c r="A108" s="203"/>
      <c r="B108" s="217" t="s">
        <v>325</v>
      </c>
      <c r="C108" s="216"/>
      <c r="D108" s="220">
        <f t="shared" ref="D108:AA108" si="426">(-D10+D18+D37+D47)+D60+D85+D99</f>
        <v>-99.619</v>
      </c>
      <c r="E108" s="220">
        <f t="shared" si="426"/>
        <v>-14.956</v>
      </c>
      <c r="F108" s="220">
        <f t="shared" si="426"/>
        <v>-5.8689999999999998</v>
      </c>
      <c r="G108" s="226">
        <f t="shared" si="426"/>
        <v>-22.268000000000001</v>
      </c>
      <c r="H108" s="220">
        <f t="shared" si="426"/>
        <v>1.7050000000000036</v>
      </c>
      <c r="I108" s="220">
        <f t="shared" si="426"/>
        <v>97.750999999999976</v>
      </c>
      <c r="J108" s="220">
        <f t="shared" si="426"/>
        <v>44.869</v>
      </c>
      <c r="K108" s="226">
        <f t="shared" si="426"/>
        <v>50.125</v>
      </c>
      <c r="L108" s="220">
        <f t="shared" si="426"/>
        <v>82.441000000000003</v>
      </c>
      <c r="M108" s="220">
        <f t="shared" si="426"/>
        <v>59.093000000000018</v>
      </c>
      <c r="N108" s="220">
        <f t="shared" si="426"/>
        <v>62.923000000000016</v>
      </c>
      <c r="O108" s="226">
        <f t="shared" si="426"/>
        <v>32.809999999999995</v>
      </c>
      <c r="P108" s="220">
        <f t="shared" si="426"/>
        <v>129.46600000000001</v>
      </c>
      <c r="Q108" s="220">
        <f t="shared" si="426"/>
        <v>119.74600000000001</v>
      </c>
      <c r="R108" s="220">
        <f t="shared" si="426"/>
        <v>22.109000000000002</v>
      </c>
      <c r="S108" s="226">
        <f t="shared" si="426"/>
        <v>16.992999999999999</v>
      </c>
      <c r="T108" s="309">
        <f t="shared" si="426"/>
        <v>96.248999999999995</v>
      </c>
      <c r="U108" s="220">
        <f t="shared" si="426"/>
        <v>28.18</v>
      </c>
      <c r="V108" s="220">
        <f t="shared" si="426"/>
        <v>110.46799999999998</v>
      </c>
      <c r="W108" s="226">
        <f t="shared" si="426"/>
        <v>7.7810000000000556</v>
      </c>
      <c r="X108" s="309">
        <f t="shared" si="426"/>
        <v>-22</v>
      </c>
      <c r="Y108" s="220">
        <f t="shared" si="426"/>
        <v>12</v>
      </c>
      <c r="Z108" s="220">
        <f t="shared" si="426"/>
        <v>-9</v>
      </c>
      <c r="AA108" s="226">
        <f t="shared" si="426"/>
        <v>-185</v>
      </c>
      <c r="AB108" s="309">
        <f t="shared" ref="AB108:AQ108" si="427">(-AB10+AB18+AB37+AB47)+AB60+AB85+AB99</f>
        <v>123</v>
      </c>
      <c r="AC108" s="220">
        <f t="shared" si="427"/>
        <v>60</v>
      </c>
      <c r="AD108" s="220">
        <f t="shared" si="427"/>
        <v>82</v>
      </c>
      <c r="AE108" s="226">
        <f t="shared" si="427"/>
        <v>585</v>
      </c>
      <c r="AF108" s="309">
        <f t="shared" si="427"/>
        <v>35</v>
      </c>
      <c r="AG108" s="220">
        <f t="shared" si="427"/>
        <v>328</v>
      </c>
      <c r="AH108" s="220">
        <f t="shared" si="427"/>
        <v>54</v>
      </c>
      <c r="AI108" s="226">
        <f t="shared" si="427"/>
        <v>45</v>
      </c>
      <c r="AJ108" s="309">
        <f t="shared" si="427"/>
        <v>26</v>
      </c>
      <c r="AK108" s="220">
        <f t="shared" si="427"/>
        <v>86</v>
      </c>
      <c r="AL108" s="220">
        <f t="shared" si="427"/>
        <v>48</v>
      </c>
      <c r="AM108" s="345">
        <f t="shared" si="427"/>
        <v>82</v>
      </c>
      <c r="AN108" s="309">
        <f t="shared" si="427"/>
        <v>-10</v>
      </c>
      <c r="AO108" s="220">
        <f t="shared" si="427"/>
        <v>-2</v>
      </c>
      <c r="AP108" s="220">
        <f t="shared" si="427"/>
        <v>81</v>
      </c>
      <c r="AQ108" s="345">
        <f t="shared" si="427"/>
        <v>11</v>
      </c>
      <c r="AR108" s="309">
        <f t="shared" ref="AR108:AW108" si="428">(-AR10+AR18+AR37+AR47)+AR60+AR85+AR99</f>
        <v>16</v>
      </c>
      <c r="AS108" s="220">
        <f t="shared" si="428"/>
        <v>56</v>
      </c>
      <c r="AT108" s="220">
        <f t="shared" si="428"/>
        <v>45</v>
      </c>
      <c r="AU108" s="345">
        <f t="shared" si="428"/>
        <v>112</v>
      </c>
      <c r="AV108" s="309">
        <f t="shared" si="428"/>
        <v>29</v>
      </c>
      <c r="AW108" s="220">
        <f t="shared" si="428"/>
        <v>37</v>
      </c>
      <c r="AX108" s="220">
        <f t="shared" ref="AX108:AZ108" si="429">(-AX10+AX18+AX37+AX47)+AX60+AX85+AX99</f>
        <v>2</v>
      </c>
      <c r="AY108" s="738">
        <f t="shared" si="429"/>
        <v>23</v>
      </c>
      <c r="AZ108" s="747">
        <f t="shared" si="429"/>
        <v>1000</v>
      </c>
      <c r="BA108" s="220">
        <f t="shared" ref="BA108:BG108" si="430">(-BA10+BA18+BA37+BA47)+BA60+BA85+BA99</f>
        <v>38.340000000000003</v>
      </c>
      <c r="BB108" s="220">
        <f t="shared" si="430"/>
        <v>38.39</v>
      </c>
      <c r="BC108" s="226">
        <f t="shared" si="430"/>
        <v>38.44</v>
      </c>
      <c r="BD108" s="735">
        <f t="shared" si="430"/>
        <v>38.46</v>
      </c>
      <c r="BE108" s="735">
        <f t="shared" si="430"/>
        <v>38.480000000000004</v>
      </c>
      <c r="BF108" s="735">
        <f t="shared" si="430"/>
        <v>38.5</v>
      </c>
      <c r="BG108" s="738">
        <f t="shared" si="430"/>
        <v>38.519999999999996</v>
      </c>
      <c r="BH108" s="735">
        <f t="shared" ref="BH108:BK108" si="431">(-BH10+BH18+BH37+BH47)+BH60+BH85+BH99</f>
        <v>38.524999999999999</v>
      </c>
      <c r="BI108" s="735">
        <f t="shared" si="431"/>
        <v>38.53</v>
      </c>
      <c r="BJ108" s="735">
        <f t="shared" si="431"/>
        <v>38.534999999999997</v>
      </c>
      <c r="BK108" s="738">
        <f t="shared" si="431"/>
        <v>38.54</v>
      </c>
      <c r="BL108" s="215"/>
      <c r="BM108" s="309">
        <f t="shared" ref="BM108:BX108" si="432">(-BM10+BM18+BM37+BM47)+BM60+BM85+BM99</f>
        <v>-142.71199999999999</v>
      </c>
      <c r="BN108" s="220">
        <f t="shared" si="432"/>
        <v>194.45000000000002</v>
      </c>
      <c r="BO108" s="220">
        <f t="shared" si="432"/>
        <v>237.267</v>
      </c>
      <c r="BP108" s="220">
        <f t="shared" si="432"/>
        <v>288.31400000000008</v>
      </c>
      <c r="BQ108" s="220">
        <f t="shared" si="432"/>
        <v>242.67800000000005</v>
      </c>
      <c r="BR108" s="220">
        <f t="shared" si="432"/>
        <v>-204</v>
      </c>
      <c r="BS108" s="220">
        <f t="shared" si="432"/>
        <v>850</v>
      </c>
      <c r="BT108" s="735">
        <f t="shared" si="432"/>
        <v>462</v>
      </c>
      <c r="BU108" s="735">
        <f t="shared" si="432"/>
        <v>242</v>
      </c>
      <c r="BV108" s="700">
        <f t="shared" si="432"/>
        <v>80</v>
      </c>
      <c r="BW108" s="700">
        <f t="shared" si="432"/>
        <v>229</v>
      </c>
      <c r="BX108" s="700">
        <f t="shared" si="432"/>
        <v>91</v>
      </c>
      <c r="BY108" s="735">
        <f>(-BY10+BY18+BY37+BY47)+BY60+BY85+BY99</f>
        <v>1115.17</v>
      </c>
      <c r="BZ108" s="738">
        <f>(-BZ10+BZ18+BZ37+BZ47)+BZ60+BZ85+BZ99</f>
        <v>153.95999999999998</v>
      </c>
      <c r="CA108" s="738">
        <f>(-CA10+CA18+CA37+CA47)+CA60+CA85+CA99</f>
        <v>154.13</v>
      </c>
      <c r="CB108" s="184"/>
      <c r="CC108" s="184"/>
      <c r="CD108" s="184"/>
    </row>
    <row r="109" spans="1:82" ht="14.25" hidden="1" customHeight="1" outlineLevel="1">
      <c r="A109" s="203"/>
      <c r="B109" s="217" t="s">
        <v>324</v>
      </c>
      <c r="C109" s="216"/>
      <c r="D109" s="220">
        <f t="shared" ref="D109:AQ109" si="433">-D120</f>
        <v>0</v>
      </c>
      <c r="E109" s="220">
        <f t="shared" si="433"/>
        <v>0</v>
      </c>
      <c r="F109" s="220">
        <f t="shared" si="433"/>
        <v>0</v>
      </c>
      <c r="G109" s="226">
        <f t="shared" si="433"/>
        <v>0</v>
      </c>
      <c r="H109" s="220">
        <f t="shared" si="433"/>
        <v>0</v>
      </c>
      <c r="I109" s="220">
        <f t="shared" si="433"/>
        <v>0</v>
      </c>
      <c r="J109" s="220">
        <f t="shared" si="433"/>
        <v>0</v>
      </c>
      <c r="K109" s="226">
        <f t="shared" si="433"/>
        <v>0</v>
      </c>
      <c r="L109" s="220">
        <f t="shared" si="433"/>
        <v>0</v>
      </c>
      <c r="M109" s="220">
        <f t="shared" si="433"/>
        <v>0</v>
      </c>
      <c r="N109" s="220">
        <f t="shared" si="433"/>
        <v>0</v>
      </c>
      <c r="O109" s="226">
        <f t="shared" si="433"/>
        <v>0</v>
      </c>
      <c r="P109" s="220">
        <f t="shared" si="433"/>
        <v>0</v>
      </c>
      <c r="Q109" s="220">
        <f t="shared" si="433"/>
        <v>0</v>
      </c>
      <c r="R109" s="220">
        <f t="shared" si="433"/>
        <v>0</v>
      </c>
      <c r="S109" s="226">
        <f t="shared" si="433"/>
        <v>0</v>
      </c>
      <c r="T109" s="309">
        <f t="shared" si="433"/>
        <v>0</v>
      </c>
      <c r="U109" s="220">
        <f t="shared" si="433"/>
        <v>0</v>
      </c>
      <c r="V109" s="220">
        <f t="shared" si="433"/>
        <v>0</v>
      </c>
      <c r="W109" s="226">
        <f t="shared" si="433"/>
        <v>0</v>
      </c>
      <c r="X109" s="309">
        <f t="shared" si="433"/>
        <v>0</v>
      </c>
      <c r="Y109" s="220">
        <f t="shared" si="433"/>
        <v>0</v>
      </c>
      <c r="Z109" s="220">
        <f t="shared" si="433"/>
        <v>0</v>
      </c>
      <c r="AA109" s="226">
        <f t="shared" si="433"/>
        <v>0</v>
      </c>
      <c r="AB109" s="309">
        <f t="shared" si="433"/>
        <v>0</v>
      </c>
      <c r="AC109" s="220">
        <f t="shared" si="433"/>
        <v>0</v>
      </c>
      <c r="AD109" s="220">
        <f t="shared" si="433"/>
        <v>0</v>
      </c>
      <c r="AE109" s="226">
        <f t="shared" si="433"/>
        <v>0</v>
      </c>
      <c r="AF109" s="309">
        <f t="shared" si="433"/>
        <v>0</v>
      </c>
      <c r="AG109" s="220">
        <f t="shared" si="433"/>
        <v>0</v>
      </c>
      <c r="AH109" s="220">
        <f t="shared" si="433"/>
        <v>0</v>
      </c>
      <c r="AI109" s="226">
        <f t="shared" si="433"/>
        <v>0</v>
      </c>
      <c r="AJ109" s="309">
        <f t="shared" si="433"/>
        <v>0</v>
      </c>
      <c r="AK109" s="220">
        <f t="shared" si="433"/>
        <v>0</v>
      </c>
      <c r="AL109" s="220">
        <f t="shared" si="433"/>
        <v>0</v>
      </c>
      <c r="AM109" s="345">
        <f t="shared" si="433"/>
        <v>0</v>
      </c>
      <c r="AN109" s="309">
        <f t="shared" si="433"/>
        <v>0</v>
      </c>
      <c r="AO109" s="220">
        <f t="shared" si="433"/>
        <v>0</v>
      </c>
      <c r="AP109" s="220">
        <f t="shared" si="433"/>
        <v>0</v>
      </c>
      <c r="AQ109" s="345">
        <f t="shared" si="433"/>
        <v>0</v>
      </c>
      <c r="AR109" s="309">
        <f t="shared" ref="AR109:AW109" si="434">-AR120</f>
        <v>0</v>
      </c>
      <c r="AS109" s="220">
        <f t="shared" si="434"/>
        <v>0</v>
      </c>
      <c r="AT109" s="220">
        <f t="shared" si="434"/>
        <v>0</v>
      </c>
      <c r="AU109" s="345">
        <f t="shared" si="434"/>
        <v>0</v>
      </c>
      <c r="AV109" s="309">
        <f t="shared" si="434"/>
        <v>0</v>
      </c>
      <c r="AW109" s="220">
        <f t="shared" si="434"/>
        <v>0</v>
      </c>
      <c r="AX109" s="220">
        <f t="shared" ref="AX109:AZ109" si="435">-AX120</f>
        <v>0</v>
      </c>
      <c r="AY109" s="738">
        <f t="shared" si="435"/>
        <v>0</v>
      </c>
      <c r="AZ109" s="747">
        <f t="shared" si="435"/>
        <v>0</v>
      </c>
      <c r="BA109" s="220">
        <f t="shared" ref="BA109:BG109" si="436">-BA120</f>
        <v>0</v>
      </c>
      <c r="BB109" s="220">
        <f t="shared" si="436"/>
        <v>0</v>
      </c>
      <c r="BC109" s="226">
        <f t="shared" si="436"/>
        <v>0</v>
      </c>
      <c r="BD109" s="735">
        <f t="shared" si="436"/>
        <v>0</v>
      </c>
      <c r="BE109" s="735">
        <f t="shared" si="436"/>
        <v>0</v>
      </c>
      <c r="BF109" s="735">
        <f t="shared" si="436"/>
        <v>0</v>
      </c>
      <c r="BG109" s="738">
        <f t="shared" si="436"/>
        <v>0</v>
      </c>
      <c r="BH109" s="735">
        <f t="shared" ref="BH109:BK109" si="437">-BH120</f>
        <v>0</v>
      </c>
      <c r="BI109" s="735">
        <f t="shared" si="437"/>
        <v>0</v>
      </c>
      <c r="BJ109" s="735">
        <f t="shared" si="437"/>
        <v>0</v>
      </c>
      <c r="BK109" s="738">
        <f t="shared" si="437"/>
        <v>0</v>
      </c>
      <c r="BL109" s="215"/>
      <c r="BM109" s="309">
        <f t="shared" ref="BM109:BX109" si="438">-BM120</f>
        <v>0</v>
      </c>
      <c r="BN109" s="220">
        <f t="shared" si="438"/>
        <v>0</v>
      </c>
      <c r="BO109" s="220">
        <f t="shared" si="438"/>
        <v>0</v>
      </c>
      <c r="BP109" s="220">
        <f t="shared" si="438"/>
        <v>0</v>
      </c>
      <c r="BQ109" s="220">
        <f t="shared" si="438"/>
        <v>0</v>
      </c>
      <c r="BR109" s="220">
        <f t="shared" si="438"/>
        <v>0</v>
      </c>
      <c r="BS109" s="220">
        <f t="shared" si="438"/>
        <v>0</v>
      </c>
      <c r="BT109" s="735">
        <f t="shared" si="438"/>
        <v>0</v>
      </c>
      <c r="BU109" s="735">
        <f t="shared" si="438"/>
        <v>0</v>
      </c>
      <c r="BV109" s="700">
        <f t="shared" si="438"/>
        <v>0</v>
      </c>
      <c r="BW109" s="700">
        <f t="shared" si="438"/>
        <v>0</v>
      </c>
      <c r="BX109" s="700">
        <f t="shared" si="438"/>
        <v>0</v>
      </c>
      <c r="BY109" s="735">
        <f>-BY120</f>
        <v>0</v>
      </c>
      <c r="BZ109" s="738">
        <f>-BZ120</f>
        <v>0</v>
      </c>
      <c r="CA109" s="738">
        <f>-CA120</f>
        <v>0</v>
      </c>
      <c r="CB109" s="184"/>
      <c r="CC109" s="184"/>
      <c r="CD109" s="184"/>
    </row>
    <row r="110" spans="1:82" ht="14.25" customHeight="1" collapsed="1">
      <c r="A110" s="203"/>
      <c r="B110" s="321" t="s">
        <v>323</v>
      </c>
      <c r="C110" s="320"/>
      <c r="D110" s="332">
        <f t="shared" ref="D110:AI110" si="439">D91-D101+D109+D126</f>
        <v>43.161000000000058</v>
      </c>
      <c r="E110" s="332">
        <f t="shared" si="439"/>
        <v>397.85800000000017</v>
      </c>
      <c r="F110" s="332">
        <f t="shared" si="439"/>
        <v>506.17100000000016</v>
      </c>
      <c r="G110" s="333">
        <f t="shared" si="439"/>
        <v>426.76099999999997</v>
      </c>
      <c r="H110" s="332">
        <f t="shared" si="439"/>
        <v>405.18099999999981</v>
      </c>
      <c r="I110" s="332">
        <f t="shared" si="439"/>
        <v>509.19500000000016</v>
      </c>
      <c r="J110" s="332">
        <f t="shared" si="439"/>
        <v>518.38399999999979</v>
      </c>
      <c r="K110" s="333">
        <f t="shared" si="439"/>
        <v>471.88600000000002</v>
      </c>
      <c r="L110" s="332">
        <f t="shared" si="439"/>
        <v>344.81700000000006</v>
      </c>
      <c r="M110" s="332">
        <f t="shared" si="439"/>
        <v>361.6</v>
      </c>
      <c r="N110" s="332">
        <f t="shared" si="439"/>
        <v>227.69099999999986</v>
      </c>
      <c r="O110" s="333">
        <f t="shared" si="439"/>
        <v>263.90499999999997</v>
      </c>
      <c r="P110" s="332">
        <f t="shared" si="439"/>
        <v>-3.4680000000000177</v>
      </c>
      <c r="Q110" s="332">
        <f t="shared" si="439"/>
        <v>-135.64399999999998</v>
      </c>
      <c r="R110" s="332">
        <f t="shared" si="439"/>
        <v>-32.755999999999979</v>
      </c>
      <c r="S110" s="333">
        <f t="shared" si="439"/>
        <v>154.85500000000005</v>
      </c>
      <c r="T110" s="334">
        <f t="shared" si="439"/>
        <v>179.00000000000003</v>
      </c>
      <c r="U110" s="332">
        <f t="shared" si="439"/>
        <v>292.15200000000004</v>
      </c>
      <c r="V110" s="332">
        <f t="shared" si="439"/>
        <v>233.56399999999996</v>
      </c>
      <c r="W110" s="333">
        <f t="shared" si="439"/>
        <v>475.57799999999997</v>
      </c>
      <c r="X110" s="334">
        <f t="shared" si="439"/>
        <v>484</v>
      </c>
      <c r="Y110" s="332">
        <f t="shared" si="439"/>
        <v>501</v>
      </c>
      <c r="Z110" s="332">
        <f t="shared" si="439"/>
        <v>467</v>
      </c>
      <c r="AA110" s="333">
        <f t="shared" si="439"/>
        <v>271</v>
      </c>
      <c r="AB110" s="334">
        <f t="shared" si="439"/>
        <v>240</v>
      </c>
      <c r="AC110" s="332">
        <f t="shared" si="439"/>
        <v>349</v>
      </c>
      <c r="AD110" s="332">
        <f t="shared" si="439"/>
        <v>300</v>
      </c>
      <c r="AE110" s="333">
        <f t="shared" si="439"/>
        <v>70</v>
      </c>
      <c r="AF110" s="334">
        <f t="shared" si="439"/>
        <v>69</v>
      </c>
      <c r="AG110" s="332">
        <f t="shared" si="439"/>
        <v>199</v>
      </c>
      <c r="AH110" s="332">
        <f t="shared" si="439"/>
        <v>222</v>
      </c>
      <c r="AI110" s="333">
        <f t="shared" si="439"/>
        <v>228</v>
      </c>
      <c r="AJ110" s="334">
        <f t="shared" ref="AJ110:AQ110" si="440">AJ91-AJ101+AJ126</f>
        <v>279</v>
      </c>
      <c r="AK110" s="332">
        <f t="shared" si="440"/>
        <v>348</v>
      </c>
      <c r="AL110" s="332">
        <f t="shared" si="440"/>
        <v>349</v>
      </c>
      <c r="AM110" s="335">
        <f t="shared" si="440"/>
        <v>338</v>
      </c>
      <c r="AN110" s="334">
        <f t="shared" si="440"/>
        <v>338</v>
      </c>
      <c r="AO110" s="332">
        <f t="shared" si="440"/>
        <v>362</v>
      </c>
      <c r="AP110" s="332">
        <f t="shared" si="440"/>
        <v>410</v>
      </c>
      <c r="AQ110" s="335">
        <f t="shared" si="440"/>
        <v>347</v>
      </c>
      <c r="AR110" s="334">
        <f t="shared" ref="AR110:AW110" si="441">AR91-AR101+AR126</f>
        <v>302</v>
      </c>
      <c r="AS110" s="332">
        <f t="shared" si="441"/>
        <v>376</v>
      </c>
      <c r="AT110" s="332">
        <f t="shared" si="441"/>
        <v>550</v>
      </c>
      <c r="AU110" s="335">
        <f t="shared" si="441"/>
        <v>722</v>
      </c>
      <c r="AV110" s="334">
        <f t="shared" si="441"/>
        <v>732</v>
      </c>
      <c r="AW110" s="332">
        <f t="shared" si="441"/>
        <v>861</v>
      </c>
      <c r="AX110" s="332">
        <f t="shared" ref="AX110:AZ110" si="442">AX91-AX101+AX126</f>
        <v>927</v>
      </c>
      <c r="AY110" s="712">
        <f t="shared" si="442"/>
        <v>1005</v>
      </c>
      <c r="AZ110" s="334">
        <f t="shared" si="442"/>
        <v>1135</v>
      </c>
      <c r="BA110" s="332">
        <f t="shared" ref="BA110:BG110" si="443">BA91-BA101+BA126</f>
        <v>1218.5530346842731</v>
      </c>
      <c r="BB110" s="332">
        <f t="shared" si="443"/>
        <v>1148.4261922414726</v>
      </c>
      <c r="BC110" s="333">
        <f t="shared" si="443"/>
        <v>1166.5541330587398</v>
      </c>
      <c r="BD110" s="711">
        <f t="shared" si="443"/>
        <v>1025.3119158239342</v>
      </c>
      <c r="BE110" s="711">
        <f t="shared" si="443"/>
        <v>1047.986793582872</v>
      </c>
      <c r="BF110" s="711">
        <f t="shared" si="443"/>
        <v>1016.3853366477682</v>
      </c>
      <c r="BG110" s="712">
        <f t="shared" si="443"/>
        <v>1051.2480167567082</v>
      </c>
      <c r="BH110" s="711">
        <f t="shared" ref="BH110:BK110" si="444">BH91-BH101+BH126</f>
        <v>1036.7483540125218</v>
      </c>
      <c r="BI110" s="711">
        <f t="shared" si="444"/>
        <v>1040.3308009475959</v>
      </c>
      <c r="BJ110" s="711">
        <f t="shared" si="444"/>
        <v>1058.881843036396</v>
      </c>
      <c r="BK110" s="712">
        <f t="shared" si="444"/>
        <v>1049.4699442853703</v>
      </c>
      <c r="BL110" s="215"/>
      <c r="BM110" s="334">
        <f t="shared" ref="BM110:BX110" si="445">BM91-BM101+BM109+BM126</f>
        <v>1373.9510000000014</v>
      </c>
      <c r="BN110" s="332">
        <f t="shared" si="445"/>
        <v>1904.6459999999993</v>
      </c>
      <c r="BO110" s="332">
        <f t="shared" si="445"/>
        <v>1198.0129999999995</v>
      </c>
      <c r="BP110" s="332">
        <f t="shared" si="445"/>
        <v>-17.01299999999992</v>
      </c>
      <c r="BQ110" s="332">
        <f t="shared" si="445"/>
        <v>1180.2939999999994</v>
      </c>
      <c r="BR110" s="332">
        <f t="shared" si="445"/>
        <v>1723</v>
      </c>
      <c r="BS110" s="332">
        <f t="shared" si="445"/>
        <v>959</v>
      </c>
      <c r="BT110" s="711">
        <f t="shared" si="445"/>
        <v>718</v>
      </c>
      <c r="BU110" s="711">
        <f t="shared" si="445"/>
        <v>1314</v>
      </c>
      <c r="BV110" s="711">
        <f t="shared" si="445"/>
        <v>1457</v>
      </c>
      <c r="BW110" s="711">
        <f t="shared" si="445"/>
        <v>1950</v>
      </c>
      <c r="BX110" s="711">
        <f t="shared" si="445"/>
        <v>3525</v>
      </c>
      <c r="BY110" s="711">
        <f>BY91-BY101+BY109+BY126</f>
        <v>4660.9692004007347</v>
      </c>
      <c r="BZ110" s="712">
        <f>BZ91-BZ101+BZ109+BZ126</f>
        <v>4103.4669896900195</v>
      </c>
      <c r="CA110" s="712">
        <f>CA91-CA101+CA109+CA126</f>
        <v>4200.8840089814084</v>
      </c>
      <c r="CB110" s="184"/>
      <c r="CC110" s="184"/>
      <c r="CD110" s="184"/>
    </row>
    <row r="111" spans="1:82" ht="14.25" hidden="1" customHeight="1" outlineLevel="1">
      <c r="A111" s="203"/>
      <c r="B111" s="262" t="s">
        <v>322</v>
      </c>
      <c r="C111" s="261"/>
      <c r="D111" s="275">
        <f t="shared" ref="D111:AQ111" si="446">D110/D$7</f>
        <v>2.3234919185698505E-2</v>
      </c>
      <c r="E111" s="275">
        <f t="shared" si="446"/>
        <v>0.17700782048738131</v>
      </c>
      <c r="F111" s="275">
        <f t="shared" si="446"/>
        <v>0.19901016063658597</v>
      </c>
      <c r="G111" s="277">
        <f t="shared" si="446"/>
        <v>0.1694643951279696</v>
      </c>
      <c r="H111" s="275">
        <f t="shared" si="446"/>
        <v>0.17792423988930584</v>
      </c>
      <c r="I111" s="275">
        <f t="shared" si="446"/>
        <v>0.20129777459408971</v>
      </c>
      <c r="J111" s="275">
        <f t="shared" si="446"/>
        <v>0.20241594637061372</v>
      </c>
      <c r="K111" s="277">
        <f t="shared" si="446"/>
        <v>0.19935666595128779</v>
      </c>
      <c r="L111" s="275">
        <f t="shared" si="446"/>
        <v>0.16518994709679091</v>
      </c>
      <c r="M111" s="275">
        <f t="shared" si="446"/>
        <v>0.16818620296390974</v>
      </c>
      <c r="N111" s="275">
        <f t="shared" si="446"/>
        <v>0.12319821574662036</v>
      </c>
      <c r="O111" s="277">
        <f t="shared" si="446"/>
        <v>0.12913244118322023</v>
      </c>
      <c r="P111" s="275">
        <f t="shared" si="446"/>
        <v>-2.6008777587453523E-3</v>
      </c>
      <c r="Q111" s="275">
        <f t="shared" si="446"/>
        <v>-0.13297427547136145</v>
      </c>
      <c r="R111" s="275">
        <f t="shared" si="446"/>
        <v>-2.8891985816853934E-2</v>
      </c>
      <c r="S111" s="277">
        <f t="shared" si="446"/>
        <v>0.10145152562182506</v>
      </c>
      <c r="T111" s="337">
        <f t="shared" si="446"/>
        <v>9.6814217303026348E-2</v>
      </c>
      <c r="U111" s="275">
        <f t="shared" si="446"/>
        <v>0.12726940066389611</v>
      </c>
      <c r="V111" s="275">
        <f t="shared" si="446"/>
        <v>9.2765480838354258E-2</v>
      </c>
      <c r="W111" s="277">
        <f t="shared" si="446"/>
        <v>0.16476310743183203</v>
      </c>
      <c r="X111" s="337">
        <f t="shared" si="446"/>
        <v>0.18019359642591215</v>
      </c>
      <c r="Y111" s="275">
        <f t="shared" si="446"/>
        <v>0.1750524109014675</v>
      </c>
      <c r="Z111" s="275">
        <f t="shared" si="446"/>
        <v>0.16756368855400072</v>
      </c>
      <c r="AA111" s="277">
        <f t="shared" si="446"/>
        <v>0.12419798350137488</v>
      </c>
      <c r="AB111" s="337">
        <f t="shared" si="446"/>
        <v>0.10963910461397898</v>
      </c>
      <c r="AC111" s="275">
        <f t="shared" si="446"/>
        <v>0.13734750098386461</v>
      </c>
      <c r="AD111" s="275">
        <f t="shared" si="446"/>
        <v>0.12804097311139565</v>
      </c>
      <c r="AE111" s="277">
        <f t="shared" si="446"/>
        <v>4.25273390036452E-2</v>
      </c>
      <c r="AF111" s="337">
        <f t="shared" si="446"/>
        <v>4.3865225683407505E-2</v>
      </c>
      <c r="AG111" s="275">
        <f t="shared" si="446"/>
        <v>0.10086163203243791</v>
      </c>
      <c r="AH111" s="275">
        <f t="shared" si="446"/>
        <v>0.11240506329113924</v>
      </c>
      <c r="AI111" s="277">
        <f t="shared" si="446"/>
        <v>0.11468812877263582</v>
      </c>
      <c r="AJ111" s="337">
        <f t="shared" si="446"/>
        <v>0.12739726027397261</v>
      </c>
      <c r="AK111" s="275">
        <f t="shared" si="446"/>
        <v>0.14789630259243519</v>
      </c>
      <c r="AL111" s="275">
        <f t="shared" si="446"/>
        <v>0.15408388520971303</v>
      </c>
      <c r="AM111" s="338">
        <f t="shared" si="446"/>
        <v>0.14929328621908128</v>
      </c>
      <c r="AN111" s="337">
        <f t="shared" si="446"/>
        <v>0.14328105129292074</v>
      </c>
      <c r="AO111" s="275">
        <f t="shared" si="446"/>
        <v>0.14823914823914824</v>
      </c>
      <c r="AP111" s="275">
        <f t="shared" si="446"/>
        <v>0.1646586345381526</v>
      </c>
      <c r="AQ111" s="338">
        <f t="shared" si="446"/>
        <v>0.14653716216216217</v>
      </c>
      <c r="AR111" s="337">
        <f t="shared" ref="AR111:AW111" si="447">AR110/AR$7</f>
        <v>0.1338059370846256</v>
      </c>
      <c r="AS111" s="275">
        <f t="shared" si="447"/>
        <v>0.15346938775510205</v>
      </c>
      <c r="AT111" s="275">
        <f t="shared" si="447"/>
        <v>0.19496632399858208</v>
      </c>
      <c r="AU111" s="338">
        <f t="shared" si="447"/>
        <v>0.21898695784046102</v>
      </c>
      <c r="AV111" s="337">
        <f t="shared" si="447"/>
        <v>0.22330689444783405</v>
      </c>
      <c r="AW111" s="275">
        <f t="shared" si="447"/>
        <v>0.2428087986463621</v>
      </c>
      <c r="AX111" s="275">
        <f t="shared" ref="AX111:AZ111" si="448">AX110/AX$7</f>
        <v>0.24759615384615385</v>
      </c>
      <c r="AY111" s="705">
        <f t="shared" si="448"/>
        <v>0.25321239606953894</v>
      </c>
      <c r="AZ111" s="713">
        <f t="shared" si="448"/>
        <v>0.26998097050428166</v>
      </c>
      <c r="BA111" s="275">
        <f t="shared" ref="BA111:BG111" si="449">BA110/BA$7</f>
        <v>0.2732320146008011</v>
      </c>
      <c r="BB111" s="275">
        <f t="shared" si="449"/>
        <v>0.26444053499826814</v>
      </c>
      <c r="BC111" s="277">
        <f t="shared" si="449"/>
        <v>0.26690019716856228</v>
      </c>
      <c r="BD111" s="704">
        <f t="shared" si="449"/>
        <v>0.24189236482571355</v>
      </c>
      <c r="BE111" s="704">
        <f t="shared" si="449"/>
        <v>0.24503654025627244</v>
      </c>
      <c r="BF111" s="704">
        <f t="shared" si="449"/>
        <v>0.23630328056900446</v>
      </c>
      <c r="BG111" s="705">
        <f t="shared" si="449"/>
        <v>0.24112833993363891</v>
      </c>
      <c r="BH111" s="704">
        <f t="shared" ref="BH111:BK111" si="450">BH110/BH$7</f>
        <v>0.23959644795752824</v>
      </c>
      <c r="BI111" s="704">
        <f t="shared" si="450"/>
        <v>0.23832851891681742</v>
      </c>
      <c r="BJ111" s="704">
        <f t="shared" si="450"/>
        <v>0.24009662773540025</v>
      </c>
      <c r="BK111" s="705">
        <f t="shared" si="450"/>
        <v>0.23771860636028633</v>
      </c>
      <c r="BL111" s="215"/>
      <c r="BM111" s="337">
        <f t="shared" ref="BM111:BX111" si="451">BM110/BM$7</f>
        <v>0.14987988455128368</v>
      </c>
      <c r="BN111" s="275">
        <f t="shared" si="451"/>
        <v>0.19565220071051892</v>
      </c>
      <c r="BO111" s="275">
        <f t="shared" si="451"/>
        <v>0.14737084893544777</v>
      </c>
      <c r="BP111" s="275">
        <f t="shared" si="451"/>
        <v>-3.3933652956843088E-3</v>
      </c>
      <c r="BQ111" s="275">
        <f t="shared" si="451"/>
        <v>0.12360824814605006</v>
      </c>
      <c r="BR111" s="275">
        <f t="shared" si="451"/>
        <v>0.16382998954074357</v>
      </c>
      <c r="BS111" s="275">
        <f t="shared" si="451"/>
        <v>0.10998967771533433</v>
      </c>
      <c r="BT111" s="704">
        <f t="shared" si="451"/>
        <v>9.5618591024104402E-2</v>
      </c>
      <c r="BU111" s="704">
        <f t="shared" si="451"/>
        <v>0.14484126984126985</v>
      </c>
      <c r="BV111" s="704">
        <f t="shared" si="451"/>
        <v>0.15084377264727197</v>
      </c>
      <c r="BW111" s="704">
        <f t="shared" si="451"/>
        <v>0.18013856812933027</v>
      </c>
      <c r="BX111" s="704">
        <f t="shared" si="451"/>
        <v>0.24248469422852031</v>
      </c>
      <c r="BY111" s="704">
        <f>BY110/BY$7</f>
        <v>0.26822053090573084</v>
      </c>
      <c r="BZ111" s="705">
        <f>BZ110/BZ$7</f>
        <v>0.23890056668199702</v>
      </c>
      <c r="CA111" s="705">
        <f>CA110/CA$7</f>
        <v>0.23981532517809473</v>
      </c>
      <c r="CB111" s="184"/>
      <c r="CC111" s="184"/>
      <c r="CD111" s="184"/>
    </row>
    <row r="112" spans="1:82" ht="14.25" hidden="1" customHeight="1" outlineLevel="2">
      <c r="A112" s="203"/>
      <c r="B112" s="321" t="s">
        <v>321</v>
      </c>
      <c r="C112" s="320"/>
      <c r="D112" s="332">
        <f t="shared" ref="D112:AQ112" si="452">D93-D103+D109+D126</f>
        <v>43.161000000000058</v>
      </c>
      <c r="E112" s="332">
        <f t="shared" si="452"/>
        <v>397.85800000000017</v>
      </c>
      <c r="F112" s="332">
        <f t="shared" si="452"/>
        <v>506.17100000000016</v>
      </c>
      <c r="G112" s="333">
        <f t="shared" si="452"/>
        <v>426.76099999999997</v>
      </c>
      <c r="H112" s="332">
        <f t="shared" si="452"/>
        <v>405.18099999999981</v>
      </c>
      <c r="I112" s="332">
        <f t="shared" si="452"/>
        <v>509.19500000000016</v>
      </c>
      <c r="J112" s="332">
        <f t="shared" si="452"/>
        <v>518.38399999999979</v>
      </c>
      <c r="K112" s="333">
        <f t="shared" si="452"/>
        <v>471.88600000000002</v>
      </c>
      <c r="L112" s="332">
        <f t="shared" si="452"/>
        <v>344.81700000000006</v>
      </c>
      <c r="M112" s="332">
        <f t="shared" si="452"/>
        <v>361.6</v>
      </c>
      <c r="N112" s="332">
        <f t="shared" si="452"/>
        <v>227.69099999999986</v>
      </c>
      <c r="O112" s="333">
        <f t="shared" si="452"/>
        <v>263.90499999999997</v>
      </c>
      <c r="P112" s="332">
        <f t="shared" si="452"/>
        <v>-3.4680000000000177</v>
      </c>
      <c r="Q112" s="332">
        <f t="shared" si="452"/>
        <v>-135.64399999999998</v>
      </c>
      <c r="R112" s="332">
        <f t="shared" si="452"/>
        <v>-32.755999999999979</v>
      </c>
      <c r="S112" s="333">
        <f t="shared" si="452"/>
        <v>154.85500000000005</v>
      </c>
      <c r="T112" s="334">
        <f t="shared" si="452"/>
        <v>179.00000000000003</v>
      </c>
      <c r="U112" s="332">
        <f t="shared" si="452"/>
        <v>292.15200000000004</v>
      </c>
      <c r="V112" s="332">
        <f t="shared" si="452"/>
        <v>233.56399999999996</v>
      </c>
      <c r="W112" s="333">
        <f t="shared" si="452"/>
        <v>475.57799999999997</v>
      </c>
      <c r="X112" s="334">
        <f t="shared" si="452"/>
        <v>484</v>
      </c>
      <c r="Y112" s="332">
        <f t="shared" si="452"/>
        <v>501</v>
      </c>
      <c r="Z112" s="332">
        <f t="shared" si="452"/>
        <v>467</v>
      </c>
      <c r="AA112" s="333">
        <f t="shared" si="452"/>
        <v>271</v>
      </c>
      <c r="AB112" s="334">
        <f t="shared" si="452"/>
        <v>240</v>
      </c>
      <c r="AC112" s="332">
        <f t="shared" si="452"/>
        <v>349</v>
      </c>
      <c r="AD112" s="332">
        <f t="shared" si="452"/>
        <v>300</v>
      </c>
      <c r="AE112" s="333">
        <f t="shared" si="452"/>
        <v>70</v>
      </c>
      <c r="AF112" s="334">
        <f t="shared" si="452"/>
        <v>69</v>
      </c>
      <c r="AG112" s="332">
        <f t="shared" si="452"/>
        <v>199</v>
      </c>
      <c r="AH112" s="332">
        <f t="shared" si="452"/>
        <v>222</v>
      </c>
      <c r="AI112" s="333">
        <f t="shared" si="452"/>
        <v>228</v>
      </c>
      <c r="AJ112" s="334">
        <f t="shared" si="452"/>
        <v>279</v>
      </c>
      <c r="AK112" s="332">
        <f t="shared" si="452"/>
        <v>348</v>
      </c>
      <c r="AL112" s="332">
        <f t="shared" si="452"/>
        <v>349</v>
      </c>
      <c r="AM112" s="335">
        <f t="shared" si="452"/>
        <v>338</v>
      </c>
      <c r="AN112" s="334">
        <f t="shared" si="452"/>
        <v>338</v>
      </c>
      <c r="AO112" s="332">
        <f t="shared" si="452"/>
        <v>362</v>
      </c>
      <c r="AP112" s="332">
        <f t="shared" si="452"/>
        <v>410</v>
      </c>
      <c r="AQ112" s="335">
        <f t="shared" si="452"/>
        <v>347</v>
      </c>
      <c r="AR112" s="334">
        <f t="shared" ref="AR112:AW112" si="453">AR93-AR103+AR109+AR126</f>
        <v>302</v>
      </c>
      <c r="AS112" s="332">
        <f t="shared" si="453"/>
        <v>376</v>
      </c>
      <c r="AT112" s="332">
        <f t="shared" si="453"/>
        <v>550</v>
      </c>
      <c r="AU112" s="335">
        <f t="shared" si="453"/>
        <v>722</v>
      </c>
      <c r="AV112" s="334">
        <f t="shared" si="453"/>
        <v>732</v>
      </c>
      <c r="AW112" s="332">
        <f t="shared" si="453"/>
        <v>861</v>
      </c>
      <c r="AX112" s="332">
        <f t="shared" ref="AX112:AZ112" si="454">AX93-AX103+AX109+AX126</f>
        <v>927</v>
      </c>
      <c r="AY112" s="712">
        <f t="shared" si="454"/>
        <v>1005</v>
      </c>
      <c r="AZ112" s="334">
        <f t="shared" si="454"/>
        <v>1135</v>
      </c>
      <c r="BA112" s="332">
        <f t="shared" ref="BA112:BG112" si="455">BA93-BA103+BA109+BA126</f>
        <v>1218.5530346842731</v>
      </c>
      <c r="BB112" s="332">
        <f t="shared" si="455"/>
        <v>1148.4261922414726</v>
      </c>
      <c r="BC112" s="333">
        <f t="shared" si="455"/>
        <v>1158.9899734749897</v>
      </c>
      <c r="BD112" s="711">
        <f t="shared" si="455"/>
        <v>1025.3119158239342</v>
      </c>
      <c r="BE112" s="711">
        <f t="shared" si="455"/>
        <v>1025.572804832872</v>
      </c>
      <c r="BF112" s="711">
        <f t="shared" si="455"/>
        <v>1016.3853366477682</v>
      </c>
      <c r="BG112" s="712">
        <f t="shared" si="455"/>
        <v>1036.1969323854457</v>
      </c>
      <c r="BH112" s="711">
        <f t="shared" ref="BH112:BK112" si="456">BH93-BH103+BH109+BH126</f>
        <v>1036.7483540125218</v>
      </c>
      <c r="BI112" s="711">
        <f t="shared" si="456"/>
        <v>1044.7947702372287</v>
      </c>
      <c r="BJ112" s="711">
        <f t="shared" si="456"/>
        <v>1058.881843036396</v>
      </c>
      <c r="BK112" s="712">
        <f t="shared" si="456"/>
        <v>1060.4590416952624</v>
      </c>
      <c r="BL112" s="215"/>
      <c r="BM112" s="334">
        <f t="shared" ref="BM112:BX112" si="457">BM93-BM103+BM109+BM126</f>
        <v>1373.9510000000014</v>
      </c>
      <c r="BN112" s="332">
        <f t="shared" si="457"/>
        <v>1904.6459999999993</v>
      </c>
      <c r="BO112" s="332">
        <f t="shared" si="457"/>
        <v>1198.0129999999995</v>
      </c>
      <c r="BP112" s="332">
        <f t="shared" si="457"/>
        <v>-17.01299999999992</v>
      </c>
      <c r="BQ112" s="332">
        <f t="shared" si="457"/>
        <v>1180.2939999999994</v>
      </c>
      <c r="BR112" s="332">
        <f t="shared" si="457"/>
        <v>1723</v>
      </c>
      <c r="BS112" s="332">
        <f t="shared" si="457"/>
        <v>959</v>
      </c>
      <c r="BT112" s="711">
        <f t="shared" si="457"/>
        <v>718</v>
      </c>
      <c r="BU112" s="711">
        <f t="shared" si="457"/>
        <v>1314</v>
      </c>
      <c r="BV112" s="711">
        <f t="shared" si="457"/>
        <v>1457</v>
      </c>
      <c r="BW112" s="711">
        <f t="shared" si="457"/>
        <v>1950</v>
      </c>
      <c r="BX112" s="711">
        <f t="shared" si="457"/>
        <v>3525</v>
      </c>
      <c r="BY112" s="711">
        <f>BY93-BY103+BY109+BY126</f>
        <v>4660.9692004007347</v>
      </c>
      <c r="BZ112" s="712">
        <f>BZ93-BZ103+BZ109+BZ126</f>
        <v>4103.4669896900195</v>
      </c>
      <c r="CA112" s="712">
        <f>CA93-CA103+CA109+CA126</f>
        <v>4200.8840089814084</v>
      </c>
      <c r="CB112" s="184"/>
      <c r="CC112" s="184"/>
      <c r="CD112" s="184"/>
    </row>
    <row r="113" spans="1:82" ht="14.25" hidden="1" customHeight="1" outlineLevel="2">
      <c r="A113" s="203"/>
      <c r="B113" s="262" t="s">
        <v>320</v>
      </c>
      <c r="C113" s="261"/>
      <c r="D113" s="275">
        <f t="shared" ref="D113:AQ113" si="458">D112/D11</f>
        <v>2.3234919185698505E-2</v>
      </c>
      <c r="E113" s="275">
        <f t="shared" si="458"/>
        <v>0.17700782048738131</v>
      </c>
      <c r="F113" s="275">
        <f t="shared" si="458"/>
        <v>0.19901016063658597</v>
      </c>
      <c r="G113" s="277">
        <f t="shared" si="458"/>
        <v>0.1694643951279696</v>
      </c>
      <c r="H113" s="275">
        <f t="shared" si="458"/>
        <v>0.17792423988930584</v>
      </c>
      <c r="I113" s="275">
        <f t="shared" si="458"/>
        <v>0.20129777459408971</v>
      </c>
      <c r="J113" s="275">
        <f t="shared" si="458"/>
        <v>0.20241594637061372</v>
      </c>
      <c r="K113" s="277">
        <f t="shared" si="458"/>
        <v>0.19935666595128779</v>
      </c>
      <c r="L113" s="275">
        <f t="shared" si="458"/>
        <v>0.16518994709679091</v>
      </c>
      <c r="M113" s="275">
        <f t="shared" si="458"/>
        <v>0.16818620296390974</v>
      </c>
      <c r="N113" s="275">
        <f t="shared" si="458"/>
        <v>0.12319821574662036</v>
      </c>
      <c r="O113" s="277">
        <f t="shared" si="458"/>
        <v>0.12913244118322023</v>
      </c>
      <c r="P113" s="275">
        <f t="shared" si="458"/>
        <v>-2.6008777587453523E-3</v>
      </c>
      <c r="Q113" s="275">
        <f t="shared" si="458"/>
        <v>-0.13297427547136145</v>
      </c>
      <c r="R113" s="275">
        <f t="shared" si="458"/>
        <v>-2.8891985816853934E-2</v>
      </c>
      <c r="S113" s="277">
        <f t="shared" si="458"/>
        <v>0.10145152562182506</v>
      </c>
      <c r="T113" s="337">
        <f t="shared" si="458"/>
        <v>9.6814217303026348E-2</v>
      </c>
      <c r="U113" s="275">
        <f t="shared" si="458"/>
        <v>0.12726940066389611</v>
      </c>
      <c r="V113" s="275">
        <f t="shared" si="458"/>
        <v>9.2765480838354258E-2</v>
      </c>
      <c r="W113" s="277">
        <f t="shared" si="458"/>
        <v>0.16476310743183203</v>
      </c>
      <c r="X113" s="337">
        <f t="shared" si="458"/>
        <v>0.18019359642591215</v>
      </c>
      <c r="Y113" s="275">
        <f t="shared" si="458"/>
        <v>0.1750524109014675</v>
      </c>
      <c r="Z113" s="275">
        <f t="shared" si="458"/>
        <v>0.16756368855400072</v>
      </c>
      <c r="AA113" s="277">
        <f t="shared" si="458"/>
        <v>0.12419798350137488</v>
      </c>
      <c r="AB113" s="337">
        <f t="shared" si="458"/>
        <v>0.10963910461397898</v>
      </c>
      <c r="AC113" s="275">
        <f t="shared" si="458"/>
        <v>0.13734750098386461</v>
      </c>
      <c r="AD113" s="275">
        <f t="shared" si="458"/>
        <v>0.12804097311139565</v>
      </c>
      <c r="AE113" s="277">
        <f t="shared" si="458"/>
        <v>4.25273390036452E-2</v>
      </c>
      <c r="AF113" s="337">
        <f t="shared" si="458"/>
        <v>4.3865225683407505E-2</v>
      </c>
      <c r="AG113" s="275">
        <f t="shared" si="458"/>
        <v>0.10086163203243791</v>
      </c>
      <c r="AH113" s="275">
        <f t="shared" si="458"/>
        <v>0.11240506329113924</v>
      </c>
      <c r="AI113" s="277">
        <f t="shared" si="458"/>
        <v>0.11468812877263582</v>
      </c>
      <c r="AJ113" s="337">
        <f t="shared" si="458"/>
        <v>0.12739726027397261</v>
      </c>
      <c r="AK113" s="275">
        <f t="shared" si="458"/>
        <v>0.14789630259243519</v>
      </c>
      <c r="AL113" s="275">
        <f t="shared" si="458"/>
        <v>0.15408388520971303</v>
      </c>
      <c r="AM113" s="338">
        <f t="shared" si="458"/>
        <v>0.14929328621908128</v>
      </c>
      <c r="AN113" s="337">
        <f t="shared" si="458"/>
        <v>0.14328105129292074</v>
      </c>
      <c r="AO113" s="275">
        <f t="shared" si="458"/>
        <v>0.14823914823914824</v>
      </c>
      <c r="AP113" s="275">
        <f t="shared" si="458"/>
        <v>0.1646586345381526</v>
      </c>
      <c r="AQ113" s="338">
        <f t="shared" si="458"/>
        <v>0.14653716216216217</v>
      </c>
      <c r="AR113" s="337">
        <f t="shared" ref="AR113:AW113" si="459">AR112/AR11</f>
        <v>0.1338059370846256</v>
      </c>
      <c r="AS113" s="275">
        <f t="shared" si="459"/>
        <v>0.15346938775510205</v>
      </c>
      <c r="AT113" s="275">
        <f t="shared" si="459"/>
        <v>0.19496632399858208</v>
      </c>
      <c r="AU113" s="338">
        <f t="shared" si="459"/>
        <v>0.21898695784046102</v>
      </c>
      <c r="AV113" s="337">
        <f t="shared" si="459"/>
        <v>0.22330689444783405</v>
      </c>
      <c r="AW113" s="275">
        <f t="shared" si="459"/>
        <v>0.2428087986463621</v>
      </c>
      <c r="AX113" s="275">
        <f t="shared" ref="AX113:AZ113" si="460">AX112/AX11</f>
        <v>0.24759615384615385</v>
      </c>
      <c r="AY113" s="705">
        <f t="shared" si="460"/>
        <v>0.25321239606953894</v>
      </c>
      <c r="AZ113" s="713">
        <f t="shared" si="460"/>
        <v>0.26998097050428166</v>
      </c>
      <c r="BA113" s="275">
        <f t="shared" ref="BA113:BG113" si="461">BA112/BA11</f>
        <v>0.2732320146008011</v>
      </c>
      <c r="BB113" s="275">
        <f t="shared" si="461"/>
        <v>0.26444053499826814</v>
      </c>
      <c r="BC113" s="277">
        <f t="shared" si="461"/>
        <v>0.2651695653640837</v>
      </c>
      <c r="BD113" s="704">
        <f t="shared" si="461"/>
        <v>0.24189236482571355</v>
      </c>
      <c r="BE113" s="704">
        <f t="shared" si="461"/>
        <v>0.23979578122164183</v>
      </c>
      <c r="BF113" s="704">
        <f t="shared" si="461"/>
        <v>0.23630328056900446</v>
      </c>
      <c r="BG113" s="705">
        <f t="shared" si="461"/>
        <v>0.23767602142193264</v>
      </c>
      <c r="BH113" s="704">
        <f t="shared" ref="BH113:BK113" si="462">BH112/BH11</f>
        <v>0.23959644795752824</v>
      </c>
      <c r="BI113" s="704">
        <f t="shared" si="462"/>
        <v>0.23935116593286201</v>
      </c>
      <c r="BJ113" s="704">
        <f t="shared" si="462"/>
        <v>0.24009662773540025</v>
      </c>
      <c r="BK113" s="705">
        <f t="shared" si="462"/>
        <v>0.24020778000042886</v>
      </c>
      <c r="BL113" s="215"/>
      <c r="BM113" s="337">
        <f t="shared" ref="BM113:BX113" si="463">BM112/BM11</f>
        <v>0.14987988455128368</v>
      </c>
      <c r="BN113" s="275">
        <f t="shared" si="463"/>
        <v>0.19565220071051892</v>
      </c>
      <c r="BO113" s="275">
        <f t="shared" si="463"/>
        <v>0.14737084893544777</v>
      </c>
      <c r="BP113" s="275">
        <f t="shared" si="463"/>
        <v>-3.3933652956843088E-3</v>
      </c>
      <c r="BQ113" s="275">
        <f t="shared" si="463"/>
        <v>0.12360824814605006</v>
      </c>
      <c r="BR113" s="275">
        <f t="shared" si="463"/>
        <v>0.16382998954074357</v>
      </c>
      <c r="BS113" s="275">
        <f t="shared" si="463"/>
        <v>0.10998967771533433</v>
      </c>
      <c r="BT113" s="704">
        <f t="shared" si="463"/>
        <v>9.5618591024104402E-2</v>
      </c>
      <c r="BU113" s="704">
        <f t="shared" si="463"/>
        <v>0.14484126984126985</v>
      </c>
      <c r="BV113" s="704">
        <f t="shared" si="463"/>
        <v>0.15084377264727197</v>
      </c>
      <c r="BW113" s="704">
        <f t="shared" si="463"/>
        <v>0.18013856812933027</v>
      </c>
      <c r="BX113" s="704">
        <f t="shared" si="463"/>
        <v>0.24248469422852031</v>
      </c>
      <c r="BY113" s="704">
        <f>BY112/BY11</f>
        <v>0.26822053090573084</v>
      </c>
      <c r="BZ113" s="705">
        <f>BZ112/BZ11</f>
        <v>0.23890056668199702</v>
      </c>
      <c r="CA113" s="705">
        <f>CA112/CA11</f>
        <v>0.23981532517809473</v>
      </c>
      <c r="CB113" s="184"/>
      <c r="CC113" s="184"/>
      <c r="CD113" s="184"/>
    </row>
    <row r="114" spans="1:82" ht="14.25" hidden="1" customHeight="1" outlineLevel="2">
      <c r="A114" s="203"/>
      <c r="B114" s="262"/>
      <c r="C114" s="261"/>
      <c r="D114" s="275"/>
      <c r="E114" s="275"/>
      <c r="F114" s="275"/>
      <c r="G114" s="277"/>
      <c r="H114" s="275"/>
      <c r="I114" s="275"/>
      <c r="J114" s="275"/>
      <c r="K114" s="277"/>
      <c r="L114" s="275"/>
      <c r="M114" s="275"/>
      <c r="N114" s="275"/>
      <c r="O114" s="277"/>
      <c r="P114" s="275"/>
      <c r="Q114" s="275"/>
      <c r="R114" s="275"/>
      <c r="S114" s="277"/>
      <c r="T114" s="337"/>
      <c r="U114" s="275"/>
      <c r="V114" s="275"/>
      <c r="W114" s="277"/>
      <c r="X114" s="337"/>
      <c r="Y114" s="275"/>
      <c r="Z114" s="275"/>
      <c r="AA114" s="277"/>
      <c r="AB114" s="337"/>
      <c r="AC114" s="275"/>
      <c r="AD114" s="275"/>
      <c r="AE114" s="277"/>
      <c r="AF114" s="337"/>
      <c r="AG114" s="275"/>
      <c r="AH114" s="275"/>
      <c r="AI114" s="277"/>
      <c r="AJ114" s="337"/>
      <c r="AK114" s="275"/>
      <c r="AL114" s="275"/>
      <c r="AM114" s="338"/>
      <c r="AN114" s="337"/>
      <c r="AO114" s="275"/>
      <c r="AP114" s="275"/>
      <c r="AQ114" s="352"/>
      <c r="AR114" s="337"/>
      <c r="AS114" s="275"/>
      <c r="AT114" s="275"/>
      <c r="AU114" s="352"/>
      <c r="AV114" s="337"/>
      <c r="AW114" s="275"/>
      <c r="AX114" s="275"/>
      <c r="AY114" s="774"/>
      <c r="AZ114" s="713"/>
      <c r="BA114" s="275"/>
      <c r="BB114" s="275"/>
      <c r="BC114" s="277"/>
      <c r="BD114" s="704"/>
      <c r="BE114" s="704"/>
      <c r="BF114" s="704"/>
      <c r="BG114" s="705"/>
      <c r="BH114" s="704"/>
      <c r="BI114" s="704"/>
      <c r="BJ114" s="704"/>
      <c r="BK114" s="705"/>
      <c r="BL114" s="215"/>
      <c r="BM114" s="337"/>
      <c r="BN114" s="275"/>
      <c r="BO114" s="275"/>
      <c r="BP114" s="275"/>
      <c r="BQ114" s="275"/>
      <c r="BR114" s="275"/>
      <c r="BS114" s="275"/>
      <c r="BT114" s="704"/>
      <c r="BU114" s="704"/>
      <c r="BV114" s="704"/>
      <c r="BW114" s="704"/>
      <c r="BX114" s="704"/>
      <c r="BY114" s="704"/>
      <c r="BZ114" s="705"/>
      <c r="CA114" s="705"/>
      <c r="CB114" s="184"/>
      <c r="CC114" s="184"/>
      <c r="CD114" s="184"/>
    </row>
    <row r="115" spans="1:82" ht="14.25" hidden="1" customHeight="1" outlineLevel="2">
      <c r="A115" s="203"/>
      <c r="B115" s="217" t="s">
        <v>319</v>
      </c>
      <c r="C115" s="216"/>
      <c r="D115" s="220">
        <f t="shared" ref="D115:AQ115" si="464">(D17+D36+D46+D59)-D98</f>
        <v>0</v>
      </c>
      <c r="E115" s="220">
        <f t="shared" si="464"/>
        <v>0</v>
      </c>
      <c r="F115" s="220">
        <f t="shared" si="464"/>
        <v>0</v>
      </c>
      <c r="G115" s="226">
        <f t="shared" si="464"/>
        <v>0</v>
      </c>
      <c r="H115" s="220">
        <f t="shared" si="464"/>
        <v>0</v>
      </c>
      <c r="I115" s="220">
        <f t="shared" si="464"/>
        <v>0</v>
      </c>
      <c r="J115" s="220">
        <f t="shared" si="464"/>
        <v>0</v>
      </c>
      <c r="K115" s="226">
        <f t="shared" si="464"/>
        <v>0</v>
      </c>
      <c r="L115" s="220">
        <f t="shared" si="464"/>
        <v>0</v>
      </c>
      <c r="M115" s="220">
        <f t="shared" si="464"/>
        <v>0</v>
      </c>
      <c r="N115" s="220">
        <f t="shared" si="464"/>
        <v>0</v>
      </c>
      <c r="O115" s="226">
        <f t="shared" si="464"/>
        <v>0</v>
      </c>
      <c r="P115" s="220">
        <f t="shared" si="464"/>
        <v>0</v>
      </c>
      <c r="Q115" s="220">
        <f t="shared" si="464"/>
        <v>0</v>
      </c>
      <c r="R115" s="220">
        <f t="shared" si="464"/>
        <v>0</v>
      </c>
      <c r="S115" s="226">
        <f t="shared" si="464"/>
        <v>0</v>
      </c>
      <c r="T115" s="309">
        <f t="shared" si="464"/>
        <v>0</v>
      </c>
      <c r="U115" s="220">
        <f t="shared" si="464"/>
        <v>0</v>
      </c>
      <c r="V115" s="220">
        <f t="shared" si="464"/>
        <v>0</v>
      </c>
      <c r="W115" s="226">
        <f t="shared" si="464"/>
        <v>0</v>
      </c>
      <c r="X115" s="309">
        <f t="shared" si="464"/>
        <v>0</v>
      </c>
      <c r="Y115" s="220">
        <f t="shared" si="464"/>
        <v>0</v>
      </c>
      <c r="Z115" s="220">
        <f t="shared" si="464"/>
        <v>0</v>
      </c>
      <c r="AA115" s="226">
        <f t="shared" si="464"/>
        <v>0</v>
      </c>
      <c r="AB115" s="309">
        <f t="shared" si="464"/>
        <v>0</v>
      </c>
      <c r="AC115" s="220">
        <f t="shared" si="464"/>
        <v>0</v>
      </c>
      <c r="AD115" s="220">
        <f t="shared" si="464"/>
        <v>0</v>
      </c>
      <c r="AE115" s="226">
        <f t="shared" si="464"/>
        <v>0</v>
      </c>
      <c r="AF115" s="309">
        <f t="shared" si="464"/>
        <v>0</v>
      </c>
      <c r="AG115" s="220">
        <f t="shared" si="464"/>
        <v>0</v>
      </c>
      <c r="AH115" s="220">
        <f t="shared" si="464"/>
        <v>0</v>
      </c>
      <c r="AI115" s="226">
        <f t="shared" si="464"/>
        <v>0</v>
      </c>
      <c r="AJ115" s="309">
        <f t="shared" si="464"/>
        <v>0</v>
      </c>
      <c r="AK115" s="220">
        <f t="shared" si="464"/>
        <v>0</v>
      </c>
      <c r="AL115" s="220">
        <f t="shared" si="464"/>
        <v>0</v>
      </c>
      <c r="AM115" s="345">
        <f t="shared" si="464"/>
        <v>0</v>
      </c>
      <c r="AN115" s="309">
        <f t="shared" si="464"/>
        <v>0</v>
      </c>
      <c r="AO115" s="220">
        <f t="shared" si="464"/>
        <v>0</v>
      </c>
      <c r="AP115" s="220">
        <f t="shared" si="464"/>
        <v>0</v>
      </c>
      <c r="AQ115" s="345">
        <f t="shared" si="464"/>
        <v>0</v>
      </c>
      <c r="AR115" s="309">
        <f t="shared" ref="AR115:AW115" si="465">(AR17+AR36+AR46+AR59)-AR98</f>
        <v>0</v>
      </c>
      <c r="AS115" s="220">
        <f t="shared" si="465"/>
        <v>0</v>
      </c>
      <c r="AT115" s="220">
        <f t="shared" si="465"/>
        <v>0</v>
      </c>
      <c r="AU115" s="345">
        <f t="shared" si="465"/>
        <v>0</v>
      </c>
      <c r="AV115" s="309">
        <f t="shared" si="465"/>
        <v>0</v>
      </c>
      <c r="AW115" s="220">
        <f t="shared" si="465"/>
        <v>0</v>
      </c>
      <c r="AX115" s="220">
        <f t="shared" ref="AX115:AZ115" si="466">(AX17+AX36+AX46+AX59)-AX98</f>
        <v>0</v>
      </c>
      <c r="AY115" s="738">
        <f t="shared" si="466"/>
        <v>0</v>
      </c>
      <c r="AZ115" s="747">
        <f t="shared" si="466"/>
        <v>0</v>
      </c>
      <c r="BA115" s="220">
        <f t="shared" ref="BA115:BG115" si="467">(BA17+BA36+BA46+BA59)-BA98</f>
        <v>0</v>
      </c>
      <c r="BB115" s="220">
        <f t="shared" si="467"/>
        <v>0</v>
      </c>
      <c r="BC115" s="226">
        <f t="shared" si="467"/>
        <v>0</v>
      </c>
      <c r="BD115" s="735">
        <f t="shared" si="467"/>
        <v>0</v>
      </c>
      <c r="BE115" s="735">
        <f t="shared" si="467"/>
        <v>0</v>
      </c>
      <c r="BF115" s="735">
        <f t="shared" si="467"/>
        <v>0</v>
      </c>
      <c r="BG115" s="738">
        <f t="shared" si="467"/>
        <v>0</v>
      </c>
      <c r="BH115" s="735">
        <f t="shared" ref="BH115:BK115" si="468">(BH17+BH36+BH46+BH59)-BH98</f>
        <v>0</v>
      </c>
      <c r="BI115" s="735">
        <f t="shared" si="468"/>
        <v>0</v>
      </c>
      <c r="BJ115" s="735">
        <f t="shared" si="468"/>
        <v>0</v>
      </c>
      <c r="BK115" s="738">
        <f t="shared" si="468"/>
        <v>0</v>
      </c>
      <c r="BL115" s="215"/>
      <c r="BM115" s="309">
        <f t="shared" ref="BM115:BX115" si="469">(BM17+BM36+BM46+BM59)-BM98</f>
        <v>0</v>
      </c>
      <c r="BN115" s="220">
        <f t="shared" si="469"/>
        <v>0</v>
      </c>
      <c r="BO115" s="220">
        <f t="shared" si="469"/>
        <v>0</v>
      </c>
      <c r="BP115" s="220">
        <f t="shared" si="469"/>
        <v>0</v>
      </c>
      <c r="BQ115" s="220">
        <f t="shared" si="469"/>
        <v>0</v>
      </c>
      <c r="BR115" s="220">
        <f t="shared" si="469"/>
        <v>0</v>
      </c>
      <c r="BS115" s="220">
        <f t="shared" si="469"/>
        <v>0</v>
      </c>
      <c r="BT115" s="735">
        <f t="shared" si="469"/>
        <v>0</v>
      </c>
      <c r="BU115" s="735">
        <f t="shared" si="469"/>
        <v>0</v>
      </c>
      <c r="BV115" s="700">
        <f t="shared" si="469"/>
        <v>0</v>
      </c>
      <c r="BW115" s="700">
        <f t="shared" si="469"/>
        <v>0</v>
      </c>
      <c r="BX115" s="700">
        <f t="shared" si="469"/>
        <v>0</v>
      </c>
      <c r="BY115" s="735">
        <f>(BY17+BY36+BY46+BY59)-BY98</f>
        <v>0</v>
      </c>
      <c r="BZ115" s="738">
        <f>(BZ17+BZ36+BZ46+BZ59)-BZ98</f>
        <v>0</v>
      </c>
      <c r="CA115" s="738">
        <f>(CA17+CA36+CA46+CA59)-CA98</f>
        <v>0</v>
      </c>
      <c r="CB115" s="184"/>
      <c r="CC115" s="184"/>
      <c r="CD115" s="184"/>
    </row>
    <row r="116" spans="1:82" ht="14.25" hidden="1" customHeight="1" outlineLevel="2">
      <c r="A116" s="203"/>
      <c r="B116" s="262" t="s">
        <v>318</v>
      </c>
      <c r="C116" s="261"/>
      <c r="D116" s="275">
        <f t="shared" ref="D116:AQ116" si="470">D115/D7</f>
        <v>0</v>
      </c>
      <c r="E116" s="275">
        <f t="shared" si="470"/>
        <v>0</v>
      </c>
      <c r="F116" s="275">
        <f t="shared" si="470"/>
        <v>0</v>
      </c>
      <c r="G116" s="277">
        <f t="shared" si="470"/>
        <v>0</v>
      </c>
      <c r="H116" s="275">
        <f t="shared" si="470"/>
        <v>0</v>
      </c>
      <c r="I116" s="275">
        <f t="shared" si="470"/>
        <v>0</v>
      </c>
      <c r="J116" s="275">
        <f t="shared" si="470"/>
        <v>0</v>
      </c>
      <c r="K116" s="277">
        <f t="shared" si="470"/>
        <v>0</v>
      </c>
      <c r="L116" s="275">
        <f t="shared" si="470"/>
        <v>0</v>
      </c>
      <c r="M116" s="275">
        <f t="shared" si="470"/>
        <v>0</v>
      </c>
      <c r="N116" s="275">
        <f t="shared" si="470"/>
        <v>0</v>
      </c>
      <c r="O116" s="277">
        <f t="shared" si="470"/>
        <v>0</v>
      </c>
      <c r="P116" s="275">
        <f t="shared" si="470"/>
        <v>0</v>
      </c>
      <c r="Q116" s="275">
        <f t="shared" si="470"/>
        <v>0</v>
      </c>
      <c r="R116" s="275">
        <f t="shared" si="470"/>
        <v>0</v>
      </c>
      <c r="S116" s="277">
        <f t="shared" si="470"/>
        <v>0</v>
      </c>
      <c r="T116" s="337">
        <f t="shared" si="470"/>
        <v>0</v>
      </c>
      <c r="U116" s="275">
        <f t="shared" si="470"/>
        <v>0</v>
      </c>
      <c r="V116" s="275">
        <f t="shared" si="470"/>
        <v>0</v>
      </c>
      <c r="W116" s="277">
        <f t="shared" si="470"/>
        <v>0</v>
      </c>
      <c r="X116" s="337">
        <f t="shared" si="470"/>
        <v>0</v>
      </c>
      <c r="Y116" s="275">
        <f t="shared" si="470"/>
        <v>0</v>
      </c>
      <c r="Z116" s="275">
        <f t="shared" si="470"/>
        <v>0</v>
      </c>
      <c r="AA116" s="277">
        <f t="shared" si="470"/>
        <v>0</v>
      </c>
      <c r="AB116" s="337">
        <f t="shared" si="470"/>
        <v>0</v>
      </c>
      <c r="AC116" s="275">
        <f t="shared" si="470"/>
        <v>0</v>
      </c>
      <c r="AD116" s="275">
        <f t="shared" si="470"/>
        <v>0</v>
      </c>
      <c r="AE116" s="277">
        <f t="shared" si="470"/>
        <v>0</v>
      </c>
      <c r="AF116" s="337">
        <f t="shared" si="470"/>
        <v>0</v>
      </c>
      <c r="AG116" s="275">
        <f t="shared" si="470"/>
        <v>0</v>
      </c>
      <c r="AH116" s="275">
        <f t="shared" si="470"/>
        <v>0</v>
      </c>
      <c r="AI116" s="277">
        <f t="shared" si="470"/>
        <v>0</v>
      </c>
      <c r="AJ116" s="337">
        <f t="shared" si="470"/>
        <v>0</v>
      </c>
      <c r="AK116" s="275">
        <f t="shared" si="470"/>
        <v>0</v>
      </c>
      <c r="AL116" s="275">
        <f t="shared" si="470"/>
        <v>0</v>
      </c>
      <c r="AM116" s="338">
        <f t="shared" si="470"/>
        <v>0</v>
      </c>
      <c r="AN116" s="337">
        <f t="shared" si="470"/>
        <v>0</v>
      </c>
      <c r="AO116" s="275">
        <f t="shared" si="470"/>
        <v>0</v>
      </c>
      <c r="AP116" s="275">
        <f t="shared" si="470"/>
        <v>0</v>
      </c>
      <c r="AQ116" s="338">
        <f t="shared" si="470"/>
        <v>0</v>
      </c>
      <c r="AR116" s="337">
        <f t="shared" ref="AR116:AW116" si="471">AR115/AR7</f>
        <v>0</v>
      </c>
      <c r="AS116" s="275">
        <f t="shared" si="471"/>
        <v>0</v>
      </c>
      <c r="AT116" s="275">
        <f t="shared" si="471"/>
        <v>0</v>
      </c>
      <c r="AU116" s="338">
        <f t="shared" si="471"/>
        <v>0</v>
      </c>
      <c r="AV116" s="337">
        <f t="shared" si="471"/>
        <v>0</v>
      </c>
      <c r="AW116" s="275">
        <f t="shared" si="471"/>
        <v>0</v>
      </c>
      <c r="AX116" s="275">
        <f t="shared" ref="AX116:AZ116" si="472">AX115/AX7</f>
        <v>0</v>
      </c>
      <c r="AY116" s="705">
        <f t="shared" si="472"/>
        <v>0</v>
      </c>
      <c r="AZ116" s="713">
        <f t="shared" si="472"/>
        <v>0</v>
      </c>
      <c r="BA116" s="275">
        <f t="shared" ref="BA116:BG116" si="473">BA115/BA7</f>
        <v>0</v>
      </c>
      <c r="BB116" s="275">
        <f t="shared" si="473"/>
        <v>0</v>
      </c>
      <c r="BC116" s="277">
        <f t="shared" si="473"/>
        <v>0</v>
      </c>
      <c r="BD116" s="704">
        <f t="shared" si="473"/>
        <v>0</v>
      </c>
      <c r="BE116" s="704">
        <f t="shared" si="473"/>
        <v>0</v>
      </c>
      <c r="BF116" s="704">
        <f t="shared" si="473"/>
        <v>0</v>
      </c>
      <c r="BG116" s="705">
        <f t="shared" si="473"/>
        <v>0</v>
      </c>
      <c r="BH116" s="704">
        <f t="shared" ref="BH116:BK116" si="474">BH115/BH7</f>
        <v>0</v>
      </c>
      <c r="BI116" s="704">
        <f t="shared" si="474"/>
        <v>0</v>
      </c>
      <c r="BJ116" s="704">
        <f t="shared" si="474"/>
        <v>0</v>
      </c>
      <c r="BK116" s="705">
        <f t="shared" si="474"/>
        <v>0</v>
      </c>
      <c r="BL116" s="215"/>
      <c r="BM116" s="337">
        <f t="shared" ref="BM116:BX116" si="475">BM115/BM7</f>
        <v>0</v>
      </c>
      <c r="BN116" s="275">
        <f t="shared" si="475"/>
        <v>0</v>
      </c>
      <c r="BO116" s="275">
        <f t="shared" si="475"/>
        <v>0</v>
      </c>
      <c r="BP116" s="275">
        <f t="shared" si="475"/>
        <v>0</v>
      </c>
      <c r="BQ116" s="275">
        <f t="shared" si="475"/>
        <v>0</v>
      </c>
      <c r="BR116" s="275">
        <f t="shared" si="475"/>
        <v>0</v>
      </c>
      <c r="BS116" s="275">
        <f t="shared" si="475"/>
        <v>0</v>
      </c>
      <c r="BT116" s="704">
        <f t="shared" si="475"/>
        <v>0</v>
      </c>
      <c r="BU116" s="704">
        <f t="shared" si="475"/>
        <v>0</v>
      </c>
      <c r="BV116" s="704">
        <f t="shared" si="475"/>
        <v>0</v>
      </c>
      <c r="BW116" s="704">
        <f t="shared" si="475"/>
        <v>0</v>
      </c>
      <c r="BX116" s="704">
        <f t="shared" si="475"/>
        <v>0</v>
      </c>
      <c r="BY116" s="704">
        <f>BY115/BY7</f>
        <v>0</v>
      </c>
      <c r="BZ116" s="705">
        <f>BZ115/BZ7</f>
        <v>0</v>
      </c>
      <c r="CA116" s="705">
        <f>CA115/CA7</f>
        <v>0</v>
      </c>
      <c r="CB116" s="184"/>
      <c r="CC116" s="184"/>
      <c r="CD116" s="184"/>
    </row>
    <row r="117" spans="1:82" ht="14.25" hidden="1" customHeight="1" outlineLevel="2">
      <c r="A117" s="203"/>
      <c r="B117" s="217"/>
      <c r="C117" s="216"/>
      <c r="D117" s="351"/>
      <c r="E117" s="255"/>
      <c r="F117" s="349"/>
      <c r="G117" s="256"/>
      <c r="H117" s="351"/>
      <c r="I117" s="255"/>
      <c r="J117" s="349"/>
      <c r="K117" s="256"/>
      <c r="L117" s="351"/>
      <c r="M117" s="255"/>
      <c r="N117" s="349"/>
      <c r="O117" s="256"/>
      <c r="P117" s="351"/>
      <c r="Q117" s="255"/>
      <c r="R117" s="349"/>
      <c r="S117" s="256"/>
      <c r="T117" s="350"/>
      <c r="U117" s="255"/>
      <c r="V117" s="349"/>
      <c r="W117" s="256"/>
      <c r="X117" s="350"/>
      <c r="Y117" s="255"/>
      <c r="Z117" s="349"/>
      <c r="AA117" s="256"/>
      <c r="AB117" s="350"/>
      <c r="AC117" s="255"/>
      <c r="AD117" s="349"/>
      <c r="AE117" s="256"/>
      <c r="AF117" s="350"/>
      <c r="AG117" s="255"/>
      <c r="AH117" s="349"/>
      <c r="AI117" s="256"/>
      <c r="AJ117" s="350"/>
      <c r="AK117" s="255"/>
      <c r="AL117" s="349"/>
      <c r="AM117" s="348"/>
      <c r="AN117" s="350"/>
      <c r="AO117" s="255"/>
      <c r="AP117" s="349"/>
      <c r="AQ117" s="348"/>
      <c r="AR117" s="350"/>
      <c r="AS117" s="255"/>
      <c r="AT117" s="349"/>
      <c r="AU117" s="348"/>
      <c r="AV117" s="350"/>
      <c r="AW117" s="255"/>
      <c r="AX117" s="349"/>
      <c r="AY117" s="742"/>
      <c r="AZ117" s="350"/>
      <c r="BA117" s="255"/>
      <c r="BB117" s="255"/>
      <c r="BC117" s="256"/>
      <c r="BD117" s="741"/>
      <c r="BE117" s="741"/>
      <c r="BF117" s="741"/>
      <c r="BG117" s="742"/>
      <c r="BH117" s="741"/>
      <c r="BI117" s="741"/>
      <c r="BJ117" s="741"/>
      <c r="BK117" s="742"/>
      <c r="BL117" s="215"/>
      <c r="BM117" s="675"/>
      <c r="BN117" s="347"/>
      <c r="BO117" s="347"/>
      <c r="BP117" s="347"/>
      <c r="BQ117" s="255"/>
      <c r="BR117" s="255"/>
      <c r="BS117" s="255"/>
      <c r="BT117" s="741"/>
      <c r="BU117" s="741"/>
      <c r="BV117" s="702"/>
      <c r="BW117" s="702"/>
      <c r="BX117" s="702"/>
      <c r="BY117" s="741"/>
      <c r="BZ117" s="742"/>
      <c r="CA117" s="742"/>
      <c r="CB117" s="184"/>
      <c r="CC117" s="184"/>
      <c r="CD117" s="184"/>
    </row>
    <row r="118" spans="1:82" ht="14.25" hidden="1" customHeight="1" outlineLevel="2">
      <c r="A118" s="203"/>
      <c r="B118" s="217" t="s">
        <v>317</v>
      </c>
      <c r="C118" s="216"/>
      <c r="D118" s="220">
        <f t="shared" ref="D118:AQ118" si="476">D19+D38+D48+D62-D100</f>
        <v>0</v>
      </c>
      <c r="E118" s="220">
        <f t="shared" si="476"/>
        <v>0</v>
      </c>
      <c r="F118" s="220">
        <f t="shared" si="476"/>
        <v>0</v>
      </c>
      <c r="G118" s="226">
        <f t="shared" si="476"/>
        <v>0</v>
      </c>
      <c r="H118" s="220">
        <f t="shared" si="476"/>
        <v>0</v>
      </c>
      <c r="I118" s="220">
        <f t="shared" si="476"/>
        <v>0</v>
      </c>
      <c r="J118" s="220">
        <f t="shared" si="476"/>
        <v>0</v>
      </c>
      <c r="K118" s="226">
        <f t="shared" si="476"/>
        <v>0</v>
      </c>
      <c r="L118" s="220">
        <f t="shared" si="476"/>
        <v>0</v>
      </c>
      <c r="M118" s="220">
        <f t="shared" si="476"/>
        <v>0</v>
      </c>
      <c r="N118" s="220">
        <f t="shared" si="476"/>
        <v>0</v>
      </c>
      <c r="O118" s="226">
        <f t="shared" si="476"/>
        <v>0</v>
      </c>
      <c r="P118" s="309">
        <f t="shared" si="476"/>
        <v>0</v>
      </c>
      <c r="Q118" s="220">
        <f t="shared" si="476"/>
        <v>0</v>
      </c>
      <c r="R118" s="220">
        <f t="shared" si="476"/>
        <v>0</v>
      </c>
      <c r="S118" s="226">
        <f t="shared" si="476"/>
        <v>0</v>
      </c>
      <c r="T118" s="309">
        <f t="shared" si="476"/>
        <v>0</v>
      </c>
      <c r="U118" s="220">
        <f t="shared" si="476"/>
        <v>0</v>
      </c>
      <c r="V118" s="220">
        <f t="shared" si="476"/>
        <v>0</v>
      </c>
      <c r="W118" s="226">
        <f t="shared" si="476"/>
        <v>0</v>
      </c>
      <c r="X118" s="309">
        <f t="shared" si="476"/>
        <v>0</v>
      </c>
      <c r="Y118" s="220">
        <f t="shared" si="476"/>
        <v>0</v>
      </c>
      <c r="Z118" s="220">
        <f t="shared" si="476"/>
        <v>0</v>
      </c>
      <c r="AA118" s="226">
        <f t="shared" si="476"/>
        <v>0</v>
      </c>
      <c r="AB118" s="309">
        <f t="shared" si="476"/>
        <v>0</v>
      </c>
      <c r="AC118" s="220">
        <f t="shared" si="476"/>
        <v>0</v>
      </c>
      <c r="AD118" s="220">
        <f t="shared" si="476"/>
        <v>0</v>
      </c>
      <c r="AE118" s="226">
        <f t="shared" si="476"/>
        <v>0</v>
      </c>
      <c r="AF118" s="309">
        <f t="shared" si="476"/>
        <v>0</v>
      </c>
      <c r="AG118" s="220">
        <f t="shared" si="476"/>
        <v>0</v>
      </c>
      <c r="AH118" s="220">
        <f t="shared" si="476"/>
        <v>0</v>
      </c>
      <c r="AI118" s="226">
        <f t="shared" si="476"/>
        <v>0</v>
      </c>
      <c r="AJ118" s="309">
        <f t="shared" si="476"/>
        <v>0</v>
      </c>
      <c r="AK118" s="220">
        <f t="shared" si="476"/>
        <v>0</v>
      </c>
      <c r="AL118" s="220">
        <f t="shared" si="476"/>
        <v>0</v>
      </c>
      <c r="AM118" s="345">
        <f t="shared" si="476"/>
        <v>0</v>
      </c>
      <c r="AN118" s="309">
        <f t="shared" si="476"/>
        <v>0</v>
      </c>
      <c r="AO118" s="220">
        <f t="shared" si="476"/>
        <v>0</v>
      </c>
      <c r="AP118" s="220">
        <f t="shared" si="476"/>
        <v>0</v>
      </c>
      <c r="AQ118" s="345">
        <f t="shared" si="476"/>
        <v>0</v>
      </c>
      <c r="AR118" s="309">
        <f t="shared" ref="AR118:AW118" si="477">AR19+AR38+AR48+AR62-AR100</f>
        <v>0</v>
      </c>
      <c r="AS118" s="220">
        <f t="shared" si="477"/>
        <v>0</v>
      </c>
      <c r="AT118" s="220">
        <f t="shared" si="477"/>
        <v>0</v>
      </c>
      <c r="AU118" s="345">
        <f t="shared" si="477"/>
        <v>0</v>
      </c>
      <c r="AV118" s="309">
        <f t="shared" si="477"/>
        <v>0</v>
      </c>
      <c r="AW118" s="220">
        <f t="shared" si="477"/>
        <v>0</v>
      </c>
      <c r="AX118" s="220">
        <f t="shared" ref="AX118:AZ118" si="478">AX19+AX38+AX48+AX62-AX100</f>
        <v>0</v>
      </c>
      <c r="AY118" s="738">
        <f t="shared" si="478"/>
        <v>0</v>
      </c>
      <c r="AZ118" s="747">
        <f t="shared" si="478"/>
        <v>0</v>
      </c>
      <c r="BA118" s="220">
        <f t="shared" ref="BA118:BG118" si="479">BA19+BA38+BA48+BA62-BA100</f>
        <v>0</v>
      </c>
      <c r="BB118" s="220">
        <f t="shared" si="479"/>
        <v>0</v>
      </c>
      <c r="BC118" s="226">
        <f t="shared" si="479"/>
        <v>0</v>
      </c>
      <c r="BD118" s="735">
        <f t="shared" si="479"/>
        <v>0</v>
      </c>
      <c r="BE118" s="735">
        <f t="shared" si="479"/>
        <v>0</v>
      </c>
      <c r="BF118" s="735">
        <f t="shared" si="479"/>
        <v>0</v>
      </c>
      <c r="BG118" s="738">
        <f t="shared" si="479"/>
        <v>0</v>
      </c>
      <c r="BH118" s="735">
        <f t="shared" ref="BH118:BK118" si="480">BH19+BH38+BH48+BH62-BH100</f>
        <v>0</v>
      </c>
      <c r="BI118" s="735">
        <f t="shared" si="480"/>
        <v>0</v>
      </c>
      <c r="BJ118" s="735">
        <f t="shared" si="480"/>
        <v>0</v>
      </c>
      <c r="BK118" s="738">
        <f t="shared" si="480"/>
        <v>0</v>
      </c>
      <c r="BL118" s="215"/>
      <c r="BM118" s="309">
        <f>SUM(D118:G118)</f>
        <v>0</v>
      </c>
      <c r="BN118" s="220">
        <f>SUM(H118:K118)</f>
        <v>0</v>
      </c>
      <c r="BO118" s="220">
        <f>SUM(L118:O118)</f>
        <v>0</v>
      </c>
      <c r="BP118" s="305">
        <f>SUM(P118:S118)</f>
        <v>0</v>
      </c>
      <c r="BQ118" s="305">
        <f>SUM(T118:W118)</f>
        <v>0</v>
      </c>
      <c r="BR118" s="220">
        <f>SUM(X118:AA118)</f>
        <v>0</v>
      </c>
      <c r="BS118" s="220">
        <f>SUM(AB118:AE118)</f>
        <v>0</v>
      </c>
      <c r="BT118" s="735">
        <f>SUM(AF118:AI118)</f>
        <v>0</v>
      </c>
      <c r="BU118" s="735">
        <f>SUM(AJ118:AM118)</f>
        <v>0</v>
      </c>
      <c r="BV118" s="700">
        <f>SUM(AN118:AQ118)</f>
        <v>0</v>
      </c>
      <c r="BW118" s="700">
        <f>SUM(AR118:AU118)</f>
        <v>0</v>
      </c>
      <c r="BX118" s="700">
        <f>SUM(AV118:AY118)</f>
        <v>0</v>
      </c>
      <c r="BY118" s="735">
        <f>SUM(AZ118:BC118)</f>
        <v>0</v>
      </c>
      <c r="BZ118" s="738">
        <f>SUM(BD118:BG118)</f>
        <v>0</v>
      </c>
      <c r="CA118" s="738">
        <f>SUM(BH118:BK118)</f>
        <v>0</v>
      </c>
      <c r="CB118" s="184"/>
      <c r="CC118" s="184"/>
      <c r="CD118" s="184"/>
    </row>
    <row r="119" spans="1:82" ht="14.25" hidden="1" customHeight="1" outlineLevel="2">
      <c r="A119" s="203"/>
      <c r="B119" s="227" t="s">
        <v>316</v>
      </c>
      <c r="C119" s="331"/>
      <c r="D119" s="305">
        <v>0</v>
      </c>
      <c r="E119" s="305">
        <v>0</v>
      </c>
      <c r="F119" s="305">
        <v>0</v>
      </c>
      <c r="G119" s="306">
        <v>0</v>
      </c>
      <c r="H119" s="305">
        <v>0</v>
      </c>
      <c r="I119" s="305">
        <v>0</v>
      </c>
      <c r="J119" s="305">
        <v>0</v>
      </c>
      <c r="K119" s="306">
        <v>0</v>
      </c>
      <c r="L119" s="305">
        <v>0</v>
      </c>
      <c r="M119" s="305">
        <v>0</v>
      </c>
      <c r="N119" s="305">
        <v>0</v>
      </c>
      <c r="O119" s="306">
        <v>0</v>
      </c>
      <c r="P119" s="305">
        <v>0</v>
      </c>
      <c r="Q119" s="305">
        <v>0</v>
      </c>
      <c r="R119" s="305">
        <v>0</v>
      </c>
      <c r="S119" s="306">
        <v>0</v>
      </c>
      <c r="T119" s="330">
        <v>0</v>
      </c>
      <c r="U119" s="305">
        <v>0</v>
      </c>
      <c r="V119" s="305">
        <v>0</v>
      </c>
      <c r="W119" s="306">
        <v>0</v>
      </c>
      <c r="X119" s="330">
        <v>0</v>
      </c>
      <c r="Y119" s="305">
        <v>0</v>
      </c>
      <c r="Z119" s="305">
        <v>0</v>
      </c>
      <c r="AA119" s="306">
        <v>0</v>
      </c>
      <c r="AB119" s="330">
        <v>0</v>
      </c>
      <c r="AC119" s="305">
        <v>0</v>
      </c>
      <c r="AD119" s="305">
        <v>0</v>
      </c>
      <c r="AE119" s="306">
        <v>0</v>
      </c>
      <c r="AF119" s="330">
        <v>0</v>
      </c>
      <c r="AG119" s="305">
        <v>0</v>
      </c>
      <c r="AH119" s="305">
        <v>0</v>
      </c>
      <c r="AI119" s="306">
        <v>0</v>
      </c>
      <c r="AJ119" s="330">
        <v>0</v>
      </c>
      <c r="AK119" s="305">
        <v>0</v>
      </c>
      <c r="AL119" s="305">
        <v>0</v>
      </c>
      <c r="AM119" s="346">
        <v>0</v>
      </c>
      <c r="AN119" s="330">
        <v>0</v>
      </c>
      <c r="AO119" s="305">
        <v>0</v>
      </c>
      <c r="AP119" s="305">
        <v>0</v>
      </c>
      <c r="AQ119" s="346">
        <v>0</v>
      </c>
      <c r="AR119" s="330">
        <v>0</v>
      </c>
      <c r="AS119" s="305">
        <v>0</v>
      </c>
      <c r="AT119" s="305">
        <v>0</v>
      </c>
      <c r="AU119" s="346">
        <v>0</v>
      </c>
      <c r="AV119" s="330">
        <v>0</v>
      </c>
      <c r="AW119" s="305">
        <v>0</v>
      </c>
      <c r="AX119" s="305">
        <v>0</v>
      </c>
      <c r="AY119" s="306">
        <v>0</v>
      </c>
      <c r="AZ119" s="330">
        <v>0</v>
      </c>
      <c r="BA119" s="329">
        <v>0</v>
      </c>
      <c r="BB119" s="329">
        <v>0</v>
      </c>
      <c r="BC119" s="328">
        <v>0</v>
      </c>
      <c r="BD119" s="329">
        <v>0</v>
      </c>
      <c r="BE119" s="329">
        <v>0</v>
      </c>
      <c r="BF119" s="329">
        <v>0</v>
      </c>
      <c r="BG119" s="328">
        <v>0</v>
      </c>
      <c r="BH119" s="329">
        <v>0</v>
      </c>
      <c r="BI119" s="329">
        <v>0</v>
      </c>
      <c r="BJ119" s="329">
        <v>0</v>
      </c>
      <c r="BK119" s="328">
        <v>0</v>
      </c>
      <c r="BL119" s="215"/>
      <c r="BM119" s="309">
        <f>SUM(D119:G119)</f>
        <v>0</v>
      </c>
      <c r="BN119" s="220">
        <f>SUM(H119:K119)</f>
        <v>0</v>
      </c>
      <c r="BO119" s="220">
        <f>SUM(L119:O119)</f>
        <v>0</v>
      </c>
      <c r="BP119" s="220">
        <f>SUM(P119:S119)</f>
        <v>0</v>
      </c>
      <c r="BQ119" s="220">
        <f>SUM(T119:W119)</f>
        <v>0</v>
      </c>
      <c r="BR119" s="220">
        <f>SUM(X119:AA119)</f>
        <v>0</v>
      </c>
      <c r="BS119" s="220">
        <f>SUM(AB119:AE119)</f>
        <v>0</v>
      </c>
      <c r="BT119" s="735">
        <f>SUM(AF119:AI119)</f>
        <v>0</v>
      </c>
      <c r="BU119" s="735">
        <f>SUM(AJ119:AM119)</f>
        <v>0</v>
      </c>
      <c r="BV119" s="700">
        <f>SUM(AN119:AQ119)</f>
        <v>0</v>
      </c>
      <c r="BW119" s="700">
        <f>SUM(AR119:AU119)</f>
        <v>0</v>
      </c>
      <c r="BX119" s="700">
        <f>SUM(AV119:AY119)</f>
        <v>0</v>
      </c>
      <c r="BY119" s="735">
        <f>SUM(AZ119:BC119)</f>
        <v>0</v>
      </c>
      <c r="BZ119" s="738">
        <f>SUM(BD119:BG119)</f>
        <v>0</v>
      </c>
      <c r="CA119" s="738">
        <f>SUM(BH119:BK119)</f>
        <v>0</v>
      </c>
      <c r="CB119" s="184"/>
      <c r="CC119" s="184"/>
      <c r="CD119" s="184"/>
    </row>
    <row r="120" spans="1:82" ht="14.25" hidden="1" customHeight="1" outlineLevel="2">
      <c r="A120" s="203"/>
      <c r="B120" s="217" t="s">
        <v>315</v>
      </c>
      <c r="C120" s="216"/>
      <c r="D120" s="220">
        <f t="shared" ref="D120:AQ120" si="481">D118+D119</f>
        <v>0</v>
      </c>
      <c r="E120" s="220">
        <f t="shared" si="481"/>
        <v>0</v>
      </c>
      <c r="F120" s="220">
        <f t="shared" si="481"/>
        <v>0</v>
      </c>
      <c r="G120" s="226">
        <f t="shared" si="481"/>
        <v>0</v>
      </c>
      <c r="H120" s="220">
        <f t="shared" si="481"/>
        <v>0</v>
      </c>
      <c r="I120" s="220">
        <f t="shared" si="481"/>
        <v>0</v>
      </c>
      <c r="J120" s="220">
        <f t="shared" si="481"/>
        <v>0</v>
      </c>
      <c r="K120" s="226">
        <f t="shared" si="481"/>
        <v>0</v>
      </c>
      <c r="L120" s="220">
        <f t="shared" si="481"/>
        <v>0</v>
      </c>
      <c r="M120" s="220">
        <f t="shared" si="481"/>
        <v>0</v>
      </c>
      <c r="N120" s="220">
        <f t="shared" si="481"/>
        <v>0</v>
      </c>
      <c r="O120" s="226">
        <f t="shared" si="481"/>
        <v>0</v>
      </c>
      <c r="P120" s="220">
        <f t="shared" si="481"/>
        <v>0</v>
      </c>
      <c r="Q120" s="220">
        <f t="shared" si="481"/>
        <v>0</v>
      </c>
      <c r="R120" s="220">
        <f t="shared" si="481"/>
        <v>0</v>
      </c>
      <c r="S120" s="226">
        <f t="shared" si="481"/>
        <v>0</v>
      </c>
      <c r="T120" s="309">
        <f t="shared" si="481"/>
        <v>0</v>
      </c>
      <c r="U120" s="220">
        <f t="shared" si="481"/>
        <v>0</v>
      </c>
      <c r="V120" s="220">
        <f t="shared" si="481"/>
        <v>0</v>
      </c>
      <c r="W120" s="226">
        <f t="shared" si="481"/>
        <v>0</v>
      </c>
      <c r="X120" s="309">
        <f t="shared" si="481"/>
        <v>0</v>
      </c>
      <c r="Y120" s="220">
        <f t="shared" si="481"/>
        <v>0</v>
      </c>
      <c r="Z120" s="220">
        <f t="shared" si="481"/>
        <v>0</v>
      </c>
      <c r="AA120" s="226">
        <f t="shared" si="481"/>
        <v>0</v>
      </c>
      <c r="AB120" s="309">
        <f t="shared" si="481"/>
        <v>0</v>
      </c>
      <c r="AC120" s="220">
        <f t="shared" si="481"/>
        <v>0</v>
      </c>
      <c r="AD120" s="220">
        <f t="shared" si="481"/>
        <v>0</v>
      </c>
      <c r="AE120" s="226">
        <f t="shared" si="481"/>
        <v>0</v>
      </c>
      <c r="AF120" s="309">
        <f t="shared" si="481"/>
        <v>0</v>
      </c>
      <c r="AG120" s="220">
        <f t="shared" si="481"/>
        <v>0</v>
      </c>
      <c r="AH120" s="220">
        <f t="shared" si="481"/>
        <v>0</v>
      </c>
      <c r="AI120" s="226">
        <f t="shared" si="481"/>
        <v>0</v>
      </c>
      <c r="AJ120" s="309">
        <f t="shared" si="481"/>
        <v>0</v>
      </c>
      <c r="AK120" s="220">
        <f t="shared" si="481"/>
        <v>0</v>
      </c>
      <c r="AL120" s="220">
        <f t="shared" si="481"/>
        <v>0</v>
      </c>
      <c r="AM120" s="345">
        <f t="shared" si="481"/>
        <v>0</v>
      </c>
      <c r="AN120" s="309">
        <f t="shared" si="481"/>
        <v>0</v>
      </c>
      <c r="AO120" s="220">
        <f t="shared" si="481"/>
        <v>0</v>
      </c>
      <c r="AP120" s="220">
        <f t="shared" si="481"/>
        <v>0</v>
      </c>
      <c r="AQ120" s="345">
        <f t="shared" si="481"/>
        <v>0</v>
      </c>
      <c r="AR120" s="309">
        <f t="shared" ref="AR120:AW120" si="482">AR118+AR119</f>
        <v>0</v>
      </c>
      <c r="AS120" s="220">
        <f t="shared" si="482"/>
        <v>0</v>
      </c>
      <c r="AT120" s="220">
        <f t="shared" si="482"/>
        <v>0</v>
      </c>
      <c r="AU120" s="345">
        <f t="shared" si="482"/>
        <v>0</v>
      </c>
      <c r="AV120" s="309">
        <f t="shared" si="482"/>
        <v>0</v>
      </c>
      <c r="AW120" s="220">
        <f t="shared" si="482"/>
        <v>0</v>
      </c>
      <c r="AX120" s="220">
        <f t="shared" ref="AX120:AZ120" si="483">AX118+AX119</f>
        <v>0</v>
      </c>
      <c r="AY120" s="738">
        <f t="shared" si="483"/>
        <v>0</v>
      </c>
      <c r="AZ120" s="747">
        <f t="shared" si="483"/>
        <v>0</v>
      </c>
      <c r="BA120" s="220">
        <f t="shared" ref="BA120:BG120" si="484">BA118+BA119</f>
        <v>0</v>
      </c>
      <c r="BB120" s="220">
        <f t="shared" si="484"/>
        <v>0</v>
      </c>
      <c r="BC120" s="226">
        <f t="shared" si="484"/>
        <v>0</v>
      </c>
      <c r="BD120" s="735">
        <f t="shared" si="484"/>
        <v>0</v>
      </c>
      <c r="BE120" s="735">
        <f t="shared" si="484"/>
        <v>0</v>
      </c>
      <c r="BF120" s="735">
        <f t="shared" si="484"/>
        <v>0</v>
      </c>
      <c r="BG120" s="738">
        <f t="shared" si="484"/>
        <v>0</v>
      </c>
      <c r="BH120" s="735">
        <f t="shared" ref="BH120:BK120" si="485">BH118+BH119</f>
        <v>0</v>
      </c>
      <c r="BI120" s="735">
        <f t="shared" si="485"/>
        <v>0</v>
      </c>
      <c r="BJ120" s="735">
        <f t="shared" si="485"/>
        <v>0</v>
      </c>
      <c r="BK120" s="738">
        <f t="shared" si="485"/>
        <v>0</v>
      </c>
      <c r="BL120" s="215"/>
      <c r="BM120" s="309">
        <f t="shared" ref="BM120:BX120" si="486">BM118+BM119</f>
        <v>0</v>
      </c>
      <c r="BN120" s="220">
        <f t="shared" si="486"/>
        <v>0</v>
      </c>
      <c r="BO120" s="220">
        <f t="shared" si="486"/>
        <v>0</v>
      </c>
      <c r="BP120" s="220">
        <f t="shared" si="486"/>
        <v>0</v>
      </c>
      <c r="BQ120" s="220">
        <f t="shared" si="486"/>
        <v>0</v>
      </c>
      <c r="BR120" s="220">
        <f t="shared" si="486"/>
        <v>0</v>
      </c>
      <c r="BS120" s="220">
        <f t="shared" si="486"/>
        <v>0</v>
      </c>
      <c r="BT120" s="735">
        <f t="shared" si="486"/>
        <v>0</v>
      </c>
      <c r="BU120" s="735">
        <f t="shared" si="486"/>
        <v>0</v>
      </c>
      <c r="BV120" s="700">
        <f t="shared" si="486"/>
        <v>0</v>
      </c>
      <c r="BW120" s="700">
        <f t="shared" si="486"/>
        <v>0</v>
      </c>
      <c r="BX120" s="700">
        <f t="shared" si="486"/>
        <v>0</v>
      </c>
      <c r="BY120" s="735">
        <f>BY118+BY119</f>
        <v>0</v>
      </c>
      <c r="BZ120" s="738">
        <f>BZ118+BZ119</f>
        <v>0</v>
      </c>
      <c r="CA120" s="738">
        <f>CA118+CA119</f>
        <v>0</v>
      </c>
      <c r="CB120" s="184"/>
      <c r="CC120" s="184"/>
      <c r="CD120" s="184"/>
    </row>
    <row r="121" spans="1:82" ht="14.25" hidden="1" customHeight="1" outlineLevel="2">
      <c r="A121" s="203"/>
      <c r="B121" s="217"/>
      <c r="C121" s="216"/>
      <c r="D121" s="343"/>
      <c r="E121" s="343"/>
      <c r="F121" s="343"/>
      <c r="G121" s="344"/>
      <c r="H121" s="343"/>
      <c r="I121" s="343"/>
      <c r="J121" s="343"/>
      <c r="K121" s="344"/>
      <c r="L121" s="343"/>
      <c r="M121" s="343"/>
      <c r="N121" s="343"/>
      <c r="O121" s="344"/>
      <c r="P121" s="343"/>
      <c r="Q121" s="343"/>
      <c r="R121" s="343"/>
      <c r="S121" s="344"/>
      <c r="T121" s="341"/>
      <c r="U121" s="343"/>
      <c r="V121" s="343"/>
      <c r="W121" s="344"/>
      <c r="X121" s="341"/>
      <c r="Y121" s="343"/>
      <c r="Z121" s="343"/>
      <c r="AA121" s="344"/>
      <c r="AB121" s="341"/>
      <c r="AC121" s="343"/>
      <c r="AD121" s="343"/>
      <c r="AE121" s="344"/>
      <c r="AF121" s="341"/>
      <c r="AG121" s="343"/>
      <c r="AH121" s="343"/>
      <c r="AI121" s="344"/>
      <c r="AJ121" s="341"/>
      <c r="AK121" s="343"/>
      <c r="AL121" s="343"/>
      <c r="AM121" s="342"/>
      <c r="AN121" s="341"/>
      <c r="AO121" s="343"/>
      <c r="AP121" s="343"/>
      <c r="AQ121" s="342"/>
      <c r="AR121" s="341"/>
      <c r="AS121" s="343"/>
      <c r="AT121" s="343"/>
      <c r="AU121" s="342"/>
      <c r="AV121" s="341"/>
      <c r="AW121" s="343"/>
      <c r="AX121" s="343"/>
      <c r="AY121" s="344"/>
      <c r="AZ121" s="341"/>
      <c r="BA121" s="339"/>
      <c r="BB121" s="339"/>
      <c r="BC121" s="340"/>
      <c r="BD121" s="339"/>
      <c r="BE121" s="339"/>
      <c r="BF121" s="339"/>
      <c r="BG121" s="340"/>
      <c r="BH121" s="339"/>
      <c r="BI121" s="339"/>
      <c r="BJ121" s="339"/>
      <c r="BK121" s="340"/>
      <c r="BL121" s="215"/>
      <c r="BM121" s="257"/>
      <c r="BN121" s="255"/>
      <c r="BO121" s="255"/>
      <c r="BP121" s="255"/>
      <c r="BQ121" s="255"/>
      <c r="BR121" s="255"/>
      <c r="BS121" s="255"/>
      <c r="BT121" s="741"/>
      <c r="BU121" s="741"/>
      <c r="BV121" s="702"/>
      <c r="BW121" s="702"/>
      <c r="BX121" s="702"/>
      <c r="BY121" s="741"/>
      <c r="BZ121" s="742"/>
      <c r="CA121" s="742"/>
      <c r="CB121" s="184"/>
      <c r="CC121" s="184"/>
      <c r="CD121" s="184"/>
    </row>
    <row r="122" spans="1:82" ht="14.25" hidden="1" customHeight="1" outlineLevel="2">
      <c r="A122" s="203"/>
      <c r="B122" s="321" t="s">
        <v>314</v>
      </c>
      <c r="C122" s="320"/>
      <c r="D122" s="332">
        <f t="shared" ref="D122:AQ122" si="487">D106+D118</f>
        <v>142.78000000000006</v>
      </c>
      <c r="E122" s="332">
        <f t="shared" si="487"/>
        <v>412.81400000000014</v>
      </c>
      <c r="F122" s="332">
        <f t="shared" si="487"/>
        <v>512.04000000000019</v>
      </c>
      <c r="G122" s="333">
        <f t="shared" si="487"/>
        <v>449.029</v>
      </c>
      <c r="H122" s="332">
        <f t="shared" si="487"/>
        <v>403.47599999999983</v>
      </c>
      <c r="I122" s="332">
        <f t="shared" si="487"/>
        <v>411.4440000000003</v>
      </c>
      <c r="J122" s="332">
        <f t="shared" si="487"/>
        <v>473.51499999999982</v>
      </c>
      <c r="K122" s="333">
        <f t="shared" si="487"/>
        <v>421.76099999999997</v>
      </c>
      <c r="L122" s="332">
        <f t="shared" si="487"/>
        <v>262.37600000000009</v>
      </c>
      <c r="M122" s="332">
        <f t="shared" si="487"/>
        <v>302.50699999999995</v>
      </c>
      <c r="N122" s="332">
        <f t="shared" si="487"/>
        <v>164.76799999999974</v>
      </c>
      <c r="O122" s="333">
        <f t="shared" si="487"/>
        <v>231.09499999999997</v>
      </c>
      <c r="P122" s="332">
        <f t="shared" si="487"/>
        <v>-132.934</v>
      </c>
      <c r="Q122" s="332">
        <f t="shared" si="487"/>
        <v>-255.39</v>
      </c>
      <c r="R122" s="332">
        <f t="shared" si="487"/>
        <v>-54.864999999999995</v>
      </c>
      <c r="S122" s="333">
        <f t="shared" si="487"/>
        <v>137.86200000000002</v>
      </c>
      <c r="T122" s="334">
        <f t="shared" si="487"/>
        <v>82.75100000000009</v>
      </c>
      <c r="U122" s="332">
        <f t="shared" si="487"/>
        <v>263.97200000000009</v>
      </c>
      <c r="V122" s="332">
        <f t="shared" si="487"/>
        <v>123.09599999999996</v>
      </c>
      <c r="W122" s="333">
        <f t="shared" si="487"/>
        <v>467.79699999999997</v>
      </c>
      <c r="X122" s="334">
        <f t="shared" si="487"/>
        <v>506</v>
      </c>
      <c r="Y122" s="332">
        <f t="shared" si="487"/>
        <v>489</v>
      </c>
      <c r="Z122" s="332">
        <f t="shared" si="487"/>
        <v>476</v>
      </c>
      <c r="AA122" s="333">
        <f t="shared" si="487"/>
        <v>456</v>
      </c>
      <c r="AB122" s="334">
        <f t="shared" si="487"/>
        <v>117</v>
      </c>
      <c r="AC122" s="332">
        <f t="shared" si="487"/>
        <v>289</v>
      </c>
      <c r="AD122" s="332">
        <f t="shared" si="487"/>
        <v>218</v>
      </c>
      <c r="AE122" s="333">
        <f t="shared" si="487"/>
        <v>-515</v>
      </c>
      <c r="AF122" s="334">
        <f t="shared" si="487"/>
        <v>34</v>
      </c>
      <c r="AG122" s="332">
        <f t="shared" si="487"/>
        <v>-129</v>
      </c>
      <c r="AH122" s="332">
        <f t="shared" si="487"/>
        <v>168</v>
      </c>
      <c r="AI122" s="333">
        <f t="shared" si="487"/>
        <v>183</v>
      </c>
      <c r="AJ122" s="334">
        <f t="shared" si="487"/>
        <v>253</v>
      </c>
      <c r="AK122" s="332">
        <f t="shared" si="487"/>
        <v>262</v>
      </c>
      <c r="AL122" s="332">
        <f t="shared" si="487"/>
        <v>301</v>
      </c>
      <c r="AM122" s="335">
        <f t="shared" si="487"/>
        <v>256</v>
      </c>
      <c r="AN122" s="334">
        <f t="shared" si="487"/>
        <v>348</v>
      </c>
      <c r="AO122" s="332">
        <f t="shared" si="487"/>
        <v>364</v>
      </c>
      <c r="AP122" s="332">
        <f t="shared" si="487"/>
        <v>329</v>
      </c>
      <c r="AQ122" s="335">
        <f t="shared" si="487"/>
        <v>336</v>
      </c>
      <c r="AR122" s="334">
        <f t="shared" ref="AR122:AW122" si="488">AR106+AR118</f>
        <v>286</v>
      </c>
      <c r="AS122" s="332">
        <f t="shared" si="488"/>
        <v>320</v>
      </c>
      <c r="AT122" s="332">
        <f t="shared" si="488"/>
        <v>505</v>
      </c>
      <c r="AU122" s="335">
        <f t="shared" si="488"/>
        <v>610</v>
      </c>
      <c r="AV122" s="334">
        <f t="shared" si="488"/>
        <v>703</v>
      </c>
      <c r="AW122" s="332">
        <f t="shared" si="488"/>
        <v>824</v>
      </c>
      <c r="AX122" s="332">
        <f t="shared" ref="AX122:AZ122" si="489">AX106+AX118</f>
        <v>925</v>
      </c>
      <c r="AY122" s="712">
        <f t="shared" si="489"/>
        <v>982</v>
      </c>
      <c r="AZ122" s="334">
        <f t="shared" si="489"/>
        <v>135</v>
      </c>
      <c r="BA122" s="332">
        <f t="shared" ref="BA122:BG122" si="490">BA106+BA118</f>
        <v>1180.213034684273</v>
      </c>
      <c r="BB122" s="332">
        <f t="shared" si="490"/>
        <v>1110.0361922414725</v>
      </c>
      <c r="BC122" s="333">
        <f t="shared" si="490"/>
        <v>1120.5499734749899</v>
      </c>
      <c r="BD122" s="711">
        <f t="shared" si="490"/>
        <v>986.85191582393418</v>
      </c>
      <c r="BE122" s="711">
        <f t="shared" si="490"/>
        <v>987.09280483287193</v>
      </c>
      <c r="BF122" s="711">
        <f t="shared" si="490"/>
        <v>977.88533664776821</v>
      </c>
      <c r="BG122" s="712">
        <f t="shared" si="490"/>
        <v>997.67693238544575</v>
      </c>
      <c r="BH122" s="711">
        <f t="shared" ref="BH122:BK122" si="491">BH106+BH118</f>
        <v>998.22335401252178</v>
      </c>
      <c r="BI122" s="711">
        <f t="shared" si="491"/>
        <v>1006.2647702372287</v>
      </c>
      <c r="BJ122" s="711">
        <f t="shared" si="491"/>
        <v>1020.346843036396</v>
      </c>
      <c r="BK122" s="712">
        <f t="shared" si="491"/>
        <v>1021.9190416952623</v>
      </c>
      <c r="BL122" s="215"/>
      <c r="BM122" s="334">
        <f t="shared" ref="BM122:BX122" si="492">BM106+BM118</f>
        <v>1516.6630000000014</v>
      </c>
      <c r="BN122" s="332">
        <f t="shared" si="492"/>
        <v>1710.1959999999999</v>
      </c>
      <c r="BO122" s="332">
        <f t="shared" si="492"/>
        <v>960.74599999999964</v>
      </c>
      <c r="BP122" s="332">
        <f t="shared" si="492"/>
        <v>-305.327</v>
      </c>
      <c r="BQ122" s="332">
        <f t="shared" si="492"/>
        <v>937.61599999999919</v>
      </c>
      <c r="BR122" s="332">
        <f t="shared" si="492"/>
        <v>1927</v>
      </c>
      <c r="BS122" s="332">
        <f t="shared" si="492"/>
        <v>109</v>
      </c>
      <c r="BT122" s="711">
        <f t="shared" si="492"/>
        <v>256</v>
      </c>
      <c r="BU122" s="711">
        <f t="shared" si="492"/>
        <v>1072</v>
      </c>
      <c r="BV122" s="711">
        <f t="shared" si="492"/>
        <v>1377</v>
      </c>
      <c r="BW122" s="711">
        <f t="shared" si="492"/>
        <v>1721</v>
      </c>
      <c r="BX122" s="711">
        <f t="shared" si="492"/>
        <v>3434</v>
      </c>
      <c r="BY122" s="711">
        <f>BY106+BY118</f>
        <v>3545.7992004007347</v>
      </c>
      <c r="BZ122" s="712">
        <f>BZ106+BZ118</f>
        <v>3949.5069896900195</v>
      </c>
      <c r="CA122" s="712">
        <f>CA106+CA118</f>
        <v>4046.7540089814088</v>
      </c>
      <c r="CB122" s="184"/>
      <c r="CC122" s="184"/>
      <c r="CD122" s="184"/>
    </row>
    <row r="123" spans="1:82" ht="14.25" hidden="1" customHeight="1" outlineLevel="2">
      <c r="A123" s="203"/>
      <c r="B123" s="262" t="s">
        <v>313</v>
      </c>
      <c r="C123" s="261"/>
      <c r="D123" s="275">
        <f t="shared" ref="D123:AQ123" si="493">D122/D7</f>
        <v>7.6862949452840043E-2</v>
      </c>
      <c r="E123" s="275">
        <f t="shared" si="493"/>
        <v>0.18366177482086027</v>
      </c>
      <c r="F123" s="275">
        <f t="shared" si="493"/>
        <v>0.20131766271152926</v>
      </c>
      <c r="G123" s="277">
        <f t="shared" si="493"/>
        <v>0.17830689280397474</v>
      </c>
      <c r="H123" s="275">
        <f t="shared" si="493"/>
        <v>0.17717553541152611</v>
      </c>
      <c r="I123" s="275">
        <f t="shared" si="493"/>
        <v>0.16265431037243233</v>
      </c>
      <c r="J123" s="275">
        <f t="shared" si="493"/>
        <v>0.18489572757971148</v>
      </c>
      <c r="K123" s="277">
        <f t="shared" si="493"/>
        <v>0.17818046474843729</v>
      </c>
      <c r="L123" s="275">
        <f t="shared" si="493"/>
        <v>0.12569530376828178</v>
      </c>
      <c r="M123" s="275">
        <f t="shared" si="493"/>
        <v>0.14070106111726613</v>
      </c>
      <c r="N123" s="275">
        <f t="shared" si="493"/>
        <v>8.9152068426679693E-2</v>
      </c>
      <c r="O123" s="277">
        <f t="shared" si="493"/>
        <v>0.1130780451118254</v>
      </c>
      <c r="P123" s="275">
        <f t="shared" si="493"/>
        <v>-9.9695814296728053E-2</v>
      </c>
      <c r="Q123" s="275">
        <f t="shared" si="493"/>
        <v>-0.25036345295502199</v>
      </c>
      <c r="R123" s="275">
        <f t="shared" si="493"/>
        <v>-4.8392929595850898E-2</v>
      </c>
      <c r="S123" s="277">
        <f t="shared" si="493"/>
        <v>9.031875125295305E-2</v>
      </c>
      <c r="T123" s="337">
        <f t="shared" si="493"/>
        <v>4.47568340561047E-2</v>
      </c>
      <c r="U123" s="275">
        <f t="shared" si="493"/>
        <v>0.11499342202706121</v>
      </c>
      <c r="V123" s="275">
        <f t="shared" si="493"/>
        <v>4.8890495235901311E-2</v>
      </c>
      <c r="W123" s="277">
        <f t="shared" si="493"/>
        <v>0.1620673945541819</v>
      </c>
      <c r="X123" s="337">
        <f t="shared" si="493"/>
        <v>0.18838421444527179</v>
      </c>
      <c r="Y123" s="275">
        <f t="shared" si="493"/>
        <v>0.17085953878406709</v>
      </c>
      <c r="Z123" s="275">
        <f t="shared" si="493"/>
        <v>0.1707929673484033</v>
      </c>
      <c r="AA123" s="277">
        <f t="shared" si="493"/>
        <v>0.20898258478460127</v>
      </c>
      <c r="AB123" s="337">
        <f t="shared" si="493"/>
        <v>5.3449063499314754E-2</v>
      </c>
      <c r="AC123" s="275">
        <f t="shared" si="493"/>
        <v>0.11373475009838646</v>
      </c>
      <c r="AD123" s="275">
        <f t="shared" si="493"/>
        <v>9.3043107127614169E-2</v>
      </c>
      <c r="AE123" s="277">
        <f t="shared" si="493"/>
        <v>-0.31287970838396112</v>
      </c>
      <c r="AF123" s="337">
        <f t="shared" si="493"/>
        <v>2.1614748887476162E-2</v>
      </c>
      <c r="AG123" s="275">
        <f t="shared" si="493"/>
        <v>-6.5382665990876832E-2</v>
      </c>
      <c r="AH123" s="275">
        <f t="shared" si="493"/>
        <v>8.5063291139240507E-2</v>
      </c>
      <c r="AI123" s="277">
        <f t="shared" si="493"/>
        <v>9.2052313883299805E-2</v>
      </c>
      <c r="AJ123" s="337">
        <f t="shared" si="493"/>
        <v>0.11552511415525114</v>
      </c>
      <c r="AK123" s="275">
        <f t="shared" si="493"/>
        <v>0.111347216319592</v>
      </c>
      <c r="AL123" s="275">
        <f t="shared" si="493"/>
        <v>0.13289183222958056</v>
      </c>
      <c r="AM123" s="338">
        <f t="shared" si="493"/>
        <v>0.11307420494699646</v>
      </c>
      <c r="AN123" s="337">
        <f t="shared" si="493"/>
        <v>0.14752013565069944</v>
      </c>
      <c r="AO123" s="275">
        <f t="shared" si="493"/>
        <v>0.14905814905814907</v>
      </c>
      <c r="AP123" s="275">
        <f t="shared" si="493"/>
        <v>0.13212851405622489</v>
      </c>
      <c r="AQ123" s="338">
        <f t="shared" si="493"/>
        <v>0.14189189189189189</v>
      </c>
      <c r="AR123" s="337">
        <f t="shared" ref="AR123:AW123" si="494">AR122/AR7</f>
        <v>0.12671688081524146</v>
      </c>
      <c r="AS123" s="275">
        <f t="shared" si="494"/>
        <v>0.1306122448979592</v>
      </c>
      <c r="AT123" s="275">
        <f t="shared" si="494"/>
        <v>0.17901453385324353</v>
      </c>
      <c r="AU123" s="338">
        <f t="shared" si="494"/>
        <v>0.18501668183196845</v>
      </c>
      <c r="AV123" s="337">
        <f t="shared" si="494"/>
        <v>0.21446003660768762</v>
      </c>
      <c r="AW123" s="275">
        <f t="shared" si="494"/>
        <v>0.2323745064861816</v>
      </c>
      <c r="AX123" s="275">
        <f t="shared" ref="AX123:AZ123" si="495">AX122/AX7</f>
        <v>0.24706196581196582</v>
      </c>
      <c r="AY123" s="705">
        <f t="shared" si="495"/>
        <v>0.24741748551272361</v>
      </c>
      <c r="AZ123" s="713">
        <f t="shared" si="495"/>
        <v>3.2112274024738346E-2</v>
      </c>
      <c r="BA123" s="275">
        <f t="shared" ref="BA123:BG123" si="496">BA122/BA7</f>
        <v>0.26463516641970486</v>
      </c>
      <c r="BB123" s="275">
        <f t="shared" si="496"/>
        <v>0.25560072256002225</v>
      </c>
      <c r="BC123" s="277">
        <f t="shared" si="496"/>
        <v>0.25637473682727302</v>
      </c>
      <c r="BD123" s="704">
        <f t="shared" si="496"/>
        <v>0.23281885245585002</v>
      </c>
      <c r="BE123" s="704">
        <f t="shared" si="496"/>
        <v>0.23079852464665643</v>
      </c>
      <c r="BF123" s="704">
        <f t="shared" si="496"/>
        <v>0.22735226959524077</v>
      </c>
      <c r="BG123" s="705">
        <f t="shared" si="496"/>
        <v>0.22884055775761131</v>
      </c>
      <c r="BH123" s="704">
        <f t="shared" ref="BH123:BK123" si="497">BH122/BH7</f>
        <v>0.230693175411361</v>
      </c>
      <c r="BI123" s="704">
        <f t="shared" si="497"/>
        <v>0.23052436024230596</v>
      </c>
      <c r="BJ123" s="704">
        <f t="shared" si="497"/>
        <v>0.23135899226584422</v>
      </c>
      <c r="BK123" s="705">
        <f t="shared" si="497"/>
        <v>0.2314779682139998</v>
      </c>
      <c r="BL123" s="215"/>
      <c r="BM123" s="337">
        <f t="shared" ref="BM123:BX123" si="498">BM122/BM7</f>
        <v>0.16544787648409845</v>
      </c>
      <c r="BN123" s="275">
        <f t="shared" si="498"/>
        <v>0.17567758578041626</v>
      </c>
      <c r="BO123" s="275">
        <f t="shared" si="498"/>
        <v>0.11818398767904499</v>
      </c>
      <c r="BP123" s="275">
        <f t="shared" si="498"/>
        <v>-6.0899667644472334E-2</v>
      </c>
      <c r="BQ123" s="275">
        <f t="shared" si="498"/>
        <v>9.8193391810605532E-2</v>
      </c>
      <c r="BR123" s="275">
        <f t="shared" si="498"/>
        <v>0.18322715603308928</v>
      </c>
      <c r="BS123" s="275">
        <f t="shared" si="498"/>
        <v>1.250143365064801E-2</v>
      </c>
      <c r="BT123" s="704">
        <f t="shared" si="498"/>
        <v>3.4092422426421624E-2</v>
      </c>
      <c r="BU123" s="704">
        <f t="shared" si="498"/>
        <v>0.11816578483245149</v>
      </c>
      <c r="BV123" s="704">
        <f t="shared" si="498"/>
        <v>0.14256134175380475</v>
      </c>
      <c r="BW123" s="704">
        <f t="shared" si="498"/>
        <v>0.15898383371824482</v>
      </c>
      <c r="BX123" s="704">
        <f t="shared" si="498"/>
        <v>0.23622480566829471</v>
      </c>
      <c r="BY123" s="704">
        <f>BY122/BY7</f>
        <v>0.20404686302900957</v>
      </c>
      <c r="BZ123" s="705">
        <f>BZ122/BZ7</f>
        <v>0.22993713860062751</v>
      </c>
      <c r="CA123" s="705">
        <f>CA122/CA7</f>
        <v>0.23101652568954087</v>
      </c>
      <c r="CB123" s="184"/>
      <c r="CC123" s="184"/>
      <c r="CD123" s="184"/>
    </row>
    <row r="124" spans="1:82" ht="14.25" hidden="1" customHeight="1" outlineLevel="2">
      <c r="A124" s="203"/>
      <c r="B124" s="262"/>
      <c r="C124" s="261"/>
      <c r="D124" s="323"/>
      <c r="E124" s="323"/>
      <c r="F124" s="323"/>
      <c r="G124" s="324"/>
      <c r="H124" s="323"/>
      <c r="I124" s="323"/>
      <c r="J124" s="323"/>
      <c r="K124" s="324"/>
      <c r="L124" s="323"/>
      <c r="M124" s="323"/>
      <c r="N124" s="323"/>
      <c r="O124" s="324"/>
      <c r="P124" s="323"/>
      <c r="Q124" s="323"/>
      <c r="R124" s="323"/>
      <c r="S124" s="324"/>
      <c r="T124" s="325"/>
      <c r="U124" s="323"/>
      <c r="V124" s="323"/>
      <c r="W124" s="324"/>
      <c r="X124" s="325"/>
      <c r="Y124" s="323"/>
      <c r="Z124" s="323"/>
      <c r="AA124" s="324"/>
      <c r="AB124" s="325"/>
      <c r="AC124" s="323"/>
      <c r="AD124" s="323"/>
      <c r="AE124" s="324"/>
      <c r="AF124" s="325"/>
      <c r="AG124" s="323"/>
      <c r="AH124" s="323"/>
      <c r="AI124" s="324"/>
      <c r="AJ124" s="325"/>
      <c r="AK124" s="323"/>
      <c r="AL124" s="323"/>
      <c r="AM124" s="336"/>
      <c r="AN124" s="325"/>
      <c r="AO124" s="323"/>
      <c r="AP124" s="323"/>
      <c r="AQ124" s="336"/>
      <c r="AR124" s="325"/>
      <c r="AS124" s="323"/>
      <c r="AT124" s="323"/>
      <c r="AU124" s="336"/>
      <c r="AV124" s="325"/>
      <c r="AW124" s="323"/>
      <c r="AX124" s="323"/>
      <c r="AY124" s="324"/>
      <c r="AZ124" s="325"/>
      <c r="BA124" s="326"/>
      <c r="BB124" s="326"/>
      <c r="BC124" s="327"/>
      <c r="BD124" s="326"/>
      <c r="BE124" s="326"/>
      <c r="BF124" s="326"/>
      <c r="BG124" s="327"/>
      <c r="BH124" s="326"/>
      <c r="BI124" s="326"/>
      <c r="BJ124" s="326"/>
      <c r="BK124" s="327"/>
      <c r="BL124" s="215"/>
      <c r="BM124" s="325"/>
      <c r="BN124" s="323"/>
      <c r="BO124" s="323"/>
      <c r="BP124" s="323"/>
      <c r="BQ124" s="323"/>
      <c r="BR124" s="323"/>
      <c r="BS124" s="323"/>
      <c r="BT124" s="710"/>
      <c r="BU124" s="710"/>
      <c r="BV124" s="710"/>
      <c r="BW124" s="710"/>
      <c r="BX124" s="710"/>
      <c r="BY124" s="710"/>
      <c r="BZ124" s="324"/>
      <c r="CA124" s="324"/>
      <c r="CB124" s="184"/>
      <c r="CC124" s="184"/>
      <c r="CD124" s="184"/>
    </row>
    <row r="125" spans="1:82" ht="14.25" hidden="1" customHeight="1" outlineLevel="2">
      <c r="A125" s="203"/>
      <c r="B125" s="321" t="s">
        <v>312</v>
      </c>
      <c r="C125" s="320"/>
      <c r="D125" s="332">
        <f t="shared" ref="D125:AQ125" si="499">D122+D126</f>
        <v>142.78000000000006</v>
      </c>
      <c r="E125" s="332">
        <f t="shared" si="499"/>
        <v>412.81400000000014</v>
      </c>
      <c r="F125" s="332">
        <f t="shared" si="499"/>
        <v>512.04000000000019</v>
      </c>
      <c r="G125" s="333">
        <f t="shared" si="499"/>
        <v>449.029</v>
      </c>
      <c r="H125" s="332">
        <f t="shared" si="499"/>
        <v>403.47599999999983</v>
      </c>
      <c r="I125" s="332">
        <f t="shared" si="499"/>
        <v>411.4440000000003</v>
      </c>
      <c r="J125" s="332">
        <f t="shared" si="499"/>
        <v>473.51499999999982</v>
      </c>
      <c r="K125" s="333">
        <f t="shared" si="499"/>
        <v>421.76099999999997</v>
      </c>
      <c r="L125" s="332">
        <f t="shared" si="499"/>
        <v>262.37600000000009</v>
      </c>
      <c r="M125" s="332">
        <f t="shared" si="499"/>
        <v>302.50699999999995</v>
      </c>
      <c r="N125" s="332">
        <f t="shared" si="499"/>
        <v>164.76799999999974</v>
      </c>
      <c r="O125" s="333">
        <f t="shared" si="499"/>
        <v>231.09499999999997</v>
      </c>
      <c r="P125" s="332">
        <f t="shared" si="499"/>
        <v>-132.934</v>
      </c>
      <c r="Q125" s="332">
        <f t="shared" si="499"/>
        <v>-255.39</v>
      </c>
      <c r="R125" s="332">
        <f t="shared" si="499"/>
        <v>-54.864999999999995</v>
      </c>
      <c r="S125" s="333">
        <f t="shared" si="499"/>
        <v>137.86200000000002</v>
      </c>
      <c r="T125" s="334">
        <f t="shared" si="499"/>
        <v>82.75100000000009</v>
      </c>
      <c r="U125" s="332">
        <f t="shared" si="499"/>
        <v>263.97200000000009</v>
      </c>
      <c r="V125" s="332">
        <f t="shared" si="499"/>
        <v>123.09599999999996</v>
      </c>
      <c r="W125" s="333">
        <f t="shared" si="499"/>
        <v>467.79699999999997</v>
      </c>
      <c r="X125" s="334">
        <f t="shared" si="499"/>
        <v>506</v>
      </c>
      <c r="Y125" s="332">
        <f t="shared" si="499"/>
        <v>489</v>
      </c>
      <c r="Z125" s="332">
        <f t="shared" si="499"/>
        <v>476</v>
      </c>
      <c r="AA125" s="333">
        <f t="shared" si="499"/>
        <v>456</v>
      </c>
      <c r="AB125" s="334">
        <f t="shared" si="499"/>
        <v>117</v>
      </c>
      <c r="AC125" s="332">
        <f t="shared" si="499"/>
        <v>289</v>
      </c>
      <c r="AD125" s="332">
        <f t="shared" si="499"/>
        <v>218</v>
      </c>
      <c r="AE125" s="333">
        <f t="shared" si="499"/>
        <v>-515</v>
      </c>
      <c r="AF125" s="334">
        <f t="shared" si="499"/>
        <v>34</v>
      </c>
      <c r="AG125" s="332">
        <f t="shared" si="499"/>
        <v>-129</v>
      </c>
      <c r="AH125" s="332">
        <f t="shared" si="499"/>
        <v>168</v>
      </c>
      <c r="AI125" s="333">
        <f t="shared" si="499"/>
        <v>183</v>
      </c>
      <c r="AJ125" s="334">
        <f t="shared" si="499"/>
        <v>253</v>
      </c>
      <c r="AK125" s="332">
        <f t="shared" si="499"/>
        <v>262</v>
      </c>
      <c r="AL125" s="332">
        <f t="shared" si="499"/>
        <v>301</v>
      </c>
      <c r="AM125" s="335">
        <f t="shared" si="499"/>
        <v>256</v>
      </c>
      <c r="AN125" s="334">
        <f t="shared" si="499"/>
        <v>348</v>
      </c>
      <c r="AO125" s="332">
        <f t="shared" si="499"/>
        <v>364</v>
      </c>
      <c r="AP125" s="332">
        <f t="shared" si="499"/>
        <v>329</v>
      </c>
      <c r="AQ125" s="335">
        <f t="shared" si="499"/>
        <v>336</v>
      </c>
      <c r="AR125" s="334">
        <f t="shared" ref="AR125:AW125" si="500">AR122+AR126</f>
        <v>286</v>
      </c>
      <c r="AS125" s="332">
        <f t="shared" si="500"/>
        <v>320</v>
      </c>
      <c r="AT125" s="332">
        <f t="shared" si="500"/>
        <v>505</v>
      </c>
      <c r="AU125" s="335">
        <f t="shared" si="500"/>
        <v>610</v>
      </c>
      <c r="AV125" s="334">
        <f t="shared" si="500"/>
        <v>703</v>
      </c>
      <c r="AW125" s="332">
        <f t="shared" si="500"/>
        <v>824</v>
      </c>
      <c r="AX125" s="332">
        <f t="shared" ref="AX125:AZ125" si="501">AX122+AX126</f>
        <v>925</v>
      </c>
      <c r="AY125" s="712">
        <f t="shared" si="501"/>
        <v>982</v>
      </c>
      <c r="AZ125" s="334">
        <f t="shared" si="501"/>
        <v>135</v>
      </c>
      <c r="BA125" s="332">
        <f t="shared" ref="BA125:BG125" si="502">BA122+BA126</f>
        <v>1180.213034684273</v>
      </c>
      <c r="BB125" s="332">
        <f t="shared" si="502"/>
        <v>1110.0361922414725</v>
      </c>
      <c r="BC125" s="333">
        <f t="shared" si="502"/>
        <v>1120.5499734749899</v>
      </c>
      <c r="BD125" s="711">
        <f t="shared" si="502"/>
        <v>986.85191582393418</v>
      </c>
      <c r="BE125" s="711">
        <f t="shared" si="502"/>
        <v>987.09280483287193</v>
      </c>
      <c r="BF125" s="711">
        <f t="shared" si="502"/>
        <v>977.88533664776821</v>
      </c>
      <c r="BG125" s="712">
        <f t="shared" si="502"/>
        <v>997.67693238544575</v>
      </c>
      <c r="BH125" s="711">
        <f t="shared" ref="BH125:BK125" si="503">BH122+BH126</f>
        <v>998.22335401252178</v>
      </c>
      <c r="BI125" s="711">
        <f t="shared" si="503"/>
        <v>1006.2647702372287</v>
      </c>
      <c r="BJ125" s="711">
        <f t="shared" si="503"/>
        <v>1020.346843036396</v>
      </c>
      <c r="BK125" s="712">
        <f t="shared" si="503"/>
        <v>1021.9190416952623</v>
      </c>
      <c r="BL125" s="215"/>
      <c r="BM125" s="334">
        <f t="shared" ref="BM125:BX125" si="504">BM122+BM126</f>
        <v>1516.6630000000014</v>
      </c>
      <c r="BN125" s="332">
        <f t="shared" si="504"/>
        <v>1710.1959999999999</v>
      </c>
      <c r="BO125" s="332">
        <f t="shared" si="504"/>
        <v>960.74599999999964</v>
      </c>
      <c r="BP125" s="332">
        <f t="shared" si="504"/>
        <v>-305.327</v>
      </c>
      <c r="BQ125" s="332">
        <f t="shared" si="504"/>
        <v>937.61599999999919</v>
      </c>
      <c r="BR125" s="332">
        <f t="shared" si="504"/>
        <v>1927</v>
      </c>
      <c r="BS125" s="332">
        <f t="shared" si="504"/>
        <v>109</v>
      </c>
      <c r="BT125" s="711">
        <f t="shared" si="504"/>
        <v>256</v>
      </c>
      <c r="BU125" s="711">
        <f t="shared" si="504"/>
        <v>1072</v>
      </c>
      <c r="BV125" s="711">
        <f t="shared" si="504"/>
        <v>1377</v>
      </c>
      <c r="BW125" s="711">
        <f t="shared" si="504"/>
        <v>1721</v>
      </c>
      <c r="BX125" s="711">
        <f t="shared" si="504"/>
        <v>3434</v>
      </c>
      <c r="BY125" s="711">
        <f>BY122+BY126</f>
        <v>3545.7992004007347</v>
      </c>
      <c r="BZ125" s="712">
        <f>BZ122+BZ126</f>
        <v>3949.5069896900195</v>
      </c>
      <c r="CA125" s="712">
        <f>CA122+CA126</f>
        <v>4046.7540089814088</v>
      </c>
      <c r="CB125" s="184"/>
      <c r="CC125" s="184"/>
      <c r="CD125" s="184"/>
    </row>
    <row r="126" spans="1:82" ht="14.25" hidden="1" customHeight="1" outlineLevel="2">
      <c r="A126" s="203"/>
      <c r="B126" s="227" t="s">
        <v>311</v>
      </c>
      <c r="C126" s="331"/>
      <c r="D126" s="305">
        <v>0</v>
      </c>
      <c r="E126" s="305">
        <v>0</v>
      </c>
      <c r="F126" s="305">
        <v>0</v>
      </c>
      <c r="G126" s="306">
        <v>0</v>
      </c>
      <c r="H126" s="305">
        <v>0</v>
      </c>
      <c r="I126" s="305">
        <v>0</v>
      </c>
      <c r="J126" s="305">
        <v>0</v>
      </c>
      <c r="K126" s="306">
        <v>0</v>
      </c>
      <c r="L126" s="305">
        <v>0</v>
      </c>
      <c r="M126" s="305">
        <v>0</v>
      </c>
      <c r="N126" s="305">
        <v>0</v>
      </c>
      <c r="O126" s="306">
        <v>0</v>
      </c>
      <c r="P126" s="305">
        <v>0</v>
      </c>
      <c r="Q126" s="305">
        <v>0</v>
      </c>
      <c r="R126" s="305">
        <v>0</v>
      </c>
      <c r="S126" s="306">
        <v>0</v>
      </c>
      <c r="T126" s="330">
        <v>0</v>
      </c>
      <c r="U126" s="305">
        <v>0</v>
      </c>
      <c r="V126" s="305">
        <v>0</v>
      </c>
      <c r="W126" s="306">
        <v>0</v>
      </c>
      <c r="X126" s="330">
        <v>0</v>
      </c>
      <c r="Y126" s="305">
        <v>0</v>
      </c>
      <c r="Z126" s="305">
        <v>0</v>
      </c>
      <c r="AA126" s="306">
        <v>0</v>
      </c>
      <c r="AB126" s="330">
        <v>0</v>
      </c>
      <c r="AC126" s="305">
        <v>0</v>
      </c>
      <c r="AD126" s="305">
        <v>0</v>
      </c>
      <c r="AE126" s="306">
        <v>0</v>
      </c>
      <c r="AF126" s="330">
        <v>0</v>
      </c>
      <c r="AG126" s="305">
        <v>0</v>
      </c>
      <c r="AH126" s="305">
        <v>0</v>
      </c>
      <c r="AI126" s="306">
        <v>0</v>
      </c>
      <c r="AJ126" s="330">
        <v>0</v>
      </c>
      <c r="AK126" s="305">
        <v>0</v>
      </c>
      <c r="AL126" s="305">
        <v>0</v>
      </c>
      <c r="AM126" s="306">
        <v>0</v>
      </c>
      <c r="AN126" s="330">
        <v>0</v>
      </c>
      <c r="AO126" s="305">
        <v>0</v>
      </c>
      <c r="AP126" s="305">
        <v>0</v>
      </c>
      <c r="AQ126" s="306">
        <v>0</v>
      </c>
      <c r="AR126" s="330">
        <v>0</v>
      </c>
      <c r="AS126" s="305">
        <v>0</v>
      </c>
      <c r="AT126" s="305">
        <v>0</v>
      </c>
      <c r="AU126" s="306">
        <v>0</v>
      </c>
      <c r="AV126" s="330">
        <v>0</v>
      </c>
      <c r="AW126" s="305">
        <v>0</v>
      </c>
      <c r="AX126" s="305">
        <v>0</v>
      </c>
      <c r="AY126" s="306">
        <v>0</v>
      </c>
      <c r="AZ126" s="330">
        <v>0</v>
      </c>
      <c r="BA126" s="329">
        <v>0</v>
      </c>
      <c r="BB126" s="329">
        <v>0</v>
      </c>
      <c r="BC126" s="328">
        <v>0</v>
      </c>
      <c r="BD126" s="329">
        <v>0</v>
      </c>
      <c r="BE126" s="329">
        <v>0</v>
      </c>
      <c r="BF126" s="329">
        <v>0</v>
      </c>
      <c r="BG126" s="328">
        <v>0</v>
      </c>
      <c r="BH126" s="329">
        <v>0</v>
      </c>
      <c r="BI126" s="329">
        <v>0</v>
      </c>
      <c r="BJ126" s="329">
        <v>0</v>
      </c>
      <c r="BK126" s="328">
        <v>0</v>
      </c>
      <c r="BL126" s="215"/>
      <c r="BM126" s="309">
        <f>SUM(D126:G126)</f>
        <v>0</v>
      </c>
      <c r="BN126" s="220">
        <f>SUM(H126:K126)</f>
        <v>0</v>
      </c>
      <c r="BO126" s="220">
        <f>SUM(L126:O126)</f>
        <v>0</v>
      </c>
      <c r="BP126" s="220">
        <f>SUM(P126:S126)</f>
        <v>0</v>
      </c>
      <c r="BQ126" s="220">
        <f>SUM(T126:W126)</f>
        <v>0</v>
      </c>
      <c r="BR126" s="220">
        <f>SUM(X126:AA126)</f>
        <v>0</v>
      </c>
      <c r="BS126" s="220">
        <f>SUM(AB126:AE126)</f>
        <v>0</v>
      </c>
      <c r="BT126" s="735">
        <f>SUM(AF126:AI126)</f>
        <v>0</v>
      </c>
      <c r="BU126" s="735">
        <f>SUM(AJ126:AM126)</f>
        <v>0</v>
      </c>
      <c r="BV126" s="700">
        <f>SUM(AN126:AQ126)</f>
        <v>0</v>
      </c>
      <c r="BW126" s="700">
        <f>SUM(AR126:AU126)</f>
        <v>0</v>
      </c>
      <c r="BX126" s="700">
        <f>SUM(AV126:AY126)</f>
        <v>0</v>
      </c>
      <c r="BY126" s="735">
        <f>SUM(AZ126:BC126)</f>
        <v>0</v>
      </c>
      <c r="BZ126" s="738">
        <f>SUM(BD126:BG126)</f>
        <v>0</v>
      </c>
      <c r="CA126" s="738">
        <f>SUM(BH126:BK126)</f>
        <v>0</v>
      </c>
      <c r="CB126" s="184"/>
      <c r="CC126" s="184"/>
      <c r="CD126" s="184"/>
    </row>
    <row r="127" spans="1:82" ht="14.25" hidden="1" customHeight="1" outlineLevel="1">
      <c r="A127" s="203"/>
      <c r="B127" s="217" t="s">
        <v>310</v>
      </c>
      <c r="C127" s="216"/>
      <c r="D127" s="318">
        <f t="shared" ref="D127:AI127" si="505">D125/D139</f>
        <v>8.8784421996499149E-2</v>
      </c>
      <c r="E127" s="318">
        <f t="shared" si="505"/>
        <v>0.26021996918817664</v>
      </c>
      <c r="F127" s="318">
        <f t="shared" si="505"/>
        <v>0.32768148264287761</v>
      </c>
      <c r="G127" s="319">
        <f t="shared" si="505"/>
        <v>0.30296154458577235</v>
      </c>
      <c r="H127" s="318">
        <f t="shared" si="505"/>
        <v>0.28635343580688327</v>
      </c>
      <c r="I127" s="318">
        <f t="shared" si="505"/>
        <v>0.29237345044075186</v>
      </c>
      <c r="J127" s="318">
        <f t="shared" si="505"/>
        <v>0.33647915387588956</v>
      </c>
      <c r="K127" s="319">
        <f t="shared" si="505"/>
        <v>0.30046655700309255</v>
      </c>
      <c r="L127" s="318">
        <f t="shared" si="505"/>
        <v>0.18959365150019589</v>
      </c>
      <c r="M127" s="318">
        <f t="shared" si="505"/>
        <v>0.22027518834002999</v>
      </c>
      <c r="N127" s="318">
        <f t="shared" si="505"/>
        <v>0.12048346065282818</v>
      </c>
      <c r="O127" s="319">
        <f t="shared" si="505"/>
        <v>0.17116981657546296</v>
      </c>
      <c r="P127" s="318">
        <f t="shared" si="505"/>
        <v>-0.100008802134781</v>
      </c>
      <c r="Q127" s="318">
        <f t="shared" si="505"/>
        <v>-0.19177325116446362</v>
      </c>
      <c r="R127" s="318">
        <f t="shared" si="505"/>
        <v>-4.1150457743996373E-2</v>
      </c>
      <c r="S127" s="319">
        <f t="shared" si="505"/>
        <v>0.10229496227250907</v>
      </c>
      <c r="T127" s="322">
        <f t="shared" si="505"/>
        <v>6.1316703802034349E-2</v>
      </c>
      <c r="U127" s="318">
        <f t="shared" si="505"/>
        <v>0.19518261862298852</v>
      </c>
      <c r="V127" s="318">
        <f t="shared" si="505"/>
        <v>9.1262803897960251E-2</v>
      </c>
      <c r="W127" s="319">
        <f t="shared" si="505"/>
        <v>0.34913324392240797</v>
      </c>
      <c r="X127" s="322">
        <f t="shared" si="505"/>
        <v>0.37902621722846441</v>
      </c>
      <c r="Y127" s="318">
        <f t="shared" si="505"/>
        <v>0.36684171042760688</v>
      </c>
      <c r="Z127" s="318">
        <f t="shared" si="505"/>
        <v>0.35789473684210527</v>
      </c>
      <c r="AA127" s="319">
        <f t="shared" si="505"/>
        <v>0.34519303557910674</v>
      </c>
      <c r="AB127" s="322">
        <f t="shared" si="505"/>
        <v>8.9312977099236635E-2</v>
      </c>
      <c r="AC127" s="318">
        <f t="shared" si="505"/>
        <v>0.22213681783243658</v>
      </c>
      <c r="AD127" s="318">
        <f t="shared" si="505"/>
        <v>0.1719242902208202</v>
      </c>
      <c r="AE127" s="319">
        <f t="shared" si="505"/>
        <v>-0.42213114754098363</v>
      </c>
      <c r="AF127" s="322">
        <f t="shared" si="505"/>
        <v>2.8052805280528052E-2</v>
      </c>
      <c r="AG127" s="318">
        <f t="shared" si="505"/>
        <v>-0.10723192019950124</v>
      </c>
      <c r="AH127" s="318">
        <f t="shared" si="505"/>
        <v>0.13770491803278689</v>
      </c>
      <c r="AI127" s="319">
        <f t="shared" si="505"/>
        <v>0.14975450081833061</v>
      </c>
      <c r="AJ127" s="322">
        <f t="shared" ref="AJ127:BC127" si="506">AJ125/AJ139</f>
        <v>0.20653061224489797</v>
      </c>
      <c r="AK127" s="318">
        <f t="shared" si="506"/>
        <v>0.21318144833197722</v>
      </c>
      <c r="AL127" s="318">
        <f t="shared" si="506"/>
        <v>0.24412003244120031</v>
      </c>
      <c r="AM127" s="319">
        <f t="shared" si="506"/>
        <v>0.20711974110032363</v>
      </c>
      <c r="AN127" s="322">
        <f t="shared" si="506"/>
        <v>0.28064516129032258</v>
      </c>
      <c r="AO127" s="318">
        <f t="shared" si="506"/>
        <v>0.29331184528605964</v>
      </c>
      <c r="AP127" s="318">
        <f t="shared" si="506"/>
        <v>0.26726238830219334</v>
      </c>
      <c r="AQ127" s="319">
        <f t="shared" si="506"/>
        <v>0.28235294117647058</v>
      </c>
      <c r="AR127" s="322">
        <f t="shared" si="506"/>
        <v>0.24783362218370883</v>
      </c>
      <c r="AS127" s="318">
        <f t="shared" si="506"/>
        <v>0.28596961572832885</v>
      </c>
      <c r="AT127" s="318">
        <f t="shared" si="506"/>
        <v>0.46203110704483075</v>
      </c>
      <c r="AU127" s="319">
        <f t="shared" si="506"/>
        <v>0.55809698078682524</v>
      </c>
      <c r="AV127" s="322">
        <f t="shared" ref="AV127:AY127" si="507">AV125/AV139</f>
        <v>0.6455463728191001</v>
      </c>
      <c r="AW127" s="318">
        <f t="shared" si="507"/>
        <v>0.75804967801287948</v>
      </c>
      <c r="AX127" s="318">
        <f t="shared" si="507"/>
        <v>0.85410895660203134</v>
      </c>
      <c r="AY127" s="708">
        <f t="shared" si="507"/>
        <v>0.91263940520446096</v>
      </c>
      <c r="AZ127" s="709">
        <f t="shared" ref="AZ127" si="508">AZ125/AZ139</f>
        <v>0.12605042016806722</v>
      </c>
      <c r="BA127" s="318">
        <f t="shared" si="506"/>
        <v>1.1071416835687364</v>
      </c>
      <c r="BB127" s="318">
        <f t="shared" si="506"/>
        <v>1.0462169578147713</v>
      </c>
      <c r="BC127" s="319">
        <f t="shared" si="506"/>
        <v>1.0611268688210131</v>
      </c>
      <c r="BD127" s="707">
        <f t="shared" ref="BD127:BG127" si="509">BD125/BD139</f>
        <v>0.93629214025041196</v>
      </c>
      <c r="BE127" s="707">
        <f t="shared" si="509"/>
        <v>0.93830114527839537</v>
      </c>
      <c r="BF127" s="707">
        <f t="shared" si="509"/>
        <v>0.93131936823596972</v>
      </c>
      <c r="BG127" s="708">
        <f t="shared" si="509"/>
        <v>0.9519818057113032</v>
      </c>
      <c r="BH127" s="707">
        <f t="shared" ref="BH127:BK127" si="510">BH125/BH139</f>
        <v>0.95295785585920934</v>
      </c>
      <c r="BI127" s="707">
        <f t="shared" si="510"/>
        <v>0.96109338131540467</v>
      </c>
      <c r="BJ127" s="707">
        <f t="shared" si="510"/>
        <v>0.97500892788953275</v>
      </c>
      <c r="BK127" s="708">
        <f t="shared" si="510"/>
        <v>0.97697805133390281</v>
      </c>
      <c r="BL127" s="215"/>
      <c r="BM127" s="322">
        <f t="shared" ref="BM127:BY127" si="511">BM125/BM139</f>
        <v>0.97232645373307025</v>
      </c>
      <c r="BN127" s="318">
        <f t="shared" si="511"/>
        <v>1.2156595974566482</v>
      </c>
      <c r="BO127" s="318">
        <f t="shared" si="511"/>
        <v>0.70193424512712554</v>
      </c>
      <c r="BP127" s="318">
        <f t="shared" si="511"/>
        <v>-0.22862711747328349</v>
      </c>
      <c r="BQ127" s="318">
        <f t="shared" si="511"/>
        <v>0.69572960206222068</v>
      </c>
      <c r="BR127" s="318">
        <f t="shared" si="511"/>
        <v>1.4491445760481294</v>
      </c>
      <c r="BS127" s="318">
        <f t="shared" si="511"/>
        <v>8.5506962149441063E-2</v>
      </c>
      <c r="BT127" s="707">
        <f t="shared" si="511"/>
        <v>0.21082973028618487</v>
      </c>
      <c r="BU127" s="707">
        <f t="shared" si="511"/>
        <v>0.87101360958764984</v>
      </c>
      <c r="BV127" s="707">
        <f t="shared" si="511"/>
        <v>1.1236230110159118</v>
      </c>
      <c r="BW127" s="707">
        <f t="shared" si="511"/>
        <v>1.54384391119085</v>
      </c>
      <c r="BX127" s="707">
        <f t="shared" si="511"/>
        <v>3.168627450980392</v>
      </c>
      <c r="BY127" s="707">
        <f t="shared" si="511"/>
        <v>3.3340848146692381</v>
      </c>
      <c r="BZ127" s="708">
        <f t="shared" ref="BZ127" si="512">BZ125/BZ139</f>
        <v>3.75785631749764</v>
      </c>
      <c r="CA127" s="708">
        <f t="shared" ref="CA127" si="513">CA125/CA139</f>
        <v>3.8660176823323704</v>
      </c>
      <c r="CB127" s="184"/>
      <c r="CC127" s="184"/>
      <c r="CD127" s="184"/>
    </row>
    <row r="128" spans="1:82" ht="14.25" hidden="1" customHeight="1" outlineLevel="1">
      <c r="A128" s="203"/>
      <c r="B128" s="262"/>
      <c r="C128" s="261"/>
      <c r="D128" s="323"/>
      <c r="E128" s="323"/>
      <c r="F128" s="323"/>
      <c r="G128" s="324"/>
      <c r="H128" s="323"/>
      <c r="I128" s="323"/>
      <c r="J128" s="323"/>
      <c r="K128" s="324"/>
      <c r="L128" s="323"/>
      <c r="M128" s="323"/>
      <c r="N128" s="323"/>
      <c r="O128" s="324"/>
      <c r="P128" s="323"/>
      <c r="Q128" s="323"/>
      <c r="R128" s="323"/>
      <c r="S128" s="324"/>
      <c r="T128" s="325"/>
      <c r="U128" s="323"/>
      <c r="V128" s="323"/>
      <c r="W128" s="324"/>
      <c r="X128" s="325"/>
      <c r="Y128" s="323"/>
      <c r="Z128" s="323"/>
      <c r="AA128" s="324"/>
      <c r="AB128" s="325"/>
      <c r="AC128" s="323"/>
      <c r="AD128" s="323"/>
      <c r="AE128" s="324"/>
      <c r="AF128" s="325"/>
      <c r="AG128" s="323"/>
      <c r="AH128" s="323"/>
      <c r="AI128" s="324"/>
      <c r="AJ128" s="325"/>
      <c r="AK128" s="323"/>
      <c r="AL128" s="323"/>
      <c r="AM128" s="324"/>
      <c r="AN128" s="325"/>
      <c r="AO128" s="323"/>
      <c r="AP128" s="323"/>
      <c r="AQ128" s="324"/>
      <c r="AR128" s="325"/>
      <c r="AS128" s="323"/>
      <c r="AT128" s="323"/>
      <c r="AU128" s="324"/>
      <c r="AV128" s="325"/>
      <c r="AW128" s="323"/>
      <c r="AX128" s="323"/>
      <c r="AY128" s="324"/>
      <c r="AZ128" s="325"/>
      <c r="BA128" s="326"/>
      <c r="BB128" s="326"/>
      <c r="BC128" s="327"/>
      <c r="BD128" s="326"/>
      <c r="BE128" s="326"/>
      <c r="BF128" s="326"/>
      <c r="BG128" s="327"/>
      <c r="BH128" s="326"/>
      <c r="BI128" s="326"/>
      <c r="BJ128" s="326"/>
      <c r="BK128" s="327"/>
      <c r="BL128" s="215"/>
      <c r="BM128" s="325"/>
      <c r="BN128" s="323"/>
      <c r="BO128" s="323"/>
      <c r="BP128" s="323"/>
      <c r="BQ128" s="323"/>
      <c r="BR128" s="323"/>
      <c r="BS128" s="323"/>
      <c r="BT128" s="710"/>
      <c r="BU128" s="710"/>
      <c r="BV128" s="710"/>
      <c r="BW128" s="710"/>
      <c r="BX128" s="710"/>
      <c r="BY128" s="710"/>
      <c r="BZ128" s="324"/>
      <c r="CA128" s="324"/>
      <c r="CB128" s="184"/>
      <c r="CC128" s="184"/>
      <c r="CD128" s="184"/>
    </row>
    <row r="129" spans="1:82" ht="14.25" customHeight="1" collapsed="1">
      <c r="A129" s="203"/>
      <c r="B129" s="217" t="s">
        <v>79</v>
      </c>
      <c r="C129" s="216"/>
      <c r="D129" s="318">
        <f t="shared" ref="D129:AI129" si="514">D125/D139</f>
        <v>8.8784421996499149E-2</v>
      </c>
      <c r="E129" s="318">
        <f t="shared" si="514"/>
        <v>0.26021996918817664</v>
      </c>
      <c r="F129" s="318">
        <f t="shared" si="514"/>
        <v>0.32768148264287761</v>
      </c>
      <c r="G129" s="319">
        <f t="shared" si="514"/>
        <v>0.30296154458577235</v>
      </c>
      <c r="H129" s="318">
        <f t="shared" si="514"/>
        <v>0.28635343580688327</v>
      </c>
      <c r="I129" s="318">
        <f t="shared" si="514"/>
        <v>0.29237345044075186</v>
      </c>
      <c r="J129" s="318">
        <f t="shared" si="514"/>
        <v>0.33647915387588956</v>
      </c>
      <c r="K129" s="319">
        <f t="shared" si="514"/>
        <v>0.30046655700309255</v>
      </c>
      <c r="L129" s="318">
        <f t="shared" si="514"/>
        <v>0.18959365150019589</v>
      </c>
      <c r="M129" s="318">
        <f t="shared" si="514"/>
        <v>0.22027518834002999</v>
      </c>
      <c r="N129" s="318">
        <f t="shared" si="514"/>
        <v>0.12048346065282818</v>
      </c>
      <c r="O129" s="319">
        <f t="shared" si="514"/>
        <v>0.17116981657546296</v>
      </c>
      <c r="P129" s="318">
        <f t="shared" si="514"/>
        <v>-0.100008802134781</v>
      </c>
      <c r="Q129" s="318">
        <f t="shared" si="514"/>
        <v>-0.19177325116446362</v>
      </c>
      <c r="R129" s="318">
        <f t="shared" si="514"/>
        <v>-4.1150457743996373E-2</v>
      </c>
      <c r="S129" s="319">
        <f t="shared" si="514"/>
        <v>0.10229496227250907</v>
      </c>
      <c r="T129" s="322">
        <f t="shared" si="514"/>
        <v>6.1316703802034349E-2</v>
      </c>
      <c r="U129" s="318">
        <f t="shared" si="514"/>
        <v>0.19518261862298852</v>
      </c>
      <c r="V129" s="318">
        <f t="shared" si="514"/>
        <v>9.1262803897960251E-2</v>
      </c>
      <c r="W129" s="319">
        <f t="shared" si="514"/>
        <v>0.34913324392240797</v>
      </c>
      <c r="X129" s="322">
        <f t="shared" si="514"/>
        <v>0.37902621722846441</v>
      </c>
      <c r="Y129" s="318">
        <f t="shared" si="514"/>
        <v>0.36684171042760688</v>
      </c>
      <c r="Z129" s="318">
        <f t="shared" si="514"/>
        <v>0.35789473684210527</v>
      </c>
      <c r="AA129" s="319">
        <f t="shared" si="514"/>
        <v>0.34519303557910674</v>
      </c>
      <c r="AB129" s="322">
        <f t="shared" si="514"/>
        <v>8.9312977099236635E-2</v>
      </c>
      <c r="AC129" s="318">
        <f t="shared" si="514"/>
        <v>0.22213681783243658</v>
      </c>
      <c r="AD129" s="318">
        <f t="shared" si="514"/>
        <v>0.1719242902208202</v>
      </c>
      <c r="AE129" s="319">
        <f t="shared" si="514"/>
        <v>-0.42213114754098363</v>
      </c>
      <c r="AF129" s="322">
        <f t="shared" si="514"/>
        <v>2.8052805280528052E-2</v>
      </c>
      <c r="AG129" s="318">
        <f t="shared" si="514"/>
        <v>-0.10723192019950124</v>
      </c>
      <c r="AH129" s="318">
        <f t="shared" si="514"/>
        <v>0.13770491803278689</v>
      </c>
      <c r="AI129" s="319">
        <f t="shared" si="514"/>
        <v>0.14975450081833061</v>
      </c>
      <c r="AJ129" s="322">
        <f t="shared" ref="AJ129:BC129" si="515">AJ125/AJ139</f>
        <v>0.20653061224489797</v>
      </c>
      <c r="AK129" s="318">
        <f t="shared" si="515"/>
        <v>0.21318144833197722</v>
      </c>
      <c r="AL129" s="318">
        <f t="shared" si="515"/>
        <v>0.24412003244120031</v>
      </c>
      <c r="AM129" s="319">
        <f t="shared" si="515"/>
        <v>0.20711974110032363</v>
      </c>
      <c r="AN129" s="322">
        <f t="shared" si="515"/>
        <v>0.28064516129032258</v>
      </c>
      <c r="AO129" s="318">
        <f t="shared" si="515"/>
        <v>0.29331184528605964</v>
      </c>
      <c r="AP129" s="318">
        <f t="shared" si="515"/>
        <v>0.26726238830219334</v>
      </c>
      <c r="AQ129" s="319">
        <f t="shared" si="515"/>
        <v>0.28235294117647058</v>
      </c>
      <c r="AR129" s="322">
        <f t="shared" si="515"/>
        <v>0.24783362218370883</v>
      </c>
      <c r="AS129" s="318">
        <f t="shared" si="515"/>
        <v>0.28596961572832885</v>
      </c>
      <c r="AT129" s="318">
        <f t="shared" si="515"/>
        <v>0.46203110704483075</v>
      </c>
      <c r="AU129" s="319">
        <f t="shared" si="515"/>
        <v>0.55809698078682524</v>
      </c>
      <c r="AV129" s="322">
        <f t="shared" ref="AV129:AY129" si="516">AV125/AV139</f>
        <v>0.6455463728191001</v>
      </c>
      <c r="AW129" s="318">
        <f t="shared" si="516"/>
        <v>0.75804967801287948</v>
      </c>
      <c r="AX129" s="318">
        <f t="shared" si="516"/>
        <v>0.85410895660203134</v>
      </c>
      <c r="AY129" s="708">
        <f t="shared" si="516"/>
        <v>0.91263940520446096</v>
      </c>
      <c r="AZ129" s="709">
        <f t="shared" ref="AZ129" si="517">AZ125/AZ139</f>
        <v>0.12605042016806722</v>
      </c>
      <c r="BA129" s="318">
        <f t="shared" si="515"/>
        <v>1.1071416835687364</v>
      </c>
      <c r="BB129" s="318">
        <f t="shared" si="515"/>
        <v>1.0462169578147713</v>
      </c>
      <c r="BC129" s="319">
        <f t="shared" si="515"/>
        <v>1.0611268688210131</v>
      </c>
      <c r="BD129" s="709">
        <f t="shared" ref="BD129:BG129" si="518">BD125/BD139</f>
        <v>0.93629214025041196</v>
      </c>
      <c r="BE129" s="707">
        <f t="shared" si="518"/>
        <v>0.93830114527839537</v>
      </c>
      <c r="BF129" s="707">
        <f t="shared" si="518"/>
        <v>0.93131936823596972</v>
      </c>
      <c r="BG129" s="708">
        <f t="shared" si="518"/>
        <v>0.9519818057113032</v>
      </c>
      <c r="BH129" s="709">
        <f t="shared" ref="BH129:BK129" si="519">BH125/BH139</f>
        <v>0.95295785585920934</v>
      </c>
      <c r="BI129" s="707">
        <f t="shared" si="519"/>
        <v>0.96109338131540467</v>
      </c>
      <c r="BJ129" s="707">
        <f t="shared" si="519"/>
        <v>0.97500892788953275</v>
      </c>
      <c r="BK129" s="708">
        <f t="shared" si="519"/>
        <v>0.97697805133390281</v>
      </c>
      <c r="BL129" s="215"/>
      <c r="BM129" s="322">
        <f t="shared" ref="BM129:BY129" si="520">BM125/BM139</f>
        <v>0.97232645373307025</v>
      </c>
      <c r="BN129" s="318">
        <f t="shared" si="520"/>
        <v>1.2156595974566482</v>
      </c>
      <c r="BO129" s="318">
        <f t="shared" si="520"/>
        <v>0.70193424512712554</v>
      </c>
      <c r="BP129" s="318">
        <f t="shared" si="520"/>
        <v>-0.22862711747328349</v>
      </c>
      <c r="BQ129" s="318">
        <f t="shared" si="520"/>
        <v>0.69572960206222068</v>
      </c>
      <c r="BR129" s="318">
        <f t="shared" si="520"/>
        <v>1.4491445760481294</v>
      </c>
      <c r="BS129" s="318">
        <f t="shared" si="520"/>
        <v>8.5506962149441063E-2</v>
      </c>
      <c r="BT129" s="707">
        <f t="shared" si="520"/>
        <v>0.21082973028618487</v>
      </c>
      <c r="BU129" s="707">
        <f t="shared" si="520"/>
        <v>0.87101360958764984</v>
      </c>
      <c r="BV129" s="707">
        <f t="shared" si="520"/>
        <v>1.1236230110159118</v>
      </c>
      <c r="BW129" s="707">
        <f t="shared" si="520"/>
        <v>1.54384391119085</v>
      </c>
      <c r="BX129" s="707">
        <f t="shared" si="520"/>
        <v>3.168627450980392</v>
      </c>
      <c r="BY129" s="707">
        <f t="shared" si="520"/>
        <v>3.3340848146692381</v>
      </c>
      <c r="BZ129" s="708">
        <f t="shared" ref="BZ129" si="521">BZ125/BZ139</f>
        <v>3.75785631749764</v>
      </c>
      <c r="CA129" s="708">
        <f t="shared" ref="CA129" si="522">CA125/CA139</f>
        <v>3.8660176823323704</v>
      </c>
      <c r="CB129" s="184"/>
      <c r="CC129" s="184"/>
      <c r="CD129" s="184"/>
    </row>
    <row r="130" spans="1:82" ht="14.25" customHeight="1">
      <c r="A130" s="203"/>
      <c r="B130" s="577" t="s">
        <v>309</v>
      </c>
      <c r="C130" s="659"/>
      <c r="D130" s="660">
        <f t="shared" ref="D130:AI130" si="523">(D110)/D140</f>
        <v>2.6838663943065579E-2</v>
      </c>
      <c r="E130" s="660">
        <f t="shared" si="523"/>
        <v>0.25079235806263739</v>
      </c>
      <c r="F130" s="660">
        <f t="shared" si="523"/>
        <v>0.32392559907590812</v>
      </c>
      <c r="G130" s="661">
        <f t="shared" si="523"/>
        <v>0.28793724175714441</v>
      </c>
      <c r="H130" s="660">
        <f t="shared" si="523"/>
        <v>0.28756350185306878</v>
      </c>
      <c r="I130" s="660">
        <f t="shared" si="523"/>
        <v>0.36183563035839283</v>
      </c>
      <c r="J130" s="660">
        <f t="shared" si="523"/>
        <v>0.36836300793596638</v>
      </c>
      <c r="K130" s="661">
        <f t="shared" si="523"/>
        <v>0.33617608483942651</v>
      </c>
      <c r="L130" s="660">
        <f t="shared" si="523"/>
        <v>0.24916575498270815</v>
      </c>
      <c r="M130" s="660">
        <f t="shared" si="523"/>
        <v>0.26330467759012144</v>
      </c>
      <c r="N130" s="660">
        <f t="shared" si="523"/>
        <v>0.16649470552232912</v>
      </c>
      <c r="O130" s="661">
        <f t="shared" si="523"/>
        <v>0.19547186413962897</v>
      </c>
      <c r="P130" s="660">
        <f t="shared" si="523"/>
        <v>-2.6090430273927085E-3</v>
      </c>
      <c r="Q130" s="660">
        <f t="shared" si="523"/>
        <v>-0.10185555769980227</v>
      </c>
      <c r="R130" s="660">
        <f t="shared" si="523"/>
        <v>-2.4568019572812256E-2</v>
      </c>
      <c r="S130" s="661">
        <f t="shared" si="523"/>
        <v>0.11490393569445818</v>
      </c>
      <c r="T130" s="652">
        <f t="shared" si="523"/>
        <v>0.13263513408374689</v>
      </c>
      <c r="U130" s="660">
        <f t="shared" si="523"/>
        <v>0.21601909443404349</v>
      </c>
      <c r="V130" s="660">
        <f t="shared" si="523"/>
        <v>0.17316326712178454</v>
      </c>
      <c r="W130" s="661">
        <f t="shared" si="523"/>
        <v>0.35490895522388055</v>
      </c>
      <c r="X130" s="652">
        <f t="shared" si="523"/>
        <v>0.36254681647940074</v>
      </c>
      <c r="Y130" s="660">
        <f t="shared" si="523"/>
        <v>0.37584396099024758</v>
      </c>
      <c r="Z130" s="660">
        <f t="shared" si="523"/>
        <v>0.35112781954887218</v>
      </c>
      <c r="AA130" s="661">
        <f t="shared" si="523"/>
        <v>0.20514761544284632</v>
      </c>
      <c r="AB130" s="652">
        <f t="shared" si="523"/>
        <v>0.18320610687022901</v>
      </c>
      <c r="AC130" s="660">
        <f t="shared" si="523"/>
        <v>0.26825518831667949</v>
      </c>
      <c r="AD130" s="660">
        <f t="shared" si="523"/>
        <v>0.23659305993690852</v>
      </c>
      <c r="AE130" s="661">
        <f t="shared" si="523"/>
        <v>5.6726094003241488E-2</v>
      </c>
      <c r="AF130" s="652">
        <f t="shared" si="523"/>
        <v>5.6930693069306933E-2</v>
      </c>
      <c r="AG130" s="660">
        <f t="shared" si="523"/>
        <v>0.16351684470008218</v>
      </c>
      <c r="AH130" s="660">
        <f t="shared" si="523"/>
        <v>0.18196721311475411</v>
      </c>
      <c r="AI130" s="661">
        <f t="shared" si="523"/>
        <v>0.18657937806873978</v>
      </c>
      <c r="AJ130" s="652">
        <f t="shared" ref="AJ130:BC130" si="524">(AJ110)/AJ140</f>
        <v>0.22775510204081634</v>
      </c>
      <c r="AK130" s="660">
        <f t="shared" si="524"/>
        <v>0.28315703824247357</v>
      </c>
      <c r="AL130" s="660">
        <f t="shared" si="524"/>
        <v>0.28304947283049475</v>
      </c>
      <c r="AM130" s="661">
        <f t="shared" si="524"/>
        <v>0.27346278317152106</v>
      </c>
      <c r="AN130" s="652">
        <f t="shared" si="524"/>
        <v>0.27258064516129032</v>
      </c>
      <c r="AO130" s="660">
        <f t="shared" si="524"/>
        <v>0.29170024174053183</v>
      </c>
      <c r="AP130" s="660">
        <f t="shared" si="524"/>
        <v>0.3330625507717303</v>
      </c>
      <c r="AQ130" s="661">
        <f t="shared" si="524"/>
        <v>0.2915966386554622</v>
      </c>
      <c r="AR130" s="652">
        <f t="shared" si="524"/>
        <v>0.26169844020797228</v>
      </c>
      <c r="AS130" s="660">
        <f t="shared" si="524"/>
        <v>0.3360142984807864</v>
      </c>
      <c r="AT130" s="660">
        <f t="shared" si="524"/>
        <v>0.5032021957913998</v>
      </c>
      <c r="AU130" s="661">
        <f t="shared" si="524"/>
        <v>0.66056724611161943</v>
      </c>
      <c r="AV130" s="652">
        <f t="shared" ref="AV130:AY130" si="525">(AV110)/AV140</f>
        <v>0.67217630853994492</v>
      </c>
      <c r="AW130" s="660">
        <f t="shared" si="525"/>
        <v>0.79208831646734135</v>
      </c>
      <c r="AX130" s="660">
        <f t="shared" si="525"/>
        <v>0.85595567867036015</v>
      </c>
      <c r="AY130" s="726">
        <f t="shared" si="525"/>
        <v>0.93401486988847582</v>
      </c>
      <c r="AZ130" s="724">
        <f t="shared" ref="AZ130" si="526">(AZ110)/AZ140</f>
        <v>1.0597572362278245</v>
      </c>
      <c r="BA130" s="660">
        <f t="shared" si="524"/>
        <v>1.1431079124617947</v>
      </c>
      <c r="BB130" s="660">
        <f t="shared" si="524"/>
        <v>1.0823998041861194</v>
      </c>
      <c r="BC130" s="661">
        <f t="shared" si="524"/>
        <v>1.1046914138813824</v>
      </c>
      <c r="BD130" s="724">
        <f t="shared" ref="BD130:BG130" si="527">(BD110)/BD140</f>
        <v>0.9727817038177744</v>
      </c>
      <c r="BE130" s="725">
        <f t="shared" si="527"/>
        <v>0.99618516500273002</v>
      </c>
      <c r="BF130" s="725">
        <f t="shared" si="527"/>
        <v>0.96798603490263635</v>
      </c>
      <c r="BG130" s="726">
        <f t="shared" si="527"/>
        <v>1.0030992526304467</v>
      </c>
      <c r="BH130" s="724">
        <f t="shared" ref="BH130:BK130" si="528">(BH110)/BH140</f>
        <v>0.98973589881863655</v>
      </c>
      <c r="BI130" s="725">
        <f t="shared" si="528"/>
        <v>0.99363018237592726</v>
      </c>
      <c r="BJ130" s="725">
        <f t="shared" si="528"/>
        <v>1.0118316703644492</v>
      </c>
      <c r="BK130" s="726">
        <f t="shared" si="528"/>
        <v>1.0033173463531264</v>
      </c>
      <c r="BL130" s="215"/>
      <c r="BM130" s="652">
        <f t="shared" ref="BM130:BY130" si="529">(BM110)/BM140</f>
        <v>0.88083437351145621</v>
      </c>
      <c r="BN130" s="660">
        <f t="shared" si="529"/>
        <v>1.35388060178916</v>
      </c>
      <c r="BO130" s="660">
        <f t="shared" si="529"/>
        <v>0.8752847795436911</v>
      </c>
      <c r="BP130" s="660">
        <f t="shared" si="529"/>
        <v>-1.2739237439115942E-2</v>
      </c>
      <c r="BQ130" s="660">
        <f t="shared" si="529"/>
        <v>0.87578214112867214</v>
      </c>
      <c r="BR130" s="660">
        <f t="shared" si="529"/>
        <v>1.295732280503854</v>
      </c>
      <c r="BS130" s="660">
        <f t="shared" si="529"/>
        <v>0.75024447486798362</v>
      </c>
      <c r="BT130" s="725">
        <f t="shared" si="529"/>
        <v>0.58961198932457404</v>
      </c>
      <c r="BU130" s="725">
        <f t="shared" si="529"/>
        <v>1.0676416819012797</v>
      </c>
      <c r="BV130" s="725">
        <f t="shared" si="529"/>
        <v>1.1889024887800899</v>
      </c>
      <c r="BW130" s="725">
        <f t="shared" si="529"/>
        <v>1.749271137026239</v>
      </c>
      <c r="BX130" s="725">
        <f t="shared" si="529"/>
        <v>3.2525951557093427</v>
      </c>
      <c r="BY130" s="725">
        <f t="shared" si="529"/>
        <v>4.3826696759762429</v>
      </c>
      <c r="BZ130" s="726">
        <f t="shared" ref="BZ130" si="530">(BZ110)/BZ140</f>
        <v>3.9043453755376016</v>
      </c>
      <c r="CA130" s="726">
        <f t="shared" ref="CA130" si="531">(CA110)/CA140</f>
        <v>4.0132639206891891</v>
      </c>
      <c r="CB130" s="184"/>
      <c r="CC130" s="184"/>
      <c r="CD130" s="184"/>
    </row>
    <row r="131" spans="1:82" ht="14.25" hidden="1" customHeight="1" outlineLevel="1">
      <c r="A131" s="203"/>
      <c r="B131" s="217" t="s">
        <v>441</v>
      </c>
      <c r="C131" s="216"/>
      <c r="D131" s="318"/>
      <c r="E131" s="318"/>
      <c r="F131" s="318"/>
      <c r="G131" s="319"/>
      <c r="H131" s="318"/>
      <c r="I131" s="318"/>
      <c r="J131" s="318"/>
      <c r="K131" s="319"/>
      <c r="L131" s="318"/>
      <c r="M131" s="318"/>
      <c r="N131" s="318"/>
      <c r="O131" s="319"/>
      <c r="P131" s="318"/>
      <c r="Q131" s="318"/>
      <c r="R131" s="318"/>
      <c r="S131" s="319"/>
      <c r="T131" s="322"/>
      <c r="U131" s="318"/>
      <c r="V131" s="318"/>
      <c r="W131" s="319"/>
      <c r="X131" s="322"/>
      <c r="Y131" s="318"/>
      <c r="Z131" s="318"/>
      <c r="AA131" s="319"/>
      <c r="AB131" s="322"/>
      <c r="AC131" s="318"/>
      <c r="AD131" s="318"/>
      <c r="AE131" s="319"/>
      <c r="AF131" s="322"/>
      <c r="AG131" s="318"/>
      <c r="AH131" s="318"/>
      <c r="AI131" s="319"/>
      <c r="AJ131" s="322"/>
      <c r="AK131" s="318"/>
      <c r="AL131" s="318"/>
      <c r="AM131" s="319"/>
      <c r="AN131" s="322"/>
      <c r="AO131" s="318"/>
      <c r="AP131" s="318"/>
      <c r="AQ131" s="319"/>
      <c r="AR131" s="322"/>
      <c r="AS131" s="318"/>
      <c r="AT131" s="318"/>
      <c r="AU131" s="319"/>
      <c r="AV131" s="322"/>
      <c r="AW131" s="318"/>
      <c r="AX131" s="318"/>
      <c r="AY131" s="708"/>
      <c r="AZ131" s="709"/>
      <c r="BA131" s="318">
        <v>0.63</v>
      </c>
      <c r="BB131" s="318">
        <v>0.66</v>
      </c>
      <c r="BC131" s="319">
        <v>0.57999999999999996</v>
      </c>
      <c r="BD131" s="709">
        <v>0.57999999999999996</v>
      </c>
      <c r="BE131" s="707">
        <v>0.63</v>
      </c>
      <c r="BF131" s="707">
        <v>0.66</v>
      </c>
      <c r="BG131" s="708">
        <v>0.57999999999999996</v>
      </c>
      <c r="BH131" s="709">
        <v>0.57999999999999996</v>
      </c>
      <c r="BI131" s="707">
        <v>0.63</v>
      </c>
      <c r="BJ131" s="707">
        <v>0.66</v>
      </c>
      <c r="BK131" s="708">
        <v>0.57999999999999996</v>
      </c>
      <c r="BL131" s="232"/>
      <c r="BM131" s="322"/>
      <c r="BN131" s="318"/>
      <c r="BO131" s="318"/>
      <c r="BP131" s="318"/>
      <c r="BQ131" s="318"/>
      <c r="BR131" s="318"/>
      <c r="BS131" s="318"/>
      <c r="BT131" s="707"/>
      <c r="BU131" s="707"/>
      <c r="BV131" s="318"/>
      <c r="BW131" s="318"/>
      <c r="BX131" s="836">
        <v>2.27</v>
      </c>
      <c r="BY131" s="835">
        <v>2.4</v>
      </c>
      <c r="BZ131" s="835">
        <v>2.4</v>
      </c>
      <c r="CA131" s="708"/>
      <c r="CB131" s="184"/>
      <c r="CC131" s="184"/>
      <c r="CD131" s="184"/>
    </row>
    <row r="132" spans="1:82" ht="14.25" hidden="1" customHeight="1" outlineLevel="1">
      <c r="A132" s="203"/>
      <c r="B132" s="217" t="s">
        <v>308</v>
      </c>
      <c r="C132" s="216"/>
      <c r="D132" s="318">
        <f t="shared" ref="D132:AI132" si="532">D112/D140</f>
        <v>2.6838663943065579E-2</v>
      </c>
      <c r="E132" s="318">
        <f t="shared" si="532"/>
        <v>0.25079235806263739</v>
      </c>
      <c r="F132" s="318">
        <f t="shared" si="532"/>
        <v>0.32392559907590812</v>
      </c>
      <c r="G132" s="319">
        <f t="shared" si="532"/>
        <v>0.28793724175714441</v>
      </c>
      <c r="H132" s="318">
        <f t="shared" si="532"/>
        <v>0.28756350185306878</v>
      </c>
      <c r="I132" s="318">
        <f t="shared" si="532"/>
        <v>0.36183563035839283</v>
      </c>
      <c r="J132" s="318">
        <f t="shared" si="532"/>
        <v>0.36836300793596638</v>
      </c>
      <c r="K132" s="319">
        <f t="shared" si="532"/>
        <v>0.33617608483942651</v>
      </c>
      <c r="L132" s="318">
        <f t="shared" si="532"/>
        <v>0.24916575498270815</v>
      </c>
      <c r="M132" s="318">
        <f t="shared" si="532"/>
        <v>0.26330467759012144</v>
      </c>
      <c r="N132" s="318">
        <f t="shared" si="532"/>
        <v>0.16649470552232912</v>
      </c>
      <c r="O132" s="319">
        <f t="shared" si="532"/>
        <v>0.19547186413962897</v>
      </c>
      <c r="P132" s="318">
        <f t="shared" si="532"/>
        <v>-2.6090430273927085E-3</v>
      </c>
      <c r="Q132" s="318">
        <f t="shared" si="532"/>
        <v>-0.10185555769980227</v>
      </c>
      <c r="R132" s="318">
        <f t="shared" si="532"/>
        <v>-2.4568019572812256E-2</v>
      </c>
      <c r="S132" s="319">
        <f t="shared" si="532"/>
        <v>0.11490393569445818</v>
      </c>
      <c r="T132" s="318">
        <f t="shared" si="532"/>
        <v>0.13263513408374689</v>
      </c>
      <c r="U132" s="318">
        <f t="shared" si="532"/>
        <v>0.21601909443404349</v>
      </c>
      <c r="V132" s="318">
        <f t="shared" si="532"/>
        <v>0.17316326712178454</v>
      </c>
      <c r="W132" s="319">
        <f t="shared" si="532"/>
        <v>0.35490895522388055</v>
      </c>
      <c r="X132" s="318">
        <f t="shared" si="532"/>
        <v>0.36254681647940074</v>
      </c>
      <c r="Y132" s="318">
        <f t="shared" si="532"/>
        <v>0.37584396099024758</v>
      </c>
      <c r="Z132" s="318">
        <f t="shared" si="532"/>
        <v>0.35112781954887218</v>
      </c>
      <c r="AA132" s="319">
        <f t="shared" si="532"/>
        <v>0.20514761544284632</v>
      </c>
      <c r="AB132" s="318">
        <f t="shared" si="532"/>
        <v>0.18320610687022901</v>
      </c>
      <c r="AC132" s="318">
        <f t="shared" si="532"/>
        <v>0.26825518831667949</v>
      </c>
      <c r="AD132" s="318">
        <f t="shared" si="532"/>
        <v>0.23659305993690852</v>
      </c>
      <c r="AE132" s="319">
        <f t="shared" si="532"/>
        <v>5.6726094003241488E-2</v>
      </c>
      <c r="AF132" s="318">
        <f t="shared" si="532"/>
        <v>5.6930693069306933E-2</v>
      </c>
      <c r="AG132" s="318">
        <f t="shared" si="532"/>
        <v>0.16351684470008218</v>
      </c>
      <c r="AH132" s="318">
        <f t="shared" si="532"/>
        <v>0.18196721311475411</v>
      </c>
      <c r="AI132" s="319">
        <f t="shared" si="532"/>
        <v>0.18657937806873978</v>
      </c>
      <c r="AJ132" s="317">
        <f t="shared" ref="AJ132:BC132" si="533">AJ112/AJ140</f>
        <v>0.22775510204081634</v>
      </c>
      <c r="AK132" s="316">
        <f t="shared" si="533"/>
        <v>0.28315703824247357</v>
      </c>
      <c r="AL132" s="316">
        <f t="shared" si="533"/>
        <v>0.28304947283049475</v>
      </c>
      <c r="AM132" s="319">
        <f t="shared" si="533"/>
        <v>0.27346278317152106</v>
      </c>
      <c r="AN132" s="317">
        <f t="shared" si="533"/>
        <v>0.27258064516129032</v>
      </c>
      <c r="AO132" s="316">
        <f t="shared" si="533"/>
        <v>0.29170024174053183</v>
      </c>
      <c r="AP132" s="316">
        <f t="shared" si="533"/>
        <v>0.3330625507717303</v>
      </c>
      <c r="AQ132" s="319">
        <f t="shared" si="533"/>
        <v>0.2915966386554622</v>
      </c>
      <c r="AR132" s="317">
        <f t="shared" si="533"/>
        <v>0.26169844020797228</v>
      </c>
      <c r="AS132" s="316">
        <f t="shared" si="533"/>
        <v>0.3360142984807864</v>
      </c>
      <c r="AT132" s="316">
        <f t="shared" si="533"/>
        <v>0.5032021957913998</v>
      </c>
      <c r="AU132" s="319">
        <f t="shared" si="533"/>
        <v>0.66056724611161943</v>
      </c>
      <c r="AV132" s="317">
        <f t="shared" ref="AV132:AY132" si="534">AV112/AV140</f>
        <v>0.67217630853994492</v>
      </c>
      <c r="AW132" s="316">
        <f t="shared" si="534"/>
        <v>0.79208831646734135</v>
      </c>
      <c r="AX132" s="316">
        <f t="shared" si="534"/>
        <v>0.85595567867036015</v>
      </c>
      <c r="AY132" s="708">
        <f t="shared" si="534"/>
        <v>0.93401486988847582</v>
      </c>
      <c r="AZ132" s="317">
        <f t="shared" ref="AZ132" si="535">AZ112/AZ140</f>
        <v>1.0597572362278245</v>
      </c>
      <c r="BA132" s="316">
        <f t="shared" si="533"/>
        <v>1.1431079124617947</v>
      </c>
      <c r="BB132" s="316">
        <f t="shared" si="533"/>
        <v>1.0823998041861194</v>
      </c>
      <c r="BC132" s="319">
        <f t="shared" si="533"/>
        <v>1.0975283839725281</v>
      </c>
      <c r="BD132" s="317">
        <f t="shared" ref="BD132:BG132" si="536">BD112/BD140</f>
        <v>0.9727817038177744</v>
      </c>
      <c r="BE132" s="316">
        <f t="shared" si="536"/>
        <v>0.97487909204645617</v>
      </c>
      <c r="BF132" s="316">
        <f t="shared" si="536"/>
        <v>0.96798603490263635</v>
      </c>
      <c r="BG132" s="708">
        <f t="shared" si="536"/>
        <v>0.98873753090214289</v>
      </c>
      <c r="BH132" s="317">
        <f t="shared" ref="BH132:BK132" si="537">BH112/BH140</f>
        <v>0.98973589881863655</v>
      </c>
      <c r="BI132" s="316">
        <f t="shared" si="537"/>
        <v>0.99789376335933977</v>
      </c>
      <c r="BJ132" s="316">
        <f t="shared" si="537"/>
        <v>1.0118316703644492</v>
      </c>
      <c r="BK132" s="708">
        <f t="shared" si="537"/>
        <v>1.0138231756168856</v>
      </c>
      <c r="BL132" s="232"/>
      <c r="BM132" s="318">
        <f t="shared" ref="BM132:BY132" si="538">BM112/BM140</f>
        <v>0.88083437351145621</v>
      </c>
      <c r="BN132" s="318">
        <f t="shared" si="538"/>
        <v>1.35388060178916</v>
      </c>
      <c r="BO132" s="318">
        <f t="shared" si="538"/>
        <v>0.8752847795436911</v>
      </c>
      <c r="BP132" s="318">
        <f t="shared" si="538"/>
        <v>-1.2739237439115942E-2</v>
      </c>
      <c r="BQ132" s="318">
        <f t="shared" si="538"/>
        <v>0.87578214112867214</v>
      </c>
      <c r="BR132" s="318">
        <f t="shared" si="538"/>
        <v>1.295732280503854</v>
      </c>
      <c r="BS132" s="318">
        <f t="shared" si="538"/>
        <v>0.75024447486798362</v>
      </c>
      <c r="BT132" s="707">
        <f t="shared" si="538"/>
        <v>0.58961198932457404</v>
      </c>
      <c r="BU132" s="316">
        <f t="shared" si="538"/>
        <v>1.0676416819012797</v>
      </c>
      <c r="BV132" s="316">
        <f t="shared" si="538"/>
        <v>1.1889024887800899</v>
      </c>
      <c r="BW132" s="316">
        <f t="shared" si="538"/>
        <v>1.749271137026239</v>
      </c>
      <c r="BX132" s="317">
        <f t="shared" si="538"/>
        <v>3.2525951557093427</v>
      </c>
      <c r="BY132" s="316">
        <f t="shared" si="538"/>
        <v>4.3826696759762429</v>
      </c>
      <c r="BZ132" s="316">
        <f t="shared" ref="BZ132" si="539">BZ112/BZ140</f>
        <v>3.9043453755376016</v>
      </c>
      <c r="CA132" s="779"/>
      <c r="CB132" s="184"/>
      <c r="CC132" s="184"/>
      <c r="CD132" s="184"/>
    </row>
    <row r="133" spans="1:82" ht="14.25" customHeight="1" collapsed="1">
      <c r="A133" s="203"/>
      <c r="B133" s="230"/>
      <c r="C133" s="230"/>
      <c r="D133" s="315"/>
      <c r="E133" s="315"/>
      <c r="F133" s="315"/>
      <c r="G133" s="315"/>
      <c r="H133" s="315"/>
      <c r="I133" s="315"/>
      <c r="J133" s="315"/>
      <c r="K133" s="315"/>
      <c r="L133" s="315"/>
      <c r="M133" s="315"/>
      <c r="N133" s="315"/>
      <c r="O133" s="315"/>
      <c r="P133" s="315"/>
      <c r="Q133" s="315"/>
      <c r="R133" s="315"/>
      <c r="S133" s="315"/>
      <c r="T133" s="315"/>
      <c r="U133" s="315"/>
      <c r="V133" s="315"/>
      <c r="W133" s="315"/>
      <c r="X133" s="315"/>
      <c r="Y133" s="315"/>
      <c r="Z133" s="315"/>
      <c r="AA133" s="315"/>
      <c r="AB133" s="315"/>
      <c r="AC133" s="315"/>
      <c r="AD133" s="315"/>
      <c r="AE133" s="315"/>
      <c r="AF133" s="315"/>
      <c r="AG133" s="315"/>
      <c r="AH133" s="315"/>
      <c r="AI133" s="315"/>
      <c r="AJ133" s="315"/>
      <c r="AK133" s="315"/>
      <c r="AL133" s="315"/>
      <c r="AM133" s="315"/>
      <c r="AN133" s="315"/>
      <c r="AO133" s="315"/>
      <c r="AP133" s="315"/>
      <c r="AQ133" s="315"/>
      <c r="AR133" s="315"/>
      <c r="AS133" s="315"/>
      <c r="AT133" s="315"/>
      <c r="AU133" s="315"/>
      <c r="AV133" s="315"/>
      <c r="AW133" s="315"/>
      <c r="AX133" s="644"/>
      <c r="AY133" s="315"/>
      <c r="AZ133" s="644"/>
      <c r="BA133" s="644"/>
      <c r="BB133" s="644"/>
      <c r="BC133" s="644"/>
      <c r="BD133" s="644"/>
      <c r="BE133" s="644"/>
      <c r="BF133" s="644"/>
      <c r="BG133" s="644"/>
      <c r="BH133" s="644"/>
      <c r="BI133" s="644"/>
      <c r="BJ133" s="644"/>
      <c r="BK133" s="644"/>
      <c r="BL133" s="204"/>
      <c r="BM133" s="315"/>
      <c r="BN133" s="315"/>
      <c r="BO133" s="315"/>
      <c r="BP133" s="315"/>
      <c r="BQ133" s="315"/>
      <c r="BR133" s="315"/>
      <c r="BS133" s="315"/>
      <c r="BT133" s="315"/>
      <c r="BU133" s="655"/>
      <c r="BV133" s="758"/>
      <c r="BW133" s="758"/>
      <c r="BX133" s="758"/>
      <c r="BY133" s="758"/>
      <c r="BZ133" s="758"/>
      <c r="CA133" s="758"/>
    </row>
    <row r="134" spans="1:82" ht="14.25" customHeight="1">
      <c r="A134" s="203"/>
      <c r="B134" s="209"/>
      <c r="C134" s="209"/>
      <c r="D134" s="255"/>
      <c r="E134" s="255"/>
      <c r="F134" s="255"/>
      <c r="G134" s="255"/>
      <c r="H134" s="255"/>
      <c r="I134" s="255"/>
      <c r="J134" s="255"/>
      <c r="K134" s="255"/>
      <c r="L134" s="255"/>
      <c r="M134" s="255"/>
      <c r="N134" s="255"/>
      <c r="O134" s="255"/>
      <c r="P134" s="255"/>
      <c r="Q134" s="255"/>
      <c r="R134" s="255"/>
      <c r="S134" s="255"/>
      <c r="T134" s="255"/>
      <c r="U134" s="255"/>
      <c r="V134" s="255"/>
      <c r="W134" s="255"/>
      <c r="X134" s="255"/>
      <c r="Y134" s="255"/>
      <c r="Z134" s="255"/>
      <c r="AA134" s="255"/>
      <c r="AB134" s="255"/>
      <c r="AC134" s="255"/>
      <c r="AD134" s="255"/>
      <c r="AE134" s="255"/>
      <c r="AF134" s="255"/>
      <c r="AG134" s="255"/>
      <c r="AH134" s="255"/>
      <c r="AI134" s="255"/>
      <c r="AJ134" s="255"/>
      <c r="AK134" s="255"/>
      <c r="AL134" s="255"/>
      <c r="AM134" s="255"/>
      <c r="AN134" s="255"/>
      <c r="AO134" s="255"/>
      <c r="AP134" s="255"/>
      <c r="AQ134" s="255"/>
      <c r="AR134" s="255"/>
      <c r="AS134" s="255"/>
      <c r="AT134" s="255"/>
      <c r="AU134" s="255"/>
      <c r="AV134" s="255"/>
      <c r="AW134" s="255"/>
      <c r="AX134" s="255"/>
      <c r="AY134" s="741"/>
      <c r="AZ134" s="255"/>
      <c r="BA134" s="255"/>
      <c r="BB134" s="255"/>
      <c r="BC134" s="255"/>
      <c r="BD134" s="741"/>
      <c r="BE134" s="741"/>
      <c r="BF134" s="741"/>
      <c r="BG134" s="741"/>
      <c r="BH134" s="741"/>
      <c r="BI134" s="741"/>
      <c r="BJ134" s="741"/>
      <c r="BK134" s="741"/>
      <c r="BL134" s="204"/>
      <c r="BM134" s="255"/>
      <c r="BN134" s="255"/>
      <c r="BO134" s="255"/>
      <c r="BP134" s="255"/>
      <c r="BQ134" s="255"/>
      <c r="BR134" s="255"/>
      <c r="BS134" s="255"/>
      <c r="BT134" s="741"/>
      <c r="BU134" s="255"/>
      <c r="BV134" s="255"/>
      <c r="BW134" s="656"/>
      <c r="BX134" s="656"/>
      <c r="BY134" s="656"/>
      <c r="BZ134" s="656"/>
      <c r="CA134" s="656"/>
    </row>
    <row r="135" spans="1:82" ht="14.25" customHeight="1">
      <c r="A135" s="203"/>
      <c r="B135" s="314"/>
      <c r="C135" s="314"/>
      <c r="D135" s="313"/>
      <c r="E135" s="313"/>
      <c r="F135" s="313"/>
      <c r="G135" s="313"/>
      <c r="H135" s="313"/>
      <c r="I135" s="313"/>
      <c r="J135" s="313"/>
      <c r="K135" s="313"/>
      <c r="L135" s="313"/>
      <c r="M135" s="313"/>
      <c r="N135" s="313"/>
      <c r="O135" s="313"/>
      <c r="P135" s="313"/>
      <c r="Q135" s="313"/>
      <c r="R135" s="313"/>
      <c r="S135" s="313"/>
      <c r="T135" s="313"/>
      <c r="U135" s="313"/>
      <c r="V135" s="313"/>
      <c r="W135" s="313"/>
      <c r="X135" s="313"/>
      <c r="Y135" s="313"/>
      <c r="Z135" s="313"/>
      <c r="AA135" s="313"/>
      <c r="AB135" s="313"/>
      <c r="AC135" s="313"/>
      <c r="AD135" s="313"/>
      <c r="AE135" s="313"/>
      <c r="AF135" s="313"/>
      <c r="AG135" s="313"/>
      <c r="AH135" s="313"/>
      <c r="AI135" s="313"/>
      <c r="AJ135" s="313"/>
      <c r="AK135" s="313"/>
      <c r="AL135" s="313"/>
      <c r="AM135" s="313"/>
      <c r="AN135" s="313"/>
      <c r="AO135" s="313"/>
      <c r="AP135" s="313"/>
      <c r="AQ135" s="313"/>
      <c r="AR135" s="313"/>
      <c r="AS135" s="313"/>
      <c r="AT135" s="313"/>
      <c r="AU135" s="313"/>
      <c r="AV135" s="741"/>
      <c r="AW135" s="741"/>
      <c r="AX135" s="255"/>
      <c r="AY135" s="313"/>
      <c r="AZ135" s="255"/>
      <c r="BA135" s="255"/>
      <c r="BB135" s="255"/>
      <c r="BC135" s="255"/>
      <c r="BD135" s="741"/>
      <c r="BE135" s="741"/>
      <c r="BF135" s="741"/>
      <c r="BG135" s="741"/>
      <c r="BH135" s="741"/>
      <c r="BI135" s="741"/>
      <c r="BJ135" s="741"/>
      <c r="BK135" s="741"/>
      <c r="BL135" s="204"/>
      <c r="BM135" s="741"/>
      <c r="BN135" s="741"/>
      <c r="BO135" s="741"/>
      <c r="BP135" s="741"/>
      <c r="BQ135" s="741"/>
      <c r="BR135" s="741"/>
      <c r="BS135" s="741"/>
      <c r="BT135" s="741"/>
      <c r="BU135" s="741"/>
      <c r="BV135" s="741"/>
      <c r="BW135" s="741"/>
      <c r="BX135" s="741"/>
      <c r="BY135" s="741"/>
      <c r="BZ135" s="741"/>
      <c r="CA135" s="741"/>
    </row>
    <row r="136" spans="1:82" ht="14.25" hidden="1" customHeight="1" outlineLevel="1">
      <c r="A136" s="203"/>
      <c r="B136" s="217" t="s">
        <v>307</v>
      </c>
      <c r="C136" s="216"/>
      <c r="D136" s="297">
        <v>1598.26</v>
      </c>
      <c r="E136" s="297">
        <v>1576.548</v>
      </c>
      <c r="F136" s="297">
        <v>1550.7439999999999</v>
      </c>
      <c r="G136" s="306">
        <v>1469.9749999999999</v>
      </c>
      <c r="H136" s="297">
        <v>1394.71</v>
      </c>
      <c r="I136" s="297">
        <v>1391.076</v>
      </c>
      <c r="J136" s="297">
        <v>1385.519</v>
      </c>
      <c r="K136" s="306">
        <v>1381.8710000000001</v>
      </c>
      <c r="L136" s="297">
        <v>1371.2449999999999</v>
      </c>
      <c r="M136" s="297">
        <v>1356.7049999999999</v>
      </c>
      <c r="N136" s="297">
        <v>1350.5260000000001</v>
      </c>
      <c r="O136" s="306">
        <v>1338.2270000000001</v>
      </c>
      <c r="P136" s="297">
        <v>1329.223</v>
      </c>
      <c r="Q136" s="297">
        <v>1331.729</v>
      </c>
      <c r="R136" s="297">
        <v>1333.278</v>
      </c>
      <c r="S136" s="306">
        <v>1338.134</v>
      </c>
      <c r="T136" s="296">
        <v>1341.941</v>
      </c>
      <c r="U136" s="297">
        <v>1344.617</v>
      </c>
      <c r="V136" s="297">
        <v>1339.66</v>
      </c>
      <c r="W136" s="306">
        <v>1333.423</v>
      </c>
      <c r="X136" s="297">
        <v>1324</v>
      </c>
      <c r="Y136" s="297">
        <v>1320</v>
      </c>
      <c r="Z136" s="297">
        <v>1318</v>
      </c>
      <c r="AA136" s="306">
        <v>1312</v>
      </c>
      <c r="AB136" s="297">
        <v>1299</v>
      </c>
      <c r="AC136" s="297">
        <v>1289</v>
      </c>
      <c r="AD136" s="297">
        <v>1257</v>
      </c>
      <c r="AE136" s="306">
        <v>1220</v>
      </c>
      <c r="AF136" s="297">
        <v>1198</v>
      </c>
      <c r="AG136" s="297">
        <v>1203</v>
      </c>
      <c r="AH136" s="297">
        <v>1203</v>
      </c>
      <c r="AI136" s="306">
        <v>1204</v>
      </c>
      <c r="AJ136" s="296">
        <v>1206</v>
      </c>
      <c r="AK136" s="297">
        <v>1216</v>
      </c>
      <c r="AL136" s="297">
        <v>1218</v>
      </c>
      <c r="AM136" s="306">
        <v>1220</v>
      </c>
      <c r="AN136" s="310">
        <v>1224</v>
      </c>
      <c r="AO136" s="312">
        <v>1230</v>
      </c>
      <c r="AP136" s="312">
        <v>1221</v>
      </c>
      <c r="AQ136" s="311">
        <v>1182</v>
      </c>
      <c r="AR136" s="310">
        <v>1146</v>
      </c>
      <c r="AS136" s="312">
        <v>1113</v>
      </c>
      <c r="AT136" s="312">
        <v>1083</v>
      </c>
      <c r="AU136" s="311">
        <v>1081</v>
      </c>
      <c r="AV136" s="753">
        <v>1078</v>
      </c>
      <c r="AW136" s="754">
        <v>1078</v>
      </c>
      <c r="AX136" s="754">
        <v>1071</v>
      </c>
      <c r="AY136" s="311">
        <v>1064</v>
      </c>
      <c r="AZ136" s="753">
        <v>1056</v>
      </c>
      <c r="BA136" s="751">
        <f>AZ136-5</f>
        <v>1051</v>
      </c>
      <c r="BB136" s="751">
        <f t="shared" ref="BB136:BC136" si="540">BA136-5</f>
        <v>1046</v>
      </c>
      <c r="BC136" s="750">
        <f t="shared" si="540"/>
        <v>1041</v>
      </c>
      <c r="BD136" s="752">
        <f>BC136-2</f>
        <v>1039</v>
      </c>
      <c r="BE136" s="751">
        <f>BD136-2</f>
        <v>1037</v>
      </c>
      <c r="BF136" s="751">
        <f t="shared" ref="BF136:BG136" si="541">BE136-2</f>
        <v>1035</v>
      </c>
      <c r="BG136" s="751">
        <f t="shared" si="541"/>
        <v>1033</v>
      </c>
      <c r="BH136" s="752">
        <f t="shared" ref="BH136" si="542">BG136-0.5</f>
        <v>1032.5</v>
      </c>
      <c r="BI136" s="751">
        <f>BH136-5</f>
        <v>1027.5</v>
      </c>
      <c r="BJ136" s="751">
        <f t="shared" ref="BJ136" si="543">BI136-5</f>
        <v>1022.5</v>
      </c>
      <c r="BK136" s="750">
        <f t="shared" ref="BK136" si="544">BJ136-5</f>
        <v>1017.5</v>
      </c>
      <c r="BL136" s="204"/>
      <c r="BM136" s="650">
        <f>AVERAGE(D136:G136)</f>
        <v>1548.88175</v>
      </c>
      <c r="BN136" s="676">
        <f>AVERAGE(H136:K136)</f>
        <v>1388.2940000000001</v>
      </c>
      <c r="BO136" s="676">
        <f>AVERAGE(L136:O136)</f>
        <v>1354.1757499999999</v>
      </c>
      <c r="BP136" s="676">
        <f>AVERAGE(P136:S136)</f>
        <v>1333.0910000000001</v>
      </c>
      <c r="BQ136" s="676">
        <f>AVERAGE(T136:W136)</f>
        <v>1339.9102499999999</v>
      </c>
      <c r="BR136" s="676">
        <f>AVERAGE(X136:AA136)</f>
        <v>1318.5</v>
      </c>
      <c r="BS136" s="676">
        <f>AVERAGE(AB136:AE136)</f>
        <v>1266.25</v>
      </c>
      <c r="BT136" s="676">
        <f>AVERAGE(AF136:AI136)</f>
        <v>1202</v>
      </c>
      <c r="BU136" s="676">
        <f>AVERAGE(AJ136:AM136)</f>
        <v>1215</v>
      </c>
      <c r="BV136" s="676">
        <f>AVERAGE(AN136:AQ136)</f>
        <v>1214.25</v>
      </c>
      <c r="BW136" s="676">
        <f>AVERAGE(AR136:AU136)</f>
        <v>1105.75</v>
      </c>
      <c r="BX136" s="676">
        <f>AVERAGE(AV136:AY136)</f>
        <v>1072.75</v>
      </c>
      <c r="BY136" s="676">
        <f>AVERAGE(AZ136:BC136)</f>
        <v>1048.5</v>
      </c>
      <c r="BZ136" s="676">
        <f>AVERAGE(BD136:BG136)</f>
        <v>1036</v>
      </c>
      <c r="CA136" s="677">
        <f>AVERAGE(BH136:BK136)</f>
        <v>1025</v>
      </c>
      <c r="CB136" s="184"/>
      <c r="CC136" s="184"/>
      <c r="CD136" s="184"/>
    </row>
    <row r="137" spans="1:82" ht="14.25" customHeight="1" collapsed="1">
      <c r="A137" s="203"/>
      <c r="B137" s="217" t="s">
        <v>306</v>
      </c>
      <c r="C137" s="216"/>
      <c r="D137" s="225">
        <f t="shared" ref="D137:AX137" si="545">D136</f>
        <v>1598.26</v>
      </c>
      <c r="E137" s="225">
        <f t="shared" si="545"/>
        <v>1576.548</v>
      </c>
      <c r="F137" s="225">
        <f t="shared" si="545"/>
        <v>1550.7439999999999</v>
      </c>
      <c r="G137" s="226">
        <f t="shared" si="545"/>
        <v>1469.9749999999999</v>
      </c>
      <c r="H137" s="225">
        <f t="shared" si="545"/>
        <v>1394.71</v>
      </c>
      <c r="I137" s="225">
        <f t="shared" si="545"/>
        <v>1391.076</v>
      </c>
      <c r="J137" s="225">
        <f t="shared" si="545"/>
        <v>1385.519</v>
      </c>
      <c r="K137" s="226">
        <f t="shared" si="545"/>
        <v>1381.8710000000001</v>
      </c>
      <c r="L137" s="225">
        <f t="shared" si="545"/>
        <v>1371.2449999999999</v>
      </c>
      <c r="M137" s="225">
        <f t="shared" si="545"/>
        <v>1356.7049999999999</v>
      </c>
      <c r="N137" s="225">
        <f t="shared" si="545"/>
        <v>1350.5260000000001</v>
      </c>
      <c r="O137" s="226">
        <f t="shared" si="545"/>
        <v>1338.2270000000001</v>
      </c>
      <c r="P137" s="225">
        <f t="shared" si="545"/>
        <v>1329.223</v>
      </c>
      <c r="Q137" s="225">
        <f t="shared" si="545"/>
        <v>1331.729</v>
      </c>
      <c r="R137" s="225">
        <f t="shared" si="545"/>
        <v>1333.278</v>
      </c>
      <c r="S137" s="226">
        <f t="shared" si="545"/>
        <v>1338.134</v>
      </c>
      <c r="T137" s="224">
        <f t="shared" si="545"/>
        <v>1341.941</v>
      </c>
      <c r="U137" s="225">
        <f t="shared" si="545"/>
        <v>1344.617</v>
      </c>
      <c r="V137" s="225">
        <f t="shared" si="545"/>
        <v>1339.66</v>
      </c>
      <c r="W137" s="226">
        <f t="shared" si="545"/>
        <v>1333.423</v>
      </c>
      <c r="X137" s="225">
        <f t="shared" si="545"/>
        <v>1324</v>
      </c>
      <c r="Y137" s="225">
        <f t="shared" si="545"/>
        <v>1320</v>
      </c>
      <c r="Z137" s="225">
        <f t="shared" si="545"/>
        <v>1318</v>
      </c>
      <c r="AA137" s="226">
        <f t="shared" si="545"/>
        <v>1312</v>
      </c>
      <c r="AB137" s="225">
        <f t="shared" si="545"/>
        <v>1299</v>
      </c>
      <c r="AC137" s="225">
        <f t="shared" si="545"/>
        <v>1289</v>
      </c>
      <c r="AD137" s="225">
        <f t="shared" si="545"/>
        <v>1257</v>
      </c>
      <c r="AE137" s="226">
        <f t="shared" si="545"/>
        <v>1220</v>
      </c>
      <c r="AF137" s="225">
        <f t="shared" si="545"/>
        <v>1198</v>
      </c>
      <c r="AG137" s="225">
        <f t="shared" si="545"/>
        <v>1203</v>
      </c>
      <c r="AH137" s="225">
        <f t="shared" si="545"/>
        <v>1203</v>
      </c>
      <c r="AI137" s="226">
        <f t="shared" si="545"/>
        <v>1204</v>
      </c>
      <c r="AJ137" s="224">
        <f t="shared" si="545"/>
        <v>1206</v>
      </c>
      <c r="AK137" s="225">
        <f t="shared" si="545"/>
        <v>1216</v>
      </c>
      <c r="AL137" s="225">
        <f t="shared" si="545"/>
        <v>1218</v>
      </c>
      <c r="AM137" s="226">
        <f t="shared" si="545"/>
        <v>1220</v>
      </c>
      <c r="AN137" s="224">
        <f t="shared" si="545"/>
        <v>1224</v>
      </c>
      <c r="AO137" s="225">
        <f t="shared" si="545"/>
        <v>1230</v>
      </c>
      <c r="AP137" s="225">
        <f t="shared" si="545"/>
        <v>1221</v>
      </c>
      <c r="AQ137" s="226">
        <f t="shared" si="545"/>
        <v>1182</v>
      </c>
      <c r="AR137" s="224">
        <f>AR136</f>
        <v>1146</v>
      </c>
      <c r="AS137" s="225">
        <f>AS136</f>
        <v>1113</v>
      </c>
      <c r="AT137" s="225">
        <f>AT136</f>
        <v>1083</v>
      </c>
      <c r="AU137" s="687">
        <f>AU136</f>
        <v>1081</v>
      </c>
      <c r="AV137" s="452">
        <f>AV136</f>
        <v>1078</v>
      </c>
      <c r="AW137" s="450">
        <f t="shared" si="545"/>
        <v>1078</v>
      </c>
      <c r="AX137" s="450">
        <f t="shared" si="545"/>
        <v>1071</v>
      </c>
      <c r="AY137" s="821">
        <f>AY136</f>
        <v>1064</v>
      </c>
      <c r="AZ137" s="452">
        <f>AZ136</f>
        <v>1056</v>
      </c>
      <c r="BA137" s="823">
        <f t="shared" ref="BA137:BG137" si="546">BA136</f>
        <v>1051</v>
      </c>
      <c r="BB137" s="823">
        <f t="shared" si="546"/>
        <v>1046</v>
      </c>
      <c r="BC137" s="821">
        <f t="shared" si="546"/>
        <v>1041</v>
      </c>
      <c r="BD137" s="822">
        <f t="shared" si="546"/>
        <v>1039</v>
      </c>
      <c r="BE137" s="823">
        <f t="shared" si="546"/>
        <v>1037</v>
      </c>
      <c r="BF137" s="823">
        <f t="shared" si="546"/>
        <v>1035</v>
      </c>
      <c r="BG137" s="821">
        <f t="shared" si="546"/>
        <v>1033</v>
      </c>
      <c r="BH137" s="747">
        <f t="shared" ref="BH137:BK137" si="547">BH136</f>
        <v>1032.5</v>
      </c>
      <c r="BI137" s="735">
        <f t="shared" si="547"/>
        <v>1027.5</v>
      </c>
      <c r="BJ137" s="735">
        <f t="shared" si="547"/>
        <v>1022.5</v>
      </c>
      <c r="BK137" s="738">
        <f t="shared" si="547"/>
        <v>1017.5</v>
      </c>
      <c r="BL137" s="215"/>
      <c r="BM137" s="822">
        <f>AVERAGE(D137:G137)</f>
        <v>1548.88175</v>
      </c>
      <c r="BN137" s="823">
        <f>AVERAGE(H137:K137)</f>
        <v>1388.2940000000001</v>
      </c>
      <c r="BO137" s="823">
        <f>AVERAGE(L137:O137)</f>
        <v>1354.1757499999999</v>
      </c>
      <c r="BP137" s="823">
        <f>AVERAGE(P137:S137)</f>
        <v>1333.0910000000001</v>
      </c>
      <c r="BQ137" s="823">
        <f>AVERAGE(T137:W137)</f>
        <v>1339.9102499999999</v>
      </c>
      <c r="BR137" s="823">
        <f>AVERAGE(X137:AA137)</f>
        <v>1318.5</v>
      </c>
      <c r="BS137" s="823">
        <f>AVERAGE(AB137:AE137)</f>
        <v>1266.25</v>
      </c>
      <c r="BT137" s="823">
        <f>AVERAGE(AF137:AI137)</f>
        <v>1202</v>
      </c>
      <c r="BU137" s="823">
        <f>AVERAGE(AJ137:AM137)</f>
        <v>1215</v>
      </c>
      <c r="BV137" s="823">
        <f>AVERAGE(AN137:AQ137)</f>
        <v>1214.25</v>
      </c>
      <c r="BW137" s="823">
        <f>AVERAGE(AR137:AU137)</f>
        <v>1105.75</v>
      </c>
      <c r="BX137" s="823">
        <f>AVERAGE(AV137:AY137)</f>
        <v>1072.75</v>
      </c>
      <c r="BY137" s="823">
        <f>AVERAGE(AZ137:BC137)</f>
        <v>1048.5</v>
      </c>
      <c r="BZ137" s="821">
        <f>AVERAGE(BD137:BG137)</f>
        <v>1036</v>
      </c>
      <c r="CA137" s="738">
        <f>AVERAGE(BH137:BK137)</f>
        <v>1025</v>
      </c>
      <c r="CB137" s="184"/>
      <c r="CC137" s="184"/>
      <c r="CD137" s="184"/>
    </row>
    <row r="138" spans="1:82" ht="14.25" hidden="1" customHeight="1" outlineLevel="1">
      <c r="A138" s="203"/>
      <c r="B138" s="217"/>
      <c r="C138" s="216"/>
      <c r="D138" s="247"/>
      <c r="E138" s="247"/>
      <c r="F138" s="247"/>
      <c r="G138" s="248"/>
      <c r="H138" s="247"/>
      <c r="I138" s="247"/>
      <c r="J138" s="247"/>
      <c r="K138" s="248"/>
      <c r="L138" s="247"/>
      <c r="M138" s="247"/>
      <c r="N138" s="247"/>
      <c r="O138" s="248"/>
      <c r="P138" s="247"/>
      <c r="Q138" s="247"/>
      <c r="R138" s="247"/>
      <c r="S138" s="248"/>
      <c r="T138" s="249"/>
      <c r="U138" s="247"/>
      <c r="V138" s="247"/>
      <c r="W138" s="248"/>
      <c r="X138" s="247"/>
      <c r="Y138" s="247"/>
      <c r="Z138" s="247"/>
      <c r="AA138" s="248"/>
      <c r="AB138" s="247"/>
      <c r="AC138" s="247"/>
      <c r="AD138" s="247"/>
      <c r="AE138" s="248"/>
      <c r="AF138" s="247"/>
      <c r="AG138" s="247"/>
      <c r="AH138" s="247"/>
      <c r="AI138" s="248"/>
      <c r="AJ138" s="249"/>
      <c r="AK138" s="247"/>
      <c r="AL138" s="247"/>
      <c r="AM138" s="248"/>
      <c r="AN138" s="249"/>
      <c r="AO138" s="247"/>
      <c r="AP138" s="247"/>
      <c r="AQ138" s="248"/>
      <c r="AR138" s="249"/>
      <c r="AS138" s="247"/>
      <c r="AT138" s="247"/>
      <c r="AU138" s="248"/>
      <c r="AV138" s="740"/>
      <c r="AW138" s="739"/>
      <c r="AX138" s="739"/>
      <c r="AY138" s="248"/>
      <c r="AZ138" s="740"/>
      <c r="BA138" s="741"/>
      <c r="BB138" s="741"/>
      <c r="BC138" s="742"/>
      <c r="BD138" s="743"/>
      <c r="BE138" s="741"/>
      <c r="BF138" s="741"/>
      <c r="BG138" s="742"/>
      <c r="BH138" s="743"/>
      <c r="BI138" s="741"/>
      <c r="BJ138" s="741"/>
      <c r="BK138" s="742"/>
      <c r="BL138" s="215"/>
      <c r="BM138" s="257"/>
      <c r="BN138" s="255"/>
      <c r="BO138" s="255"/>
      <c r="BP138" s="255"/>
      <c r="BQ138" s="255"/>
      <c r="BR138" s="255"/>
      <c r="BS138" s="255"/>
      <c r="BT138" s="741"/>
      <c r="BU138" s="741"/>
      <c r="BV138" s="255"/>
      <c r="BW138" s="255"/>
      <c r="BX138" s="255"/>
      <c r="BY138" s="741"/>
      <c r="BZ138" s="742"/>
      <c r="CA138" s="742"/>
      <c r="CB138" s="184"/>
      <c r="CC138" s="184"/>
      <c r="CD138" s="184"/>
    </row>
    <row r="139" spans="1:82" ht="14.25" hidden="1" customHeight="1" outlineLevel="1">
      <c r="A139" s="203"/>
      <c r="B139" s="217" t="s">
        <v>305</v>
      </c>
      <c r="C139" s="216"/>
      <c r="D139" s="297">
        <v>1608.165</v>
      </c>
      <c r="E139" s="297">
        <v>1586.404</v>
      </c>
      <c r="F139" s="297">
        <v>1562.615</v>
      </c>
      <c r="G139" s="306">
        <v>1482.1320000000001</v>
      </c>
      <c r="H139" s="297">
        <v>1409.0139999999999</v>
      </c>
      <c r="I139" s="297">
        <v>1407.2550000000001</v>
      </c>
      <c r="J139" s="297">
        <v>1407.2639999999999</v>
      </c>
      <c r="K139" s="306">
        <v>1403.6869999999999</v>
      </c>
      <c r="L139" s="297">
        <v>1383.886</v>
      </c>
      <c r="M139" s="297">
        <v>1373.3140000000001</v>
      </c>
      <c r="N139" s="297">
        <v>1367.557</v>
      </c>
      <c r="O139" s="306">
        <v>1350.0920000000001</v>
      </c>
      <c r="P139" s="297">
        <v>1329.223</v>
      </c>
      <c r="Q139" s="297">
        <v>1331.729</v>
      </c>
      <c r="R139" s="297">
        <v>1333.278</v>
      </c>
      <c r="S139" s="305">
        <v>1347.691</v>
      </c>
      <c r="T139" s="298">
        <v>1349.567</v>
      </c>
      <c r="U139" s="299">
        <v>1352.4359999999999</v>
      </c>
      <c r="V139" s="299">
        <v>1348.808</v>
      </c>
      <c r="W139" s="305">
        <v>1339.8810000000001</v>
      </c>
      <c r="X139" s="298">
        <v>1335</v>
      </c>
      <c r="Y139" s="299">
        <v>1333</v>
      </c>
      <c r="Z139" s="299">
        <v>1330</v>
      </c>
      <c r="AA139" s="300">
        <v>1321</v>
      </c>
      <c r="AB139" s="298">
        <v>1310</v>
      </c>
      <c r="AC139" s="299">
        <v>1301</v>
      </c>
      <c r="AD139" s="299">
        <v>1268</v>
      </c>
      <c r="AE139" s="300">
        <v>1220</v>
      </c>
      <c r="AF139" s="298">
        <v>1212</v>
      </c>
      <c r="AG139" s="299">
        <v>1203</v>
      </c>
      <c r="AH139" s="299">
        <v>1220</v>
      </c>
      <c r="AI139" s="300">
        <v>1222</v>
      </c>
      <c r="AJ139" s="298">
        <v>1225</v>
      </c>
      <c r="AK139" s="299">
        <v>1229</v>
      </c>
      <c r="AL139" s="299">
        <v>1233</v>
      </c>
      <c r="AM139" s="300">
        <v>1236</v>
      </c>
      <c r="AN139" s="298">
        <v>1240</v>
      </c>
      <c r="AO139" s="299">
        <v>1241</v>
      </c>
      <c r="AP139" s="299">
        <v>1231</v>
      </c>
      <c r="AQ139" s="300">
        <v>1190</v>
      </c>
      <c r="AR139" s="298">
        <v>1154</v>
      </c>
      <c r="AS139" s="299">
        <v>1119</v>
      </c>
      <c r="AT139" s="299">
        <v>1093</v>
      </c>
      <c r="AU139" s="300">
        <v>1093</v>
      </c>
      <c r="AV139" s="744">
        <v>1089</v>
      </c>
      <c r="AW139" s="745">
        <v>1087</v>
      </c>
      <c r="AX139" s="745">
        <v>1083</v>
      </c>
      <c r="AY139" s="300">
        <v>1076</v>
      </c>
      <c r="AZ139" s="744">
        <v>1071</v>
      </c>
      <c r="BA139" s="749">
        <f>AZ139-5</f>
        <v>1066</v>
      </c>
      <c r="BB139" s="749">
        <f t="shared" ref="BB139:BC139" si="548">BA139-5</f>
        <v>1061</v>
      </c>
      <c r="BC139" s="749">
        <f t="shared" si="548"/>
        <v>1056</v>
      </c>
      <c r="BD139" s="730">
        <f>BC139-2</f>
        <v>1054</v>
      </c>
      <c r="BE139" s="749">
        <f>BD139-2</f>
        <v>1052</v>
      </c>
      <c r="BF139" s="749">
        <f t="shared" ref="BF139:BG139" si="549">BE139-2</f>
        <v>1050</v>
      </c>
      <c r="BG139" s="749">
        <f t="shared" si="549"/>
        <v>1048</v>
      </c>
      <c r="BH139" s="730">
        <f t="shared" ref="BH139" si="550">BG139-0.5</f>
        <v>1047.5</v>
      </c>
      <c r="BI139" s="749">
        <f t="shared" ref="BI139" si="551">BH139-0.5</f>
        <v>1047</v>
      </c>
      <c r="BJ139" s="749">
        <f t="shared" ref="BJ139" si="552">BI139-0.5</f>
        <v>1046.5</v>
      </c>
      <c r="BK139" s="748">
        <f t="shared" ref="BK139" si="553">BJ139-0.5</f>
        <v>1046</v>
      </c>
      <c r="BL139" s="215"/>
      <c r="BM139" s="222">
        <f>AVERAGE(D139:G139)</f>
        <v>1559.8290000000002</v>
      </c>
      <c r="BN139" s="223">
        <f>AVERAGE(H139:K139)</f>
        <v>1406.8050000000001</v>
      </c>
      <c r="BO139" s="223">
        <f>AVERAGE(L139:O139)</f>
        <v>1368.71225</v>
      </c>
      <c r="BP139" s="223">
        <f>AVERAGE(P139:S139)</f>
        <v>1335.4802500000001</v>
      </c>
      <c r="BQ139" s="223">
        <f>AVERAGE(T139:W139)</f>
        <v>1347.673</v>
      </c>
      <c r="BR139" s="223">
        <f>AVERAGE(X139:AA139)</f>
        <v>1329.75</v>
      </c>
      <c r="BS139" s="223">
        <f>AVERAGE(AB139:AE139)</f>
        <v>1274.75</v>
      </c>
      <c r="BT139" s="223">
        <f>AVERAGE(AF139:AI139)</f>
        <v>1214.25</v>
      </c>
      <c r="BU139" s="223">
        <f>AVERAGE(AJ139:AM139)</f>
        <v>1230.75</v>
      </c>
      <c r="BV139" s="223">
        <f>AVERAGE(AN139:AQ139)</f>
        <v>1225.5</v>
      </c>
      <c r="BW139" s="223">
        <f>AVERAGE(AR139:AU139)</f>
        <v>1114.75</v>
      </c>
      <c r="BX139" s="223">
        <f>AVERAGE(AV139:AY139)</f>
        <v>1083.75</v>
      </c>
      <c r="BY139" s="223">
        <f>AVERAGE(AZ139:BC139)</f>
        <v>1063.5</v>
      </c>
      <c r="BZ139" s="221">
        <f>AVERAGE(BD139:BG139)</f>
        <v>1051</v>
      </c>
      <c r="CA139" s="221">
        <f>AVERAGE(BH139:BK139)</f>
        <v>1046.75</v>
      </c>
      <c r="CB139" s="184"/>
      <c r="CC139" s="184"/>
      <c r="CD139" s="184"/>
    </row>
    <row r="140" spans="1:82" ht="14.25" customHeight="1" collapsed="1">
      <c r="A140" s="203"/>
      <c r="B140" s="217" t="s">
        <v>285</v>
      </c>
      <c r="C140" s="216"/>
      <c r="D140" s="736">
        <f t="shared" ref="D140:O140" si="554">D139</f>
        <v>1608.165</v>
      </c>
      <c r="E140" s="737">
        <f t="shared" si="554"/>
        <v>1586.404</v>
      </c>
      <c r="F140" s="737">
        <f t="shared" si="554"/>
        <v>1562.615</v>
      </c>
      <c r="G140" s="738">
        <f t="shared" si="554"/>
        <v>1482.1320000000001</v>
      </c>
      <c r="H140" s="737">
        <f t="shared" si="554"/>
        <v>1409.0139999999999</v>
      </c>
      <c r="I140" s="737">
        <f t="shared" si="554"/>
        <v>1407.2550000000001</v>
      </c>
      <c r="J140" s="737">
        <f t="shared" si="554"/>
        <v>1407.2639999999999</v>
      </c>
      <c r="K140" s="738">
        <f t="shared" si="554"/>
        <v>1403.6869999999999</v>
      </c>
      <c r="L140" s="737">
        <f t="shared" si="554"/>
        <v>1383.886</v>
      </c>
      <c r="M140" s="737">
        <f t="shared" si="554"/>
        <v>1373.3140000000001</v>
      </c>
      <c r="N140" s="737">
        <f t="shared" si="554"/>
        <v>1367.557</v>
      </c>
      <c r="O140" s="738">
        <f t="shared" si="554"/>
        <v>1350.0920000000001</v>
      </c>
      <c r="P140" s="287">
        <v>1329.223</v>
      </c>
      <c r="Q140" s="287">
        <v>1331.729</v>
      </c>
      <c r="R140" s="287">
        <v>1333.278</v>
      </c>
      <c r="S140" s="738">
        <v>1347.691</v>
      </c>
      <c r="T140" s="287">
        <v>1349.567</v>
      </c>
      <c r="U140" s="287">
        <v>1352.4359999999999</v>
      </c>
      <c r="V140" s="287">
        <v>1348.808</v>
      </c>
      <c r="W140" s="738">
        <v>1340</v>
      </c>
      <c r="X140" s="287">
        <v>1335</v>
      </c>
      <c r="Y140" s="287">
        <v>1333</v>
      </c>
      <c r="Z140" s="287">
        <v>1330</v>
      </c>
      <c r="AA140" s="738">
        <v>1321</v>
      </c>
      <c r="AB140" s="287">
        <v>1310</v>
      </c>
      <c r="AC140" s="287">
        <v>1301</v>
      </c>
      <c r="AD140" s="287">
        <v>1268</v>
      </c>
      <c r="AE140" s="738">
        <v>1234</v>
      </c>
      <c r="AF140" s="287">
        <v>1212</v>
      </c>
      <c r="AG140" s="287">
        <v>1217</v>
      </c>
      <c r="AH140" s="287">
        <v>1220</v>
      </c>
      <c r="AI140" s="738">
        <v>1222</v>
      </c>
      <c r="AJ140" s="287">
        <v>1225</v>
      </c>
      <c r="AK140" s="287">
        <v>1229</v>
      </c>
      <c r="AL140" s="287">
        <v>1233</v>
      </c>
      <c r="AM140" s="738">
        <v>1236</v>
      </c>
      <c r="AN140" s="736">
        <f t="shared" ref="AN140:AQ140" si="555">AN139</f>
        <v>1240</v>
      </c>
      <c r="AO140" s="737">
        <f t="shared" si="555"/>
        <v>1241</v>
      </c>
      <c r="AP140" s="737">
        <f t="shared" si="555"/>
        <v>1231</v>
      </c>
      <c r="AQ140" s="738">
        <f t="shared" si="555"/>
        <v>1190</v>
      </c>
      <c r="AR140" s="736">
        <f>AR139</f>
        <v>1154</v>
      </c>
      <c r="AS140" s="737">
        <f>AS139</f>
        <v>1119</v>
      </c>
      <c r="AT140" s="737">
        <f>AT139</f>
        <v>1093</v>
      </c>
      <c r="AU140" s="738">
        <f>AU139</f>
        <v>1093</v>
      </c>
      <c r="AV140" s="736">
        <f>AV139</f>
        <v>1089</v>
      </c>
      <c r="AW140" s="737">
        <f t="shared" ref="AW140:BC140" si="556">AW139</f>
        <v>1087</v>
      </c>
      <c r="AX140" s="737">
        <f t="shared" si="556"/>
        <v>1083</v>
      </c>
      <c r="AY140" s="738">
        <f>AY139</f>
        <v>1076</v>
      </c>
      <c r="AZ140" s="736">
        <f>AZ139</f>
        <v>1071</v>
      </c>
      <c r="BA140" s="749">
        <f t="shared" si="556"/>
        <v>1066</v>
      </c>
      <c r="BB140" s="749">
        <f t="shared" si="556"/>
        <v>1061</v>
      </c>
      <c r="BC140" s="748">
        <f t="shared" si="556"/>
        <v>1056</v>
      </c>
      <c r="BD140" s="730">
        <f t="shared" ref="BD140:BG140" si="557">BD139</f>
        <v>1054</v>
      </c>
      <c r="BE140" s="749">
        <f t="shared" si="557"/>
        <v>1052</v>
      </c>
      <c r="BF140" s="749">
        <f t="shared" si="557"/>
        <v>1050</v>
      </c>
      <c r="BG140" s="748">
        <f t="shared" si="557"/>
        <v>1048</v>
      </c>
      <c r="BH140" s="730">
        <f t="shared" ref="BH140:BK140" si="558">BH139</f>
        <v>1047.5</v>
      </c>
      <c r="BI140" s="749">
        <f t="shared" si="558"/>
        <v>1047</v>
      </c>
      <c r="BJ140" s="749">
        <f t="shared" si="558"/>
        <v>1046.5</v>
      </c>
      <c r="BK140" s="748">
        <f t="shared" si="558"/>
        <v>1046</v>
      </c>
      <c r="BL140" s="215"/>
      <c r="BM140" s="309">
        <f>AVERAGE(D140:G140)</f>
        <v>1559.8290000000002</v>
      </c>
      <c r="BN140" s="220">
        <f>AVERAGE(H140:K140)</f>
        <v>1406.8050000000001</v>
      </c>
      <c r="BO140" s="220">
        <f>AVERAGE(L140:O140)</f>
        <v>1368.71225</v>
      </c>
      <c r="BP140" s="220">
        <f>AVERAGE(P140:S140)</f>
        <v>1335.4802500000001</v>
      </c>
      <c r="BQ140" s="220">
        <f>AVERAGE(T140:W140)</f>
        <v>1347.7027499999999</v>
      </c>
      <c r="BR140" s="220">
        <f>AVERAGE(X140:AA140)</f>
        <v>1329.75</v>
      </c>
      <c r="BS140" s="220">
        <f>AVERAGE(AB140:AE140)</f>
        <v>1278.25</v>
      </c>
      <c r="BT140" s="735">
        <f>AVERAGE(AF140:AI140)</f>
        <v>1217.75</v>
      </c>
      <c r="BU140" s="735">
        <f>AVERAGE(AJ140:AM140)</f>
        <v>1230.75</v>
      </c>
      <c r="BV140" s="220">
        <f>AVERAGE(AN140:AQ140)</f>
        <v>1225.5</v>
      </c>
      <c r="BW140" s="220">
        <f>AVERAGE(AR140:AU140)</f>
        <v>1114.75</v>
      </c>
      <c r="BX140" s="220">
        <f>AVERAGE(AV140:AY140)</f>
        <v>1083.75</v>
      </c>
      <c r="BY140" s="735">
        <f>AVERAGE(AZ140:BC140)</f>
        <v>1063.5</v>
      </c>
      <c r="BZ140" s="738">
        <f>AVERAGE(BD140:BG140)</f>
        <v>1051</v>
      </c>
      <c r="CA140" s="738">
        <f>AVERAGE(BH140:BK140)</f>
        <v>1046.75</v>
      </c>
      <c r="CB140" s="184"/>
      <c r="CC140" s="184"/>
      <c r="CD140" s="184"/>
    </row>
    <row r="141" spans="1:82" ht="14.25" customHeight="1">
      <c r="A141" s="203"/>
      <c r="B141" s="262" t="s">
        <v>304</v>
      </c>
      <c r="C141" s="261"/>
      <c r="D141" s="756">
        <f t="shared" ref="D141:AX141" si="559">D139/D136</f>
        <v>1.0061973646340394</v>
      </c>
      <c r="E141" s="746">
        <f t="shared" si="559"/>
        <v>1.0062516333153193</v>
      </c>
      <c r="F141" s="746">
        <f t="shared" si="559"/>
        <v>1.0076550352604943</v>
      </c>
      <c r="G141" s="757">
        <f t="shared" si="559"/>
        <v>1.0082702086770183</v>
      </c>
      <c r="H141" s="756">
        <f t="shared" si="559"/>
        <v>1.0102558954908187</v>
      </c>
      <c r="I141" s="746">
        <f t="shared" si="559"/>
        <v>1.0116305651164998</v>
      </c>
      <c r="J141" s="746">
        <f t="shared" si="559"/>
        <v>1.0156944798303018</v>
      </c>
      <c r="K141" s="757">
        <f t="shared" si="559"/>
        <v>1.0157872912884052</v>
      </c>
      <c r="L141" s="756">
        <f t="shared" si="559"/>
        <v>1.0092186297853412</v>
      </c>
      <c r="M141" s="746">
        <f t="shared" si="559"/>
        <v>1.0122421602338019</v>
      </c>
      <c r="N141" s="746">
        <f t="shared" si="559"/>
        <v>1.0126106420757541</v>
      </c>
      <c r="O141" s="757">
        <f t="shared" si="559"/>
        <v>1.0088662087971623</v>
      </c>
      <c r="P141" s="746">
        <f t="shared" si="559"/>
        <v>1</v>
      </c>
      <c r="Q141" s="746">
        <f t="shared" si="559"/>
        <v>1</v>
      </c>
      <c r="R141" s="746">
        <f t="shared" si="559"/>
        <v>1</v>
      </c>
      <c r="S141" s="746">
        <f t="shared" si="559"/>
        <v>1.007142035102613</v>
      </c>
      <c r="T141" s="731">
        <f t="shared" si="559"/>
        <v>1.0056828131788209</v>
      </c>
      <c r="U141" s="694">
        <f t="shared" si="559"/>
        <v>1.0058150387805598</v>
      </c>
      <c r="V141" s="694">
        <f t="shared" si="559"/>
        <v>1.0068285983010614</v>
      </c>
      <c r="W141" s="746">
        <f t="shared" si="559"/>
        <v>1.0048431742965287</v>
      </c>
      <c r="X141" s="731">
        <f t="shared" si="559"/>
        <v>1.0083081570996979</v>
      </c>
      <c r="Y141" s="694">
        <f t="shared" si="559"/>
        <v>1.0098484848484848</v>
      </c>
      <c r="Z141" s="694">
        <f t="shared" si="559"/>
        <v>1.0091047040971168</v>
      </c>
      <c r="AA141" s="695">
        <f t="shared" si="559"/>
        <v>1.006859756097561</v>
      </c>
      <c r="AB141" s="731">
        <f t="shared" si="559"/>
        <v>1.0084680523479599</v>
      </c>
      <c r="AC141" s="694">
        <f t="shared" si="559"/>
        <v>1.0093095422808378</v>
      </c>
      <c r="AD141" s="694">
        <f t="shared" si="559"/>
        <v>1.0087509944311854</v>
      </c>
      <c r="AE141" s="695">
        <f t="shared" si="559"/>
        <v>1</v>
      </c>
      <c r="AF141" s="731">
        <f t="shared" si="559"/>
        <v>1.011686143572621</v>
      </c>
      <c r="AG141" s="694">
        <f t="shared" si="559"/>
        <v>1</v>
      </c>
      <c r="AH141" s="694">
        <f t="shared" si="559"/>
        <v>1.0141313383208646</v>
      </c>
      <c r="AI141" s="695">
        <f t="shared" si="559"/>
        <v>1.0149501661129567</v>
      </c>
      <c r="AJ141" s="731">
        <f t="shared" si="559"/>
        <v>1.0157545605306799</v>
      </c>
      <c r="AK141" s="694">
        <f t="shared" si="559"/>
        <v>1.0106907894736843</v>
      </c>
      <c r="AL141" s="694">
        <f t="shared" si="559"/>
        <v>1.0123152709359606</v>
      </c>
      <c r="AM141" s="695">
        <f t="shared" si="559"/>
        <v>1.0131147540983607</v>
      </c>
      <c r="AN141" s="731">
        <f t="shared" si="559"/>
        <v>1.0130718954248366</v>
      </c>
      <c r="AO141" s="694">
        <f t="shared" si="559"/>
        <v>1.0089430894308944</v>
      </c>
      <c r="AP141" s="694">
        <f t="shared" si="559"/>
        <v>1.0081900081900081</v>
      </c>
      <c r="AQ141" s="695">
        <f t="shared" si="559"/>
        <v>1.0067681895093064</v>
      </c>
      <c r="AR141" s="731">
        <f>AR139/AR136</f>
        <v>1.0069808027923211</v>
      </c>
      <c r="AS141" s="694">
        <f>AS139/AS136</f>
        <v>1.0053908355795149</v>
      </c>
      <c r="AT141" s="694">
        <f>AT139/AT136</f>
        <v>1.0092336103416435</v>
      </c>
      <c r="AU141" s="695">
        <f>AU139/AU136</f>
        <v>1.0111008325624422</v>
      </c>
      <c r="AV141" s="731">
        <f>AV139/AV136</f>
        <v>1.010204081632653</v>
      </c>
      <c r="AW141" s="694">
        <f t="shared" si="559"/>
        <v>1.0083487940630798</v>
      </c>
      <c r="AX141" s="694">
        <f t="shared" si="559"/>
        <v>1.011204481792717</v>
      </c>
      <c r="AY141" s="695">
        <f>AY139/AY136</f>
        <v>1.0112781954887218</v>
      </c>
      <c r="AZ141" s="731">
        <f>AZ139/AZ136</f>
        <v>1.0142045454545454</v>
      </c>
      <c r="BA141" s="746">
        <f t="shared" ref="BA141:BG141" si="560">BA139/BA136</f>
        <v>1.0142721217887727</v>
      </c>
      <c r="BB141" s="746">
        <f t="shared" si="560"/>
        <v>1.0143403441682601</v>
      </c>
      <c r="BC141" s="757">
        <f t="shared" si="560"/>
        <v>1.0144092219020173</v>
      </c>
      <c r="BD141" s="756">
        <f t="shared" si="560"/>
        <v>1.014436958614052</v>
      </c>
      <c r="BE141" s="746">
        <f t="shared" si="560"/>
        <v>1.0144648023143683</v>
      </c>
      <c r="BF141" s="746">
        <f t="shared" si="560"/>
        <v>1.0144927536231885</v>
      </c>
      <c r="BG141" s="757">
        <f t="shared" si="560"/>
        <v>1.0145208131655372</v>
      </c>
      <c r="BH141" s="756">
        <f t="shared" ref="BH141:BK141" si="561">BH139/BH136</f>
        <v>1.0145278450363195</v>
      </c>
      <c r="BI141" s="746">
        <f t="shared" si="561"/>
        <v>1.018978102189781</v>
      </c>
      <c r="BJ141" s="746">
        <f t="shared" si="561"/>
        <v>1.0234718826405869</v>
      </c>
      <c r="BK141" s="757">
        <f t="shared" si="561"/>
        <v>1.028009828009828</v>
      </c>
      <c r="BL141" s="215"/>
      <c r="BM141" s="653">
        <f>SUM(D141:G141)</f>
        <v>4.0283742418868709</v>
      </c>
      <c r="BN141" s="307">
        <f t="shared" ref="BN141:BX141" si="562">BN139/BN136</f>
        <v>1.0133336310608561</v>
      </c>
      <c r="BO141" s="307">
        <f t="shared" si="562"/>
        <v>1.0107345741496259</v>
      </c>
      <c r="BP141" s="307">
        <f t="shared" si="562"/>
        <v>1.0017922632438445</v>
      </c>
      <c r="BQ141" s="307">
        <f t="shared" si="562"/>
        <v>1.0057934850487189</v>
      </c>
      <c r="BR141" s="307">
        <f t="shared" si="562"/>
        <v>1.0085324232081911</v>
      </c>
      <c r="BS141" s="307">
        <f t="shared" si="562"/>
        <v>1.0067127344521225</v>
      </c>
      <c r="BT141" s="746">
        <f t="shared" si="562"/>
        <v>1.0101913477537439</v>
      </c>
      <c r="BU141" s="746">
        <f t="shared" si="562"/>
        <v>1.0129629629629631</v>
      </c>
      <c r="BV141" s="307">
        <f t="shared" si="562"/>
        <v>1.0092649783817171</v>
      </c>
      <c r="BW141" s="307">
        <f t="shared" si="562"/>
        <v>1.008139271987339</v>
      </c>
      <c r="BX141" s="307">
        <f t="shared" si="562"/>
        <v>1.0102540200419483</v>
      </c>
      <c r="BY141" s="746">
        <f>BY139/BY136</f>
        <v>1.0143061516452074</v>
      </c>
      <c r="BZ141" s="757">
        <f>BZ139/BZ136</f>
        <v>1.0144787644787645</v>
      </c>
      <c r="CA141" s="757">
        <f>CA139/CA136</f>
        <v>1.021219512195122</v>
      </c>
      <c r="CB141" s="184"/>
      <c r="CC141" s="184"/>
      <c r="CD141" s="184"/>
    </row>
    <row r="142" spans="1:82" ht="14.25" hidden="1" customHeight="1" outlineLevel="1">
      <c r="A142" s="203"/>
      <c r="B142" s="217"/>
      <c r="C142" s="216"/>
      <c r="D142" s="255"/>
      <c r="E142" s="255"/>
      <c r="F142" s="255"/>
      <c r="G142" s="256"/>
      <c r="H142" s="255"/>
      <c r="I142" s="255"/>
      <c r="J142" s="255"/>
      <c r="K142" s="256"/>
      <c r="L142" s="255"/>
      <c r="M142" s="255"/>
      <c r="N142" s="255"/>
      <c r="O142" s="256"/>
      <c r="P142" s="255"/>
      <c r="Q142" s="255"/>
      <c r="R142" s="255"/>
      <c r="S142" s="255"/>
      <c r="T142" s="258"/>
      <c r="U142" s="259"/>
      <c r="V142" s="259"/>
      <c r="W142" s="255"/>
      <c r="X142" s="258"/>
      <c r="Y142" s="259"/>
      <c r="Z142" s="259"/>
      <c r="AA142" s="260"/>
      <c r="AB142" s="258"/>
      <c r="AC142" s="259"/>
      <c r="AD142" s="259"/>
      <c r="AE142" s="260"/>
      <c r="AF142" s="258"/>
      <c r="AG142" s="259"/>
      <c r="AH142" s="259"/>
      <c r="AI142" s="260"/>
      <c r="AJ142" s="258"/>
      <c r="AK142" s="259"/>
      <c r="AL142" s="259"/>
      <c r="AM142" s="260"/>
      <c r="AN142" s="259"/>
      <c r="AO142" s="259"/>
      <c r="AP142" s="259"/>
      <c r="AQ142" s="256"/>
      <c r="AR142" s="259"/>
      <c r="AS142" s="259"/>
      <c r="AT142" s="259"/>
      <c r="AU142" s="256"/>
      <c r="AV142" s="259"/>
      <c r="AW142" s="259"/>
      <c r="AX142" s="255"/>
      <c r="AY142" s="742"/>
      <c r="AZ142" s="259"/>
      <c r="BA142" s="255"/>
      <c r="BB142" s="255"/>
      <c r="BC142" s="256"/>
      <c r="BD142" s="741"/>
      <c r="BE142" s="741"/>
      <c r="BF142" s="741"/>
      <c r="BG142" s="742"/>
      <c r="BH142" s="741"/>
      <c r="BI142" s="741"/>
      <c r="BJ142" s="741"/>
      <c r="BK142" s="742"/>
      <c r="BL142" s="232"/>
      <c r="BM142" s="257"/>
      <c r="BN142" s="255"/>
      <c r="BO142" s="255"/>
      <c r="BP142" s="255"/>
      <c r="BQ142" s="255"/>
      <c r="BR142" s="255"/>
      <c r="BS142" s="255"/>
      <c r="BT142" s="741"/>
      <c r="BU142" s="741"/>
      <c r="BV142" s="255"/>
      <c r="BW142" s="255"/>
      <c r="BX142" s="255"/>
      <c r="BY142" s="741"/>
      <c r="BZ142" s="741"/>
      <c r="CA142" s="742"/>
      <c r="CB142" s="184"/>
      <c r="CC142" s="184"/>
      <c r="CD142" s="184"/>
    </row>
    <row r="143" spans="1:82" ht="14.25" hidden="1" customHeight="1" outlineLevel="1">
      <c r="A143" s="203"/>
      <c r="B143" s="217" t="s">
        <v>303</v>
      </c>
      <c r="C143" s="216"/>
      <c r="D143" s="297">
        <f t="shared" ref="D143:AI143" si="563">D139</f>
        <v>1608.165</v>
      </c>
      <c r="E143" s="297">
        <f t="shared" si="563"/>
        <v>1586.404</v>
      </c>
      <c r="F143" s="297">
        <f t="shared" si="563"/>
        <v>1562.615</v>
      </c>
      <c r="G143" s="306">
        <f t="shared" si="563"/>
        <v>1482.1320000000001</v>
      </c>
      <c r="H143" s="297">
        <f t="shared" si="563"/>
        <v>1409.0139999999999</v>
      </c>
      <c r="I143" s="297">
        <f t="shared" si="563"/>
        <v>1407.2550000000001</v>
      </c>
      <c r="J143" s="297">
        <f t="shared" si="563"/>
        <v>1407.2639999999999</v>
      </c>
      <c r="K143" s="306">
        <f t="shared" si="563"/>
        <v>1403.6869999999999</v>
      </c>
      <c r="L143" s="297">
        <f t="shared" si="563"/>
        <v>1383.886</v>
      </c>
      <c r="M143" s="297">
        <f t="shared" si="563"/>
        <v>1373.3140000000001</v>
      </c>
      <c r="N143" s="297">
        <f t="shared" si="563"/>
        <v>1367.557</v>
      </c>
      <c r="O143" s="306">
        <f t="shared" si="563"/>
        <v>1350.0920000000001</v>
      </c>
      <c r="P143" s="297">
        <f t="shared" si="563"/>
        <v>1329.223</v>
      </c>
      <c r="Q143" s="297">
        <f t="shared" si="563"/>
        <v>1331.729</v>
      </c>
      <c r="R143" s="297">
        <f t="shared" si="563"/>
        <v>1333.278</v>
      </c>
      <c r="S143" s="305">
        <f t="shared" si="563"/>
        <v>1347.691</v>
      </c>
      <c r="T143" s="298">
        <f t="shared" si="563"/>
        <v>1349.567</v>
      </c>
      <c r="U143" s="299">
        <f t="shared" si="563"/>
        <v>1352.4359999999999</v>
      </c>
      <c r="V143" s="299">
        <f t="shared" si="563"/>
        <v>1348.808</v>
      </c>
      <c r="W143" s="305">
        <f t="shared" si="563"/>
        <v>1339.8810000000001</v>
      </c>
      <c r="X143" s="298">
        <f t="shared" si="563"/>
        <v>1335</v>
      </c>
      <c r="Y143" s="299">
        <f t="shared" si="563"/>
        <v>1333</v>
      </c>
      <c r="Z143" s="299">
        <f t="shared" si="563"/>
        <v>1330</v>
      </c>
      <c r="AA143" s="300">
        <f t="shared" si="563"/>
        <v>1321</v>
      </c>
      <c r="AB143" s="298">
        <f t="shared" si="563"/>
        <v>1310</v>
      </c>
      <c r="AC143" s="299">
        <f t="shared" si="563"/>
        <v>1301</v>
      </c>
      <c r="AD143" s="299">
        <f t="shared" si="563"/>
        <v>1268</v>
      </c>
      <c r="AE143" s="300">
        <f t="shared" si="563"/>
        <v>1220</v>
      </c>
      <c r="AF143" s="298">
        <f t="shared" si="563"/>
        <v>1212</v>
      </c>
      <c r="AG143" s="299">
        <f t="shared" si="563"/>
        <v>1203</v>
      </c>
      <c r="AH143" s="299">
        <f t="shared" si="563"/>
        <v>1220</v>
      </c>
      <c r="AI143" s="300">
        <f t="shared" si="563"/>
        <v>1222</v>
      </c>
      <c r="AJ143" s="298">
        <f>AJ139</f>
        <v>1225</v>
      </c>
      <c r="AK143" s="299">
        <f t="shared" ref="AK143:AX143" si="564">AK139</f>
        <v>1229</v>
      </c>
      <c r="AL143" s="299">
        <f t="shared" si="564"/>
        <v>1233</v>
      </c>
      <c r="AM143" s="300">
        <f t="shared" si="564"/>
        <v>1236</v>
      </c>
      <c r="AN143" s="298">
        <f t="shared" si="564"/>
        <v>1240</v>
      </c>
      <c r="AO143" s="299">
        <f t="shared" si="564"/>
        <v>1241</v>
      </c>
      <c r="AP143" s="299">
        <f t="shared" si="564"/>
        <v>1231</v>
      </c>
      <c r="AQ143" s="226">
        <f t="shared" si="564"/>
        <v>1190</v>
      </c>
      <c r="AR143" s="298">
        <f>AR139</f>
        <v>1154</v>
      </c>
      <c r="AS143" s="299">
        <f>AS139</f>
        <v>1119</v>
      </c>
      <c r="AT143" s="299">
        <f>AT139</f>
        <v>1093</v>
      </c>
      <c r="AU143" s="226">
        <f>AU139</f>
        <v>1093</v>
      </c>
      <c r="AV143" s="692">
        <f>AV139</f>
        <v>1089</v>
      </c>
      <c r="AW143" s="287">
        <f t="shared" si="564"/>
        <v>1087</v>
      </c>
      <c r="AX143" s="220">
        <f t="shared" si="564"/>
        <v>1083</v>
      </c>
      <c r="AY143" s="738">
        <f>AY139</f>
        <v>1076</v>
      </c>
      <c r="AZ143" s="692">
        <f>AZ139</f>
        <v>1071</v>
      </c>
      <c r="BA143" s="220">
        <f t="shared" ref="BA143:BG143" si="565">BA139</f>
        <v>1066</v>
      </c>
      <c r="BB143" s="220">
        <f t="shared" si="565"/>
        <v>1061</v>
      </c>
      <c r="BC143" s="226">
        <f t="shared" si="565"/>
        <v>1056</v>
      </c>
      <c r="BD143" s="735">
        <f t="shared" si="565"/>
        <v>1054</v>
      </c>
      <c r="BE143" s="735">
        <f t="shared" si="565"/>
        <v>1052</v>
      </c>
      <c r="BF143" s="735">
        <f t="shared" si="565"/>
        <v>1050</v>
      </c>
      <c r="BG143" s="738">
        <f t="shared" si="565"/>
        <v>1048</v>
      </c>
      <c r="BH143" s="735">
        <f t="shared" ref="BH143:BK143" si="566">BH139</f>
        <v>1047.5</v>
      </c>
      <c r="BI143" s="735">
        <f t="shared" si="566"/>
        <v>1047</v>
      </c>
      <c r="BJ143" s="735">
        <f t="shared" si="566"/>
        <v>1046.5</v>
      </c>
      <c r="BK143" s="738">
        <f t="shared" si="566"/>
        <v>1046</v>
      </c>
      <c r="BL143" s="232"/>
      <c r="BM143" s="222">
        <f>G143</f>
        <v>1482.1320000000001</v>
      </c>
      <c r="BN143" s="223">
        <f>K143</f>
        <v>1403.6869999999999</v>
      </c>
      <c r="BO143" s="223">
        <f>O143</f>
        <v>1350.0920000000001</v>
      </c>
      <c r="BP143" s="223">
        <f>S143</f>
        <v>1347.691</v>
      </c>
      <c r="BQ143" s="223">
        <f>W143</f>
        <v>1339.8810000000001</v>
      </c>
      <c r="BR143" s="223">
        <f>AA143</f>
        <v>1321</v>
      </c>
      <c r="BS143" s="223">
        <f>AE143</f>
        <v>1220</v>
      </c>
      <c r="BT143" s="223">
        <f>AI143</f>
        <v>1222</v>
      </c>
      <c r="BU143" s="223">
        <f>AM143</f>
        <v>1236</v>
      </c>
      <c r="BV143" s="223">
        <f>AQ143</f>
        <v>1190</v>
      </c>
      <c r="BW143" s="225">
        <f>AU143</f>
        <v>1093</v>
      </c>
      <c r="BX143" s="225">
        <f>AY143</f>
        <v>1076</v>
      </c>
      <c r="BY143" s="737">
        <f>BC143</f>
        <v>1056</v>
      </c>
      <c r="BZ143" s="737">
        <f>BG143</f>
        <v>1048</v>
      </c>
      <c r="CA143" s="282">
        <f>BK143</f>
        <v>1046</v>
      </c>
      <c r="CB143" s="184"/>
      <c r="CC143" s="184"/>
      <c r="CD143" s="184"/>
    </row>
    <row r="144" spans="1:82" ht="14.25" hidden="1" customHeight="1" outlineLevel="1">
      <c r="A144" s="203"/>
      <c r="B144" s="217"/>
      <c r="C144" s="216"/>
      <c r="D144" s="297"/>
      <c r="E144" s="302"/>
      <c r="F144" s="302"/>
      <c r="G144" s="301"/>
      <c r="H144" s="297"/>
      <c r="I144" s="302"/>
      <c r="J144" s="302"/>
      <c r="K144" s="301"/>
      <c r="L144" s="297"/>
      <c r="M144" s="302"/>
      <c r="N144" s="302"/>
      <c r="O144" s="301"/>
      <c r="P144" s="297"/>
      <c r="Q144" s="302"/>
      <c r="R144" s="302"/>
      <c r="S144" s="302"/>
      <c r="T144" s="298"/>
      <c r="U144" s="303"/>
      <c r="V144" s="303"/>
      <c r="W144" s="302"/>
      <c r="X144" s="298"/>
      <c r="Y144" s="303"/>
      <c r="Z144" s="303"/>
      <c r="AA144" s="304"/>
      <c r="AB144" s="298"/>
      <c r="AC144" s="303"/>
      <c r="AD144" s="303"/>
      <c r="AE144" s="304"/>
      <c r="AF144" s="298"/>
      <c r="AG144" s="303"/>
      <c r="AH144" s="303"/>
      <c r="AI144" s="304"/>
      <c r="AJ144" s="298"/>
      <c r="AK144" s="303"/>
      <c r="AL144" s="303"/>
      <c r="AM144" s="304"/>
      <c r="AN144" s="298"/>
      <c r="AO144" s="303"/>
      <c r="AP144" s="303"/>
      <c r="AQ144" s="301"/>
      <c r="AR144" s="298"/>
      <c r="AS144" s="303"/>
      <c r="AT144" s="303"/>
      <c r="AU144" s="301"/>
      <c r="AV144" s="298"/>
      <c r="AW144" s="303"/>
      <c r="AX144" s="302"/>
      <c r="AY144" s="301"/>
      <c r="AZ144" s="744"/>
      <c r="BA144" s="302"/>
      <c r="BB144" s="302"/>
      <c r="BC144" s="301"/>
      <c r="BD144" s="302"/>
      <c r="BE144" s="302"/>
      <c r="BF144" s="302"/>
      <c r="BG144" s="301"/>
      <c r="BH144" s="302"/>
      <c r="BI144" s="302"/>
      <c r="BJ144" s="302"/>
      <c r="BK144" s="301"/>
      <c r="BL144" s="232"/>
      <c r="BM144" s="257"/>
      <c r="BN144" s="255"/>
      <c r="BO144" s="255"/>
      <c r="BP144" s="255"/>
      <c r="BQ144" s="255"/>
      <c r="BR144" s="255"/>
      <c r="BS144" s="255"/>
      <c r="BT144" s="741"/>
      <c r="BU144" s="741"/>
      <c r="BV144" s="255"/>
      <c r="BW144" s="255"/>
      <c r="BX144" s="255"/>
      <c r="BY144" s="741"/>
      <c r="BZ144" s="741"/>
      <c r="CA144" s="742"/>
      <c r="CB144" s="184"/>
      <c r="CC144" s="184"/>
      <c r="CD144" s="184"/>
    </row>
    <row r="145" spans="1:88" ht="14.25" hidden="1" customHeight="1" outlineLevel="1">
      <c r="A145" s="203"/>
      <c r="B145" s="217" t="s">
        <v>302</v>
      </c>
      <c r="C145" s="216"/>
      <c r="D145" s="297">
        <v>0.05</v>
      </c>
      <c r="E145" s="297">
        <v>0.05</v>
      </c>
      <c r="F145" s="297">
        <v>0.05</v>
      </c>
      <c r="G145" s="286">
        <v>0.05</v>
      </c>
      <c r="H145" s="297">
        <v>0.06</v>
      </c>
      <c r="I145" s="297">
        <v>0.06</v>
      </c>
      <c r="J145" s="297">
        <v>0.06</v>
      </c>
      <c r="K145" s="286">
        <v>0.06</v>
      </c>
      <c r="L145" s="297">
        <v>0.06</v>
      </c>
      <c r="M145" s="297">
        <v>0.06</v>
      </c>
      <c r="N145" s="297">
        <v>0.06</v>
      </c>
      <c r="O145" s="286">
        <v>0.06</v>
      </c>
      <c r="P145" s="297">
        <v>0.06</v>
      </c>
      <c r="Q145" s="297">
        <v>0.06</v>
      </c>
      <c r="R145" s="297">
        <v>0.06</v>
      </c>
      <c r="S145" s="286">
        <v>0.06</v>
      </c>
      <c r="T145" s="297">
        <v>7.0000000000000007E-2</v>
      </c>
      <c r="U145" s="297">
        <v>7.0000000000000007E-2</v>
      </c>
      <c r="V145" s="297">
        <v>7.0000000000000007E-2</v>
      </c>
      <c r="W145" s="286">
        <v>7.0000000000000007E-2</v>
      </c>
      <c r="X145" s="297">
        <v>0.08</v>
      </c>
      <c r="Y145" s="297">
        <v>0.08</v>
      </c>
      <c r="Z145" s="297">
        <v>0.08</v>
      </c>
      <c r="AA145" s="286">
        <v>0.08</v>
      </c>
      <c r="AB145" s="297">
        <v>0.09</v>
      </c>
      <c r="AC145" s="297">
        <v>0.09</v>
      </c>
      <c r="AD145" s="297">
        <v>0.09</v>
      </c>
      <c r="AE145" s="286">
        <v>0.09</v>
      </c>
      <c r="AF145" s="297">
        <v>0.1</v>
      </c>
      <c r="AG145" s="297">
        <v>0.1</v>
      </c>
      <c r="AH145" s="297">
        <v>0.1</v>
      </c>
      <c r="AI145" s="286">
        <v>0.1</v>
      </c>
      <c r="AJ145" s="297">
        <v>0.1</v>
      </c>
      <c r="AK145" s="297">
        <v>0.1</v>
      </c>
      <c r="AL145" s="297">
        <v>0.1</v>
      </c>
      <c r="AM145" s="286">
        <v>0.1</v>
      </c>
      <c r="AN145" s="297">
        <v>0.1</v>
      </c>
      <c r="AO145" s="297">
        <v>0.1</v>
      </c>
      <c r="AP145" s="297">
        <v>0.1</v>
      </c>
      <c r="AQ145" s="286">
        <v>0.1</v>
      </c>
      <c r="AR145" s="297">
        <v>0.1</v>
      </c>
      <c r="AS145" s="297">
        <v>0.1</v>
      </c>
      <c r="AT145" s="297">
        <v>0.1</v>
      </c>
      <c r="AU145" s="286">
        <v>0.1</v>
      </c>
      <c r="AV145" s="297">
        <v>0.1</v>
      </c>
      <c r="AW145" s="297">
        <v>0.1</v>
      </c>
      <c r="AX145" s="297">
        <f t="shared" ref="AX145:BC145" si="567">AW145</f>
        <v>0.1</v>
      </c>
      <c r="AY145" s="286">
        <v>0.1</v>
      </c>
      <c r="AZ145" s="297">
        <v>0.1</v>
      </c>
      <c r="BA145" s="297">
        <f t="shared" si="567"/>
        <v>0.1</v>
      </c>
      <c r="BB145" s="297">
        <f t="shared" si="567"/>
        <v>0.1</v>
      </c>
      <c r="BC145" s="286">
        <f t="shared" si="567"/>
        <v>0.1</v>
      </c>
      <c r="BD145" s="297">
        <f t="shared" ref="BD145" si="568">BC145</f>
        <v>0.1</v>
      </c>
      <c r="BE145" s="297">
        <f t="shared" ref="BE145" si="569">BD145</f>
        <v>0.1</v>
      </c>
      <c r="BF145" s="297">
        <f t="shared" ref="BF145" si="570">BE145</f>
        <v>0.1</v>
      </c>
      <c r="BG145" s="286">
        <f t="shared" ref="BG145" si="571">BF145</f>
        <v>0.1</v>
      </c>
      <c r="BH145" s="297">
        <f t="shared" ref="BH145" si="572">BG145</f>
        <v>0.1</v>
      </c>
      <c r="BI145" s="297">
        <f t="shared" ref="BI145" si="573">BH145</f>
        <v>0.1</v>
      </c>
      <c r="BJ145" s="297">
        <f t="shared" ref="BJ145" si="574">BI145</f>
        <v>0.1</v>
      </c>
      <c r="BK145" s="286">
        <f t="shared" ref="BK145" si="575">BJ145</f>
        <v>0.1</v>
      </c>
      <c r="BL145" s="232"/>
      <c r="BM145" s="309">
        <f>SUM(D145:G145)</f>
        <v>0.2</v>
      </c>
      <c r="BN145" s="220">
        <f>SUM(H145:K145)</f>
        <v>0.24</v>
      </c>
      <c r="BO145" s="220">
        <f>SUM(L145:O145)</f>
        <v>0.24</v>
      </c>
      <c r="BP145" s="220">
        <f>SUM(P145:S145)</f>
        <v>0.24</v>
      </c>
      <c r="BQ145" s="220">
        <f>SUM(T145:W145)</f>
        <v>0.28000000000000003</v>
      </c>
      <c r="BR145" s="220">
        <f>SUM(X145:AA145)</f>
        <v>0.32</v>
      </c>
      <c r="BS145" s="220">
        <f>SUM(AB145:AE145)</f>
        <v>0.36</v>
      </c>
      <c r="BT145" s="735">
        <f>SUM(AF145:AI145)</f>
        <v>0.4</v>
      </c>
      <c r="BU145" s="735">
        <f>SUM(AJ145:AM145)</f>
        <v>0.4</v>
      </c>
      <c r="BV145" s="220">
        <f>SUM(AN145:AQ145)</f>
        <v>0.4</v>
      </c>
      <c r="BW145" s="220">
        <f>SUM(AR145:AU145)</f>
        <v>0.4</v>
      </c>
      <c r="BX145" s="220">
        <f>SUM(AV145:AY145)</f>
        <v>0.4</v>
      </c>
      <c r="BY145" s="735">
        <f>SUM(AZ145:BC145)</f>
        <v>0.4</v>
      </c>
      <c r="BZ145" s="735">
        <f>SUM(BD145:BG145)</f>
        <v>0.4</v>
      </c>
      <c r="CA145" s="738">
        <f>SUM(BH145:BK145)</f>
        <v>0.4</v>
      </c>
      <c r="CB145" s="184"/>
      <c r="CC145" s="184"/>
      <c r="CD145" s="184"/>
    </row>
    <row r="146" spans="1:88" ht="14.25" hidden="1" customHeight="1" outlineLevel="1">
      <c r="A146" s="203"/>
      <c r="B146" s="217" t="s">
        <v>301</v>
      </c>
      <c r="C146" s="216"/>
      <c r="D146" s="294"/>
      <c r="E146" s="294"/>
      <c r="F146" s="291"/>
      <c r="G146" s="295"/>
      <c r="H146" s="294"/>
      <c r="I146" s="294"/>
      <c r="J146" s="291"/>
      <c r="K146" s="295"/>
      <c r="L146" s="294"/>
      <c r="M146" s="294"/>
      <c r="N146" s="291"/>
      <c r="O146" s="295"/>
      <c r="P146" s="294"/>
      <c r="Q146" s="294"/>
      <c r="R146" s="291"/>
      <c r="S146" s="291"/>
      <c r="T146" s="293"/>
      <c r="U146" s="292"/>
      <c r="V146" s="289"/>
      <c r="W146" s="291"/>
      <c r="X146" s="290"/>
      <c r="Y146" s="289"/>
      <c r="Z146" s="289"/>
      <c r="AA146" s="288"/>
      <c r="AB146" s="285"/>
      <c r="AC146" s="287"/>
      <c r="AD146" s="285"/>
      <c r="AE146" s="284"/>
      <c r="AF146" s="285"/>
      <c r="AG146" s="285"/>
      <c r="AH146" s="285"/>
      <c r="AI146" s="286"/>
      <c r="AJ146" s="283"/>
      <c r="AK146" s="285"/>
      <c r="AL146" s="285"/>
      <c r="AM146" s="284"/>
      <c r="AN146" s="283"/>
      <c r="AO146" s="189"/>
      <c r="AP146" s="189"/>
      <c r="AQ146" s="226"/>
      <c r="AR146" s="283"/>
      <c r="AS146" s="189"/>
      <c r="AT146" s="189"/>
      <c r="AU146" s="226"/>
      <c r="AV146" s="283"/>
      <c r="AW146" s="189"/>
      <c r="AX146" s="220"/>
      <c r="AY146" s="738"/>
      <c r="AZ146" s="283"/>
      <c r="BA146" s="220"/>
      <c r="BB146" s="220"/>
      <c r="BC146" s="226" t="s">
        <v>160</v>
      </c>
      <c r="BD146" s="735"/>
      <c r="BE146" s="735"/>
      <c r="BF146" s="735"/>
      <c r="BG146" s="738" t="s">
        <v>160</v>
      </c>
      <c r="BH146" s="735"/>
      <c r="BI146" s="735"/>
      <c r="BJ146" s="735"/>
      <c r="BK146" s="738" t="s">
        <v>160</v>
      </c>
      <c r="BL146" s="232"/>
      <c r="BM146" s="224"/>
      <c r="BN146" s="225"/>
      <c r="BO146" s="225"/>
      <c r="BP146" s="225"/>
      <c r="BQ146" s="225"/>
      <c r="BR146" s="225"/>
      <c r="BS146" s="225"/>
      <c r="BT146" s="737"/>
      <c r="BU146" s="737"/>
      <c r="BV146" s="225"/>
      <c r="BW146" s="225"/>
      <c r="BX146" s="225"/>
      <c r="BY146" s="737"/>
      <c r="BZ146" s="737"/>
      <c r="CA146" s="282"/>
      <c r="CB146" s="184"/>
      <c r="CC146" s="184"/>
      <c r="CD146" s="184"/>
    </row>
    <row r="147" spans="1:88" ht="14.25" hidden="1" customHeight="1" outlineLevel="1">
      <c r="A147" s="203"/>
      <c r="B147" s="262" t="s">
        <v>300</v>
      </c>
      <c r="C147" s="261"/>
      <c r="D147" s="280"/>
      <c r="E147" s="270"/>
      <c r="F147" s="270"/>
      <c r="G147" s="281"/>
      <c r="H147" s="280"/>
      <c r="I147" s="270"/>
      <c r="J147" s="270"/>
      <c r="K147" s="281"/>
      <c r="L147" s="280"/>
      <c r="M147" s="270"/>
      <c r="N147" s="270"/>
      <c r="O147" s="281"/>
      <c r="P147" s="280"/>
      <c r="Q147" s="270"/>
      <c r="R147" s="270"/>
      <c r="S147" s="270"/>
      <c r="T147" s="279"/>
      <c r="U147" s="274"/>
      <c r="V147" s="274"/>
      <c r="W147" s="270"/>
      <c r="X147" s="276"/>
      <c r="Y147" s="274"/>
      <c r="Z147" s="274"/>
      <c r="AA147" s="278"/>
      <c r="AB147" s="274"/>
      <c r="AC147" s="274"/>
      <c r="AD147" s="274"/>
      <c r="AE147" s="278"/>
      <c r="AF147" s="274"/>
      <c r="AG147" s="275"/>
      <c r="AH147" s="274"/>
      <c r="AI147" s="277"/>
      <c r="AJ147" s="276"/>
      <c r="AK147" s="275"/>
      <c r="AL147" s="274"/>
      <c r="AM147" s="271">
        <v>0.104</v>
      </c>
      <c r="AN147" s="273">
        <v>0.104</v>
      </c>
      <c r="AO147" s="272">
        <v>0.104</v>
      </c>
      <c r="AP147" s="272">
        <v>0.104</v>
      </c>
      <c r="AQ147" s="271">
        <v>0.104</v>
      </c>
      <c r="AR147" s="273">
        <v>0.104</v>
      </c>
      <c r="AS147" s="272">
        <v>0.104</v>
      </c>
      <c r="AT147" s="272">
        <v>0.104</v>
      </c>
      <c r="AU147" s="271">
        <v>0.104</v>
      </c>
      <c r="AV147" s="273">
        <v>0.104</v>
      </c>
      <c r="AW147" s="272">
        <v>0.104</v>
      </c>
      <c r="AX147" s="272">
        <v>0.104</v>
      </c>
      <c r="AY147" s="271">
        <v>0.104</v>
      </c>
      <c r="AZ147" s="273">
        <v>0.104</v>
      </c>
      <c r="BA147" s="272">
        <v>0.104</v>
      </c>
      <c r="BB147" s="272">
        <v>0.104</v>
      </c>
      <c r="BC147" s="271">
        <v>0.104</v>
      </c>
      <c r="BD147" s="273">
        <v>0.104</v>
      </c>
      <c r="BE147" s="272">
        <v>0.104</v>
      </c>
      <c r="BF147" s="272">
        <v>0.104</v>
      </c>
      <c r="BG147" s="271">
        <v>0.104</v>
      </c>
      <c r="BH147" s="273">
        <v>0.104</v>
      </c>
      <c r="BI147" s="272">
        <v>0.104</v>
      </c>
      <c r="BJ147" s="272">
        <v>0.104</v>
      </c>
      <c r="BK147" s="271">
        <v>0.104</v>
      </c>
      <c r="BL147" s="232"/>
      <c r="BM147" s="651"/>
      <c r="BN147" s="263"/>
      <c r="BO147" s="263"/>
      <c r="BP147" s="263"/>
      <c r="BQ147" s="263"/>
      <c r="BR147" s="270"/>
      <c r="BS147" s="269">
        <v>0.104</v>
      </c>
      <c r="BT147" s="269">
        <v>0.104</v>
      </c>
      <c r="BU147" s="269">
        <v>0.104</v>
      </c>
      <c r="BV147" s="269">
        <v>0.104</v>
      </c>
      <c r="BW147" s="269">
        <v>0.104</v>
      </c>
      <c r="BX147" s="269">
        <v>0.104</v>
      </c>
      <c r="BY147" s="269">
        <v>0.104</v>
      </c>
      <c r="BZ147" s="269">
        <v>0.104</v>
      </c>
      <c r="CA147" s="265">
        <v>0.104</v>
      </c>
      <c r="CB147" s="184"/>
      <c r="CC147" s="184"/>
      <c r="CD147" s="184"/>
    </row>
    <row r="148" spans="1:88" ht="14.25" hidden="1" customHeight="1" outlineLevel="1">
      <c r="A148" s="203"/>
      <c r="B148" s="217"/>
      <c r="C148" s="216"/>
      <c r="D148" s="255"/>
      <c r="E148" s="255"/>
      <c r="F148" s="255"/>
      <c r="G148" s="256"/>
      <c r="H148" s="255"/>
      <c r="I148" s="255"/>
      <c r="J148" s="255"/>
      <c r="K148" s="256"/>
      <c r="L148" s="255"/>
      <c r="M148" s="255"/>
      <c r="N148" s="255"/>
      <c r="O148" s="256"/>
      <c r="P148" s="255"/>
      <c r="Q148" s="255"/>
      <c r="R148" s="255"/>
      <c r="S148" s="255"/>
      <c r="T148" s="258"/>
      <c r="U148" s="259"/>
      <c r="V148" s="259"/>
      <c r="W148" s="255"/>
      <c r="X148" s="258"/>
      <c r="Y148" s="259"/>
      <c r="Z148" s="259"/>
      <c r="AA148" s="260"/>
      <c r="AB148" s="259"/>
      <c r="AC148" s="259"/>
      <c r="AD148" s="259"/>
      <c r="AE148" s="260"/>
      <c r="AF148" s="259"/>
      <c r="AG148" s="255"/>
      <c r="AH148" s="259"/>
      <c r="AI148" s="256"/>
      <c r="AJ148" s="258"/>
      <c r="AK148" s="255"/>
      <c r="AL148" s="259"/>
      <c r="AM148" s="260"/>
      <c r="AN148" s="258"/>
      <c r="AO148" s="255"/>
      <c r="AP148" s="259"/>
      <c r="AQ148" s="256"/>
      <c r="AR148" s="258"/>
      <c r="AS148" s="255"/>
      <c r="AT148" s="259"/>
      <c r="AU148" s="256"/>
      <c r="AV148" s="258"/>
      <c r="AW148" s="255"/>
      <c r="AX148" s="255"/>
      <c r="AY148" s="742"/>
      <c r="AZ148" s="258"/>
      <c r="BA148" s="255"/>
      <c r="BB148" s="255"/>
      <c r="BC148" s="256"/>
      <c r="BD148" s="741"/>
      <c r="BE148" s="741"/>
      <c r="BF148" s="741"/>
      <c r="BG148" s="742"/>
      <c r="BH148" s="741"/>
      <c r="BI148" s="741"/>
      <c r="BJ148" s="741"/>
      <c r="BK148" s="742"/>
      <c r="BL148" s="232"/>
      <c r="BM148" s="257"/>
      <c r="BN148" s="255"/>
      <c r="BO148" s="255"/>
      <c r="BP148" s="255"/>
      <c r="BQ148" s="255"/>
      <c r="BR148" s="255"/>
      <c r="BS148" s="255"/>
      <c r="BT148" s="741"/>
      <c r="BU148" s="741"/>
      <c r="BV148" s="255"/>
      <c r="BW148" s="255"/>
      <c r="BX148" s="255"/>
      <c r="BY148" s="741"/>
      <c r="BZ148" s="741"/>
      <c r="CA148" s="742"/>
      <c r="CB148" s="184"/>
      <c r="CC148" s="184"/>
      <c r="CD148" s="184"/>
    </row>
    <row r="149" spans="1:88" ht="14.25" hidden="1" customHeight="1" outlineLevel="1">
      <c r="A149" s="203"/>
      <c r="B149" s="217" t="s">
        <v>299</v>
      </c>
      <c r="C149" s="216"/>
      <c r="D149" s="263">
        <v>0.35</v>
      </c>
      <c r="E149" s="263">
        <v>0.35</v>
      </c>
      <c r="F149" s="263">
        <v>0.35</v>
      </c>
      <c r="G149" s="264">
        <v>0.35</v>
      </c>
      <c r="H149" s="263">
        <v>0.35</v>
      </c>
      <c r="I149" s="263">
        <v>0.35</v>
      </c>
      <c r="J149" s="263">
        <v>0.35</v>
      </c>
      <c r="K149" s="264">
        <v>0.35</v>
      </c>
      <c r="L149" s="263">
        <v>0.35</v>
      </c>
      <c r="M149" s="263">
        <v>0.35</v>
      </c>
      <c r="N149" s="263">
        <v>0.35</v>
      </c>
      <c r="O149" s="264">
        <v>0.35</v>
      </c>
      <c r="P149" s="263">
        <v>0.35</v>
      </c>
      <c r="Q149" s="263">
        <v>0.35</v>
      </c>
      <c r="R149" s="263">
        <v>0.35</v>
      </c>
      <c r="S149" s="263">
        <v>0.35</v>
      </c>
      <c r="T149" s="266">
        <v>0.35</v>
      </c>
      <c r="U149" s="267">
        <v>0.35</v>
      </c>
      <c r="V149" s="267">
        <v>0.35</v>
      </c>
      <c r="W149" s="263">
        <v>0.35</v>
      </c>
      <c r="X149" s="266">
        <v>0.35</v>
      </c>
      <c r="Y149" s="267">
        <v>0.35</v>
      </c>
      <c r="Z149" s="267">
        <v>0.35</v>
      </c>
      <c r="AA149" s="268">
        <v>0.35</v>
      </c>
      <c r="AB149" s="266">
        <v>0.35</v>
      </c>
      <c r="AC149" s="267">
        <v>0.35</v>
      </c>
      <c r="AD149" s="267">
        <v>0.35</v>
      </c>
      <c r="AE149" s="268">
        <v>0.35</v>
      </c>
      <c r="AF149" s="266">
        <v>0.35</v>
      </c>
      <c r="AG149" s="263">
        <v>0.35</v>
      </c>
      <c r="AH149" s="267">
        <v>0.35</v>
      </c>
      <c r="AI149" s="264">
        <v>0.35</v>
      </c>
      <c r="AJ149" s="266">
        <v>0.35</v>
      </c>
      <c r="AK149" s="263">
        <v>0.35</v>
      </c>
      <c r="AL149" s="267">
        <v>0.35</v>
      </c>
      <c r="AM149" s="268">
        <v>0.35</v>
      </c>
      <c r="AN149" s="266">
        <v>0.35</v>
      </c>
      <c r="AO149" s="263">
        <v>0.35</v>
      </c>
      <c r="AP149" s="267">
        <v>0.35</v>
      </c>
      <c r="AQ149" s="264">
        <v>0.35</v>
      </c>
      <c r="AR149" s="266">
        <v>0.35</v>
      </c>
      <c r="AS149" s="263">
        <v>0.35</v>
      </c>
      <c r="AT149" s="267">
        <v>0.35</v>
      </c>
      <c r="AU149" s="264">
        <v>0.35</v>
      </c>
      <c r="AV149" s="266">
        <v>0.35</v>
      </c>
      <c r="AW149" s="263">
        <v>0.35</v>
      </c>
      <c r="AX149" s="263">
        <v>0.35</v>
      </c>
      <c r="AY149" s="264">
        <v>0.35</v>
      </c>
      <c r="AZ149" s="832">
        <v>0.35</v>
      </c>
      <c r="BA149" s="833">
        <v>0.21</v>
      </c>
      <c r="BB149" s="833">
        <f t="shared" ref="BB149:BK149" si="576">BA149</f>
        <v>0.21</v>
      </c>
      <c r="BC149" s="834">
        <f t="shared" si="576"/>
        <v>0.21</v>
      </c>
      <c r="BD149" s="833">
        <f t="shared" si="576"/>
        <v>0.21</v>
      </c>
      <c r="BE149" s="833">
        <f t="shared" si="576"/>
        <v>0.21</v>
      </c>
      <c r="BF149" s="833">
        <f t="shared" si="576"/>
        <v>0.21</v>
      </c>
      <c r="BG149" s="834">
        <f t="shared" si="576"/>
        <v>0.21</v>
      </c>
      <c r="BH149" s="833">
        <f t="shared" si="576"/>
        <v>0.21</v>
      </c>
      <c r="BI149" s="833">
        <f t="shared" si="576"/>
        <v>0.21</v>
      </c>
      <c r="BJ149" s="833">
        <f t="shared" si="576"/>
        <v>0.21</v>
      </c>
      <c r="BK149" s="834">
        <f t="shared" si="576"/>
        <v>0.21</v>
      </c>
      <c r="BL149" s="232"/>
      <c r="BM149" s="651">
        <v>0.35</v>
      </c>
      <c r="BN149" s="263">
        <v>0.35</v>
      </c>
      <c r="BO149" s="263">
        <v>0.35</v>
      </c>
      <c r="BP149" s="263">
        <v>0.35</v>
      </c>
      <c r="BQ149" s="263">
        <v>0.35</v>
      </c>
      <c r="BR149" s="263">
        <v>0.35</v>
      </c>
      <c r="BS149" s="263">
        <v>0.35</v>
      </c>
      <c r="BT149" s="263">
        <v>0.35</v>
      </c>
      <c r="BU149" s="263">
        <v>0.35</v>
      </c>
      <c r="BV149" s="263">
        <v>0.35</v>
      </c>
      <c r="BW149" s="263">
        <v>0.35</v>
      </c>
      <c r="BX149" s="263">
        <v>0.35</v>
      </c>
      <c r="BY149" s="263">
        <v>0.35</v>
      </c>
      <c r="BZ149" s="263">
        <f>BG149</f>
        <v>0.21</v>
      </c>
      <c r="CA149" s="264">
        <f>BK149</f>
        <v>0.21</v>
      </c>
      <c r="CB149" s="184"/>
      <c r="CC149" s="184"/>
      <c r="CD149" s="184"/>
    </row>
    <row r="150" spans="1:88" ht="14.25" hidden="1" customHeight="1" outlineLevel="1">
      <c r="A150" s="203"/>
      <c r="B150" s="262"/>
      <c r="C150" s="261"/>
      <c r="D150" s="255"/>
      <c r="E150" s="255"/>
      <c r="F150" s="255"/>
      <c r="G150" s="256"/>
      <c r="H150" s="255"/>
      <c r="I150" s="255"/>
      <c r="J150" s="255"/>
      <c r="K150" s="256"/>
      <c r="L150" s="255"/>
      <c r="M150" s="255"/>
      <c r="N150" s="255"/>
      <c r="O150" s="256"/>
      <c r="P150" s="255"/>
      <c r="Q150" s="255"/>
      <c r="R150" s="255"/>
      <c r="S150" s="255"/>
      <c r="T150" s="258"/>
      <c r="U150" s="259"/>
      <c r="V150" s="259"/>
      <c r="W150" s="255"/>
      <c r="X150" s="258"/>
      <c r="Y150" s="259"/>
      <c r="Z150" s="259"/>
      <c r="AA150" s="260"/>
      <c r="AB150" s="258"/>
      <c r="AC150" s="259"/>
      <c r="AD150" s="259"/>
      <c r="AE150" s="260"/>
      <c r="AF150" s="258"/>
      <c r="AG150" s="255"/>
      <c r="AH150" s="259"/>
      <c r="AI150" s="256"/>
      <c r="AJ150" s="258"/>
      <c r="AK150" s="255"/>
      <c r="AL150" s="259"/>
      <c r="AM150" s="260"/>
      <c r="AN150" s="258"/>
      <c r="AO150" s="255"/>
      <c r="AP150" s="259"/>
      <c r="AQ150" s="256"/>
      <c r="AR150" s="258"/>
      <c r="AS150" s="255"/>
      <c r="AT150" s="259"/>
      <c r="AU150" s="256"/>
      <c r="AV150" s="258"/>
      <c r="AW150" s="255"/>
      <c r="AX150" s="255"/>
      <c r="AY150" s="742"/>
      <c r="AZ150" s="258"/>
      <c r="BA150" s="255"/>
      <c r="BB150" s="255"/>
      <c r="BC150" s="256"/>
      <c r="BD150" s="741"/>
      <c r="BE150" s="741"/>
      <c r="BF150" s="741"/>
      <c r="BG150" s="742"/>
      <c r="BH150" s="741"/>
      <c r="BI150" s="741"/>
      <c r="BJ150" s="741"/>
      <c r="BK150" s="742"/>
      <c r="BL150" s="232"/>
      <c r="BM150" s="257"/>
      <c r="BN150" s="255"/>
      <c r="BO150" s="255"/>
      <c r="BP150" s="255"/>
      <c r="BQ150" s="255"/>
      <c r="BR150" s="255"/>
      <c r="BS150" s="255"/>
      <c r="BT150" s="741"/>
      <c r="BU150" s="741"/>
      <c r="BV150" s="255"/>
      <c r="BW150" s="255"/>
      <c r="BX150" s="255"/>
      <c r="BY150" s="741"/>
      <c r="BZ150" s="741"/>
      <c r="CA150" s="742"/>
      <c r="CB150" s="184"/>
      <c r="CC150" s="184"/>
      <c r="CD150" s="184"/>
    </row>
    <row r="151" spans="1:88" ht="14.25" hidden="1" customHeight="1" outlineLevel="1">
      <c r="A151" s="203"/>
      <c r="B151" s="254" t="s">
        <v>298</v>
      </c>
      <c r="C151" s="253"/>
      <c r="D151" s="247">
        <f t="shared" ref="D151:AI151" si="577">D34+D44+D54</f>
        <v>693.76</v>
      </c>
      <c r="E151" s="247">
        <f t="shared" si="577"/>
        <v>483.55400000000003</v>
      </c>
      <c r="F151" s="247">
        <f t="shared" si="577"/>
        <v>542.57300000000009</v>
      </c>
      <c r="G151" s="248">
        <f t="shared" si="577"/>
        <v>551.2940000000001</v>
      </c>
      <c r="H151" s="247">
        <f t="shared" si="577"/>
        <v>513.01199999999994</v>
      </c>
      <c r="I151" s="247">
        <f t="shared" si="577"/>
        <v>547.5859999999999</v>
      </c>
      <c r="J151" s="247">
        <f t="shared" si="577"/>
        <v>544.52800000000002</v>
      </c>
      <c r="K151" s="248">
        <f t="shared" si="577"/>
        <v>515.81099999999992</v>
      </c>
      <c r="L151" s="247">
        <f t="shared" si="577"/>
        <v>562.09799999999996</v>
      </c>
      <c r="M151" s="247">
        <f t="shared" si="577"/>
        <v>529.077</v>
      </c>
      <c r="N151" s="247">
        <f t="shared" si="577"/>
        <v>513.98200000000008</v>
      </c>
      <c r="O151" s="248">
        <f t="shared" si="577"/>
        <v>504.07699999999994</v>
      </c>
      <c r="P151" s="247">
        <f t="shared" si="577"/>
        <v>587.66799999999989</v>
      </c>
      <c r="Q151" s="247">
        <f t="shared" si="577"/>
        <v>448.80199999999996</v>
      </c>
      <c r="R151" s="247">
        <f t="shared" si="577"/>
        <v>402.05700000000002</v>
      </c>
      <c r="S151" s="247">
        <f t="shared" si="577"/>
        <v>385.89400000000001</v>
      </c>
      <c r="T151" s="250">
        <f t="shared" si="577"/>
        <v>594.84099999999989</v>
      </c>
      <c r="U151" s="251">
        <f t="shared" si="577"/>
        <v>541.12699999999995</v>
      </c>
      <c r="V151" s="251">
        <f t="shared" si="577"/>
        <v>677.47699999999998</v>
      </c>
      <c r="W151" s="247">
        <f t="shared" si="577"/>
        <v>518.09900000000005</v>
      </c>
      <c r="X151" s="250">
        <f t="shared" si="577"/>
        <v>462</v>
      </c>
      <c r="Y151" s="251">
        <f t="shared" si="577"/>
        <v>512</v>
      </c>
      <c r="Z151" s="251">
        <f t="shared" si="577"/>
        <v>497</v>
      </c>
      <c r="AA151" s="252">
        <f t="shared" si="577"/>
        <v>491</v>
      </c>
      <c r="AB151" s="250">
        <f t="shared" si="577"/>
        <v>607</v>
      </c>
      <c r="AC151" s="251">
        <f t="shared" si="577"/>
        <v>602</v>
      </c>
      <c r="AD151" s="251">
        <f t="shared" si="577"/>
        <v>608</v>
      </c>
      <c r="AE151" s="252">
        <f t="shared" si="577"/>
        <v>1085</v>
      </c>
      <c r="AF151" s="250">
        <f t="shared" si="577"/>
        <v>543</v>
      </c>
      <c r="AG151" s="247">
        <f t="shared" si="577"/>
        <v>876</v>
      </c>
      <c r="AH151" s="251">
        <f t="shared" si="577"/>
        <v>556</v>
      </c>
      <c r="AI151" s="248">
        <f t="shared" si="577"/>
        <v>584</v>
      </c>
      <c r="AJ151" s="250">
        <f t="shared" ref="AJ151:BC151" si="578">AJ34+AJ44+AJ54</f>
        <v>561</v>
      </c>
      <c r="AK151" s="247">
        <f t="shared" si="578"/>
        <v>614</v>
      </c>
      <c r="AL151" s="251">
        <f t="shared" si="578"/>
        <v>601</v>
      </c>
      <c r="AM151" s="252">
        <f t="shared" si="578"/>
        <v>547</v>
      </c>
      <c r="AN151" s="250">
        <f t="shared" si="578"/>
        <v>501</v>
      </c>
      <c r="AO151" s="247">
        <f t="shared" si="578"/>
        <v>600</v>
      </c>
      <c r="AP151" s="251">
        <f t="shared" si="578"/>
        <v>622</v>
      </c>
      <c r="AQ151" s="248">
        <f t="shared" si="578"/>
        <v>536</v>
      </c>
      <c r="AR151" s="250">
        <f t="shared" si="578"/>
        <v>562</v>
      </c>
      <c r="AS151" s="247">
        <f t="shared" si="578"/>
        <v>579</v>
      </c>
      <c r="AT151" s="251">
        <f t="shared" si="578"/>
        <v>596</v>
      </c>
      <c r="AU151" s="248">
        <f t="shared" si="578"/>
        <v>622</v>
      </c>
      <c r="AV151" s="250">
        <f t="shared" ref="AV151" si="579">AV34+AV44+AV54</f>
        <v>638</v>
      </c>
      <c r="AW151" s="247">
        <f t="shared" si="578"/>
        <v>660</v>
      </c>
      <c r="AX151" s="247">
        <f t="shared" si="578"/>
        <v>677</v>
      </c>
      <c r="AY151" s="248">
        <f t="shared" ref="AY151:AZ151" si="580">AY34+AY44+AY54</f>
        <v>689</v>
      </c>
      <c r="AZ151" s="250">
        <f t="shared" si="580"/>
        <v>724</v>
      </c>
      <c r="BA151" s="247">
        <f t="shared" si="578"/>
        <v>757.46475000000009</v>
      </c>
      <c r="BB151" s="247">
        <f t="shared" si="578"/>
        <v>774.73270087499998</v>
      </c>
      <c r="BC151" s="248">
        <f t="shared" si="578"/>
        <v>776.56415958374998</v>
      </c>
      <c r="BD151" s="739">
        <f t="shared" ref="BD151:BG151" si="581">BD34+BD44+BD54</f>
        <v>773.08</v>
      </c>
      <c r="BE151" s="739">
        <f t="shared" si="581"/>
        <v>787.41398875000004</v>
      </c>
      <c r="BF151" s="739">
        <f t="shared" si="581"/>
        <v>790.16468190124999</v>
      </c>
      <c r="BG151" s="248">
        <f t="shared" si="581"/>
        <v>792.0510843712625</v>
      </c>
      <c r="BH151" s="739">
        <f t="shared" ref="BH151:BK151" si="582">BH34+BH44+BH54</f>
        <v>778.59257830734771</v>
      </c>
      <c r="BI151" s="739">
        <f t="shared" si="582"/>
        <v>787.28603071036719</v>
      </c>
      <c r="BJ151" s="739">
        <f t="shared" si="582"/>
        <v>791.07271931328501</v>
      </c>
      <c r="BK151" s="248">
        <f t="shared" si="582"/>
        <v>792.76090259010778</v>
      </c>
      <c r="BL151" s="232"/>
      <c r="BM151" s="249">
        <f t="shared" ref="BM151:BY151" si="583">BM34+BM44+BM54</f>
        <v>2271.181</v>
      </c>
      <c r="BN151" s="247">
        <f t="shared" si="583"/>
        <v>2120.9369999999994</v>
      </c>
      <c r="BO151" s="247">
        <f t="shared" si="583"/>
        <v>2109.2339999999999</v>
      </c>
      <c r="BP151" s="247">
        <f t="shared" si="583"/>
        <v>1824.4209999999998</v>
      </c>
      <c r="BQ151" s="247">
        <f t="shared" si="583"/>
        <v>2331.5440000000003</v>
      </c>
      <c r="BR151" s="247">
        <f t="shared" si="583"/>
        <v>1962</v>
      </c>
      <c r="BS151" s="247">
        <f t="shared" si="583"/>
        <v>2902</v>
      </c>
      <c r="BT151" s="739">
        <f t="shared" si="583"/>
        <v>2559</v>
      </c>
      <c r="BU151" s="739">
        <f t="shared" si="583"/>
        <v>2323</v>
      </c>
      <c r="BV151" s="247">
        <f t="shared" si="583"/>
        <v>2259</v>
      </c>
      <c r="BW151" s="247">
        <f t="shared" si="583"/>
        <v>2359</v>
      </c>
      <c r="BX151" s="247">
        <f t="shared" si="583"/>
        <v>2664</v>
      </c>
      <c r="BY151" s="739">
        <f t="shared" si="583"/>
        <v>3032.7616104587501</v>
      </c>
      <c r="BZ151" s="739">
        <f t="shared" ref="BZ151" si="584">BZ34+BZ44+BZ54</f>
        <v>3142.7097550225126</v>
      </c>
      <c r="CA151" s="248">
        <f t="shared" ref="CA151" si="585">CA34+CA44+CA54</f>
        <v>3149.7122309211077</v>
      </c>
      <c r="CB151" s="184"/>
      <c r="CC151" s="184"/>
      <c r="CD151" s="184"/>
    </row>
    <row r="152" spans="1:88" ht="14.25" hidden="1" customHeight="1" outlineLevel="1">
      <c r="A152" s="203"/>
      <c r="B152" s="246" t="s">
        <v>297</v>
      </c>
      <c r="C152" s="245"/>
      <c r="D152" s="239">
        <f t="shared" ref="D152:AI152" si="586">D15+D34+D44+D54</f>
        <v>1713.653</v>
      </c>
      <c r="E152" s="239">
        <f t="shared" si="586"/>
        <v>1686.615</v>
      </c>
      <c r="F152" s="239">
        <f t="shared" si="586"/>
        <v>1862.662</v>
      </c>
      <c r="G152" s="240">
        <f t="shared" si="586"/>
        <v>1883.4630000000002</v>
      </c>
      <c r="H152" s="239">
        <f t="shared" si="586"/>
        <v>1727.741</v>
      </c>
      <c r="I152" s="239">
        <f t="shared" si="586"/>
        <v>1940.537</v>
      </c>
      <c r="J152" s="239">
        <f t="shared" si="586"/>
        <v>1889.1220000000001</v>
      </c>
      <c r="K152" s="240">
        <f t="shared" si="586"/>
        <v>1805.9499999999998</v>
      </c>
      <c r="L152" s="239">
        <f t="shared" si="586"/>
        <v>1714.5140000000001</v>
      </c>
      <c r="M152" s="239">
        <f t="shared" si="586"/>
        <v>1712.2470000000001</v>
      </c>
      <c r="N152" s="239">
        <f t="shared" si="586"/>
        <v>1619.836</v>
      </c>
      <c r="O152" s="240">
        <f t="shared" si="586"/>
        <v>1749.049</v>
      </c>
      <c r="P152" s="239">
        <f t="shared" si="586"/>
        <v>1529.4880000000001</v>
      </c>
      <c r="Q152" s="239">
        <f t="shared" si="586"/>
        <v>1313.3600000000001</v>
      </c>
      <c r="R152" s="239">
        <f t="shared" si="586"/>
        <v>1210.9229999999998</v>
      </c>
      <c r="S152" s="239">
        <f t="shared" si="586"/>
        <v>1353.452</v>
      </c>
      <c r="T152" s="242">
        <f t="shared" si="586"/>
        <v>1732.559</v>
      </c>
      <c r="U152" s="243">
        <f t="shared" si="586"/>
        <v>1909.7750000000001</v>
      </c>
      <c r="V152" s="243">
        <f t="shared" si="586"/>
        <v>2335.1390000000001</v>
      </c>
      <c r="W152" s="239">
        <f t="shared" si="586"/>
        <v>2187.7359999999994</v>
      </c>
      <c r="X152" s="242">
        <f t="shared" si="586"/>
        <v>2012</v>
      </c>
      <c r="Y152" s="243">
        <f t="shared" si="586"/>
        <v>2185</v>
      </c>
      <c r="Z152" s="243">
        <f t="shared" si="586"/>
        <v>2100</v>
      </c>
      <c r="AA152" s="244">
        <f t="shared" si="586"/>
        <v>1821</v>
      </c>
      <c r="AB152" s="242">
        <f t="shared" si="586"/>
        <v>2010</v>
      </c>
      <c r="AC152" s="243">
        <f t="shared" si="586"/>
        <v>2132</v>
      </c>
      <c r="AD152" s="243">
        <f t="shared" si="586"/>
        <v>2021</v>
      </c>
      <c r="AE152" s="244">
        <f t="shared" si="586"/>
        <v>2145</v>
      </c>
      <c r="AF152" s="242">
        <f t="shared" si="586"/>
        <v>1534</v>
      </c>
      <c r="AG152" s="239">
        <f t="shared" si="586"/>
        <v>2041</v>
      </c>
      <c r="AH152" s="243">
        <f t="shared" si="586"/>
        <v>1725</v>
      </c>
      <c r="AI152" s="240">
        <f t="shared" si="586"/>
        <v>1777</v>
      </c>
      <c r="AJ152" s="242">
        <f t="shared" ref="AJ152:BC152" si="587">AJ15+AJ34+AJ44+AJ54</f>
        <v>1860</v>
      </c>
      <c r="AK152" s="239">
        <f t="shared" si="587"/>
        <v>1966</v>
      </c>
      <c r="AL152" s="243">
        <f t="shared" si="587"/>
        <v>1874</v>
      </c>
      <c r="AM152" s="244">
        <f t="shared" si="587"/>
        <v>1852</v>
      </c>
      <c r="AN152" s="242">
        <f t="shared" si="587"/>
        <v>1901</v>
      </c>
      <c r="AO152" s="239">
        <f t="shared" si="587"/>
        <v>2026</v>
      </c>
      <c r="AP152" s="243">
        <f t="shared" si="587"/>
        <v>2094</v>
      </c>
      <c r="AQ152" s="240">
        <f t="shared" si="587"/>
        <v>1945</v>
      </c>
      <c r="AR152" s="242">
        <f t="shared" si="587"/>
        <v>1903</v>
      </c>
      <c r="AS152" s="239">
        <f t="shared" si="587"/>
        <v>2025</v>
      </c>
      <c r="AT152" s="243">
        <f t="shared" si="587"/>
        <v>2225</v>
      </c>
      <c r="AU152" s="240">
        <f t="shared" si="587"/>
        <v>2520</v>
      </c>
      <c r="AV152" s="242">
        <f t="shared" ref="AV152" si="588">AV15+AV34+AV44+AV54</f>
        <v>2471</v>
      </c>
      <c r="AW152" s="239">
        <f t="shared" si="587"/>
        <v>2606</v>
      </c>
      <c r="AX152" s="239">
        <f t="shared" si="587"/>
        <v>2721</v>
      </c>
      <c r="AY152" s="240">
        <f t="shared" ref="AY152:AZ152" si="589">AY15+AY34+AY44+AY54</f>
        <v>2871</v>
      </c>
      <c r="AZ152" s="242">
        <f t="shared" si="589"/>
        <v>3008</v>
      </c>
      <c r="BA152" s="239">
        <f t="shared" si="587"/>
        <v>3180.4247442911515</v>
      </c>
      <c r="BB152" s="239">
        <f t="shared" si="587"/>
        <v>3134.1700724972643</v>
      </c>
      <c r="BC152" s="240">
        <f t="shared" si="587"/>
        <v>3151.1583137114858</v>
      </c>
      <c r="BD152" s="239">
        <f t="shared" ref="BD152:BG152" si="590">BD15+BD34+BD44+BD54</f>
        <v>3083.1776937683121</v>
      </c>
      <c r="BE152" s="239">
        <f t="shared" si="590"/>
        <v>3118.3022795548027</v>
      </c>
      <c r="BF152" s="239">
        <f t="shared" si="590"/>
        <v>3155.8192500909277</v>
      </c>
      <c r="BG152" s="240">
        <f t="shared" si="590"/>
        <v>3189.8878934966961</v>
      </c>
      <c r="BH152" s="239">
        <f t="shared" ref="BH152:BK152" si="591">BH15+BH34+BH44+BH54</f>
        <v>3158.4759178465247</v>
      </c>
      <c r="BI152" s="239">
        <f t="shared" si="591"/>
        <v>3188.0979147504959</v>
      </c>
      <c r="BJ152" s="239">
        <f t="shared" si="591"/>
        <v>3216.7003475023757</v>
      </c>
      <c r="BK152" s="240">
        <f t="shared" si="591"/>
        <v>3220.8773979482226</v>
      </c>
      <c r="BL152" s="232"/>
      <c r="BM152" s="241">
        <f t="shared" ref="BM152:BY152" si="592">BM15+BM34+BM44+BM54</f>
        <v>7146.393</v>
      </c>
      <c r="BN152" s="239">
        <f t="shared" si="592"/>
        <v>7363.3500000000013</v>
      </c>
      <c r="BO152" s="239">
        <f t="shared" si="592"/>
        <v>6795.6460000000006</v>
      </c>
      <c r="BP152" s="239">
        <f t="shared" si="592"/>
        <v>5407.223</v>
      </c>
      <c r="BQ152" s="239">
        <f t="shared" si="592"/>
        <v>8165.2089999999998</v>
      </c>
      <c r="BR152" s="239">
        <f t="shared" si="592"/>
        <v>8118</v>
      </c>
      <c r="BS152" s="239">
        <f t="shared" si="592"/>
        <v>8308</v>
      </c>
      <c r="BT152" s="239">
        <f t="shared" si="592"/>
        <v>7077</v>
      </c>
      <c r="BU152" s="239">
        <f t="shared" si="592"/>
        <v>7552</v>
      </c>
      <c r="BV152" s="239">
        <f t="shared" si="592"/>
        <v>7966</v>
      </c>
      <c r="BW152" s="239">
        <f t="shared" si="592"/>
        <v>8673</v>
      </c>
      <c r="BX152" s="239">
        <f t="shared" si="592"/>
        <v>10669</v>
      </c>
      <c r="BY152" s="239">
        <f t="shared" si="592"/>
        <v>12473.753130499903</v>
      </c>
      <c r="BZ152" s="239">
        <f t="shared" ref="BZ152" si="593">BZ15+BZ34+BZ44+BZ54</f>
        <v>12547.18711691074</v>
      </c>
      <c r="CA152" s="240">
        <f t="shared" ref="CA152" si="594">CA15+CA34+CA44+CA54</f>
        <v>12784.151578047618</v>
      </c>
      <c r="CB152" s="184"/>
      <c r="CC152" s="184"/>
      <c r="CD152" s="184"/>
    </row>
    <row r="153" spans="1:88" ht="14.25" customHeight="1" collapsed="1">
      <c r="A153" s="203"/>
      <c r="B153" s="229"/>
      <c r="C153" s="229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0"/>
      <c r="T153" s="234"/>
      <c r="U153" s="234"/>
      <c r="V153" s="234"/>
      <c r="W153" s="230"/>
      <c r="X153" s="234"/>
      <c r="Y153" s="234"/>
      <c r="Z153" s="234"/>
      <c r="AA153" s="234"/>
      <c r="AB153" s="234"/>
      <c r="AC153" s="234"/>
      <c r="AD153" s="234"/>
      <c r="AE153" s="234"/>
      <c r="AF153" s="234"/>
      <c r="AG153" s="229"/>
      <c r="AH153" s="229"/>
      <c r="AI153" s="229"/>
      <c r="AJ153" s="229"/>
      <c r="AK153" s="229"/>
      <c r="AL153" s="229"/>
      <c r="AM153" s="234"/>
      <c r="AN153" s="229"/>
      <c r="AO153" s="229"/>
      <c r="AP153" s="229"/>
      <c r="AQ153" s="204"/>
      <c r="AR153" s="229"/>
      <c r="AS153" s="229"/>
      <c r="AT153" s="229"/>
      <c r="AU153" s="204"/>
      <c r="AV153" s="229"/>
      <c r="AW153" s="229"/>
      <c r="AX153" s="204"/>
      <c r="AY153" s="229"/>
      <c r="AZ153" s="204"/>
      <c r="BA153" s="204"/>
      <c r="BB153" s="204"/>
      <c r="BC153" s="229"/>
      <c r="BD153" s="734"/>
      <c r="BE153" s="734"/>
      <c r="BF153" s="734"/>
      <c r="BG153" s="229"/>
      <c r="BH153" s="734"/>
      <c r="BI153" s="734"/>
      <c r="BJ153" s="734"/>
      <c r="BK153" s="229"/>
      <c r="BL153" s="204"/>
      <c r="BM153" s="229"/>
      <c r="BN153" s="229"/>
      <c r="BO153" s="229"/>
      <c r="BP153" s="230"/>
      <c r="BQ153" s="229"/>
      <c r="BR153" s="229"/>
      <c r="BS153" s="229"/>
      <c r="BT153" s="229"/>
      <c r="BU153" s="204"/>
      <c r="BV153" s="204"/>
      <c r="BW153" s="229"/>
      <c r="BX153" s="229"/>
      <c r="BY153" s="229"/>
      <c r="BZ153" s="229"/>
      <c r="CA153" s="229"/>
    </row>
    <row r="154" spans="1:88" s="184" customFormat="1" ht="14.25" customHeight="1">
      <c r="A154" s="204"/>
      <c r="B154" s="204"/>
      <c r="C154" s="204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10"/>
      <c r="U154" s="210"/>
      <c r="V154" s="210"/>
      <c r="W154" s="209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04"/>
      <c r="AH154" s="204"/>
      <c r="AI154" s="204"/>
      <c r="AJ154" s="204"/>
      <c r="AK154" s="204"/>
      <c r="AL154" s="204"/>
      <c r="AM154" s="210"/>
      <c r="AN154" s="204"/>
      <c r="AO154" s="204"/>
      <c r="AP154" s="204"/>
      <c r="AQ154" s="204"/>
      <c r="AR154" s="204"/>
      <c r="AS154" s="204"/>
      <c r="AT154" s="204"/>
      <c r="AU154" s="204"/>
      <c r="AV154" s="204"/>
      <c r="AW154" s="204"/>
      <c r="AX154" s="204"/>
      <c r="AY154" s="204"/>
      <c r="AZ154" s="204"/>
      <c r="BA154" s="204"/>
      <c r="BB154" s="204"/>
      <c r="BC154" s="204"/>
      <c r="BD154" s="734"/>
      <c r="BE154" s="734"/>
      <c r="BF154" s="734"/>
      <c r="BG154" s="734"/>
      <c r="BH154" s="734"/>
      <c r="BI154" s="734"/>
      <c r="BJ154" s="734"/>
      <c r="BK154" s="734"/>
      <c r="BL154" s="204"/>
      <c r="BM154" s="204"/>
      <c r="BN154" s="204"/>
      <c r="BO154" s="204"/>
      <c r="BP154" s="209"/>
      <c r="BQ154" s="204"/>
      <c r="BR154" s="204"/>
      <c r="BS154" s="204"/>
      <c r="BT154" s="734"/>
      <c r="BU154" s="204"/>
      <c r="BV154" s="204"/>
      <c r="BW154" s="204"/>
      <c r="BX154" s="204"/>
      <c r="BY154" s="734"/>
      <c r="BZ154" s="204"/>
      <c r="CA154" s="734"/>
      <c r="CB154" s="182"/>
      <c r="CC154" s="182"/>
      <c r="CD154" s="182"/>
      <c r="CE154"/>
      <c r="CF154"/>
      <c r="CG154"/>
      <c r="CH154"/>
      <c r="CI154"/>
      <c r="CJ154"/>
    </row>
    <row r="155" spans="1:88" s="184" customFormat="1" ht="14.25" hidden="1" customHeight="1" outlineLevel="1">
      <c r="A155" s="204"/>
      <c r="B155" s="238" t="s">
        <v>243</v>
      </c>
      <c r="C155" s="228"/>
      <c r="D155" s="237"/>
      <c r="E155" s="230"/>
      <c r="F155" s="230"/>
      <c r="G155" s="236"/>
      <c r="H155" s="237"/>
      <c r="I155" s="230"/>
      <c r="J155" s="230"/>
      <c r="K155" s="236"/>
      <c r="L155" s="237"/>
      <c r="M155" s="230"/>
      <c r="N155" s="230"/>
      <c r="O155" s="236"/>
      <c r="P155" s="237"/>
      <c r="Q155" s="230"/>
      <c r="R155" s="230"/>
      <c r="S155" s="236"/>
      <c r="T155" s="237"/>
      <c r="U155" s="230"/>
      <c r="V155" s="230"/>
      <c r="W155" s="236"/>
      <c r="X155" s="235"/>
      <c r="Y155" s="234"/>
      <c r="Z155" s="234"/>
      <c r="AA155" s="230"/>
      <c r="AB155" s="235"/>
      <c r="AC155" s="234"/>
      <c r="AD155" s="234"/>
      <c r="AE155" s="233"/>
      <c r="AF155" s="235"/>
      <c r="AG155" s="234"/>
      <c r="AH155" s="234"/>
      <c r="AI155" s="233"/>
      <c r="AJ155" s="235"/>
      <c r="AK155" s="234"/>
      <c r="AL155" s="234"/>
      <c r="AM155" s="233"/>
      <c r="AN155" s="235"/>
      <c r="AO155" s="234"/>
      <c r="AP155" s="234"/>
      <c r="AQ155" s="234"/>
      <c r="AR155" s="235"/>
      <c r="AS155" s="234"/>
      <c r="AT155" s="234"/>
      <c r="AU155" s="234"/>
      <c r="AV155" s="235"/>
      <c r="AW155" s="234"/>
      <c r="AX155" s="234"/>
      <c r="AY155" s="233"/>
      <c r="AZ155" s="235"/>
      <c r="BA155" s="234"/>
      <c r="BB155" s="234"/>
      <c r="BC155" s="233"/>
      <c r="BD155" s="235"/>
      <c r="BE155" s="234"/>
      <c r="BF155" s="234"/>
      <c r="BG155" s="233"/>
      <c r="BH155" s="235"/>
      <c r="BI155" s="234"/>
      <c r="BJ155" s="234"/>
      <c r="BK155" s="233"/>
      <c r="BL155" s="232"/>
      <c r="BM155" s="229"/>
      <c r="BN155" s="229"/>
      <c r="BO155" s="229"/>
      <c r="BP155" s="230"/>
      <c r="BQ155" s="229"/>
      <c r="BR155" s="229"/>
      <c r="BS155" s="229"/>
      <c r="BT155" s="229"/>
      <c r="BU155" s="229"/>
      <c r="BV155" s="229"/>
      <c r="BW155" s="229"/>
      <c r="BX155" s="229"/>
      <c r="BY155" s="229"/>
      <c r="BZ155" s="229"/>
      <c r="CA155" s="228"/>
      <c r="CE155"/>
      <c r="CF155"/>
      <c r="CG155"/>
      <c r="CH155"/>
      <c r="CI155"/>
      <c r="CJ155"/>
    </row>
    <row r="156" spans="1:88" ht="14.25" hidden="1" customHeight="1" outlineLevel="1">
      <c r="A156" s="203"/>
      <c r="B156" s="227" t="s">
        <v>243</v>
      </c>
      <c r="C156" s="216"/>
      <c r="D156" s="224"/>
      <c r="E156" s="225"/>
      <c r="F156" s="225"/>
      <c r="G156" s="226"/>
      <c r="H156" s="224"/>
      <c r="I156" s="225"/>
      <c r="J156" s="225"/>
      <c r="K156" s="226"/>
      <c r="L156" s="224">
        <f>'BU-Segment'!L71</f>
        <v>0</v>
      </c>
      <c r="M156" s="225">
        <f>'BU-Segment'!M71</f>
        <v>0</v>
      </c>
      <c r="N156" s="225">
        <f>'BU-Segment'!N71</f>
        <v>0</v>
      </c>
      <c r="O156" s="226">
        <f>'BU-Segment'!O71</f>
        <v>0</v>
      </c>
      <c r="P156" s="224">
        <f>'BU-Segment'!P71</f>
        <v>0</v>
      </c>
      <c r="Q156" s="225">
        <f>'BU-Segment'!Q71</f>
        <v>0</v>
      </c>
      <c r="R156" s="225">
        <f>'BU-Segment'!R71</f>
        <v>0</v>
      </c>
      <c r="S156" s="226">
        <f>'BU-Segment'!S71</f>
        <v>0</v>
      </c>
      <c r="T156" s="224">
        <f>'BU-Segment'!T71</f>
        <v>0</v>
      </c>
      <c r="U156" s="225">
        <f>'BU-Segment'!U71</f>
        <v>0</v>
      </c>
      <c r="V156" s="225">
        <f>'BU-Segment'!V71</f>
        <v>0</v>
      </c>
      <c r="W156" s="226">
        <f>'BU-Segment'!W71</f>
        <v>0</v>
      </c>
      <c r="X156" s="224">
        <f>'BU-Segment'!X71</f>
        <v>0</v>
      </c>
      <c r="Y156" s="225">
        <f>'BU-Segment'!Y71</f>
        <v>0</v>
      </c>
      <c r="Z156" s="225">
        <f>'BU-Segment'!Z71</f>
        <v>0</v>
      </c>
      <c r="AA156" s="220">
        <f>'BU-Segment'!AA71</f>
        <v>0</v>
      </c>
      <c r="AB156" s="224">
        <f>'BU-Segment'!AB71</f>
        <v>0</v>
      </c>
      <c r="AC156" s="223">
        <f>'BU-Segment'!AC71</f>
        <v>0</v>
      </c>
      <c r="AD156" s="223">
        <f>'BU-Segment'!AD71</f>
        <v>0</v>
      </c>
      <c r="AE156" s="221">
        <f>'BU-Segment'!AE71</f>
        <v>0</v>
      </c>
      <c r="AF156" s="224">
        <f>'BU-Segment'!AF71</f>
        <v>0</v>
      </c>
      <c r="AG156" s="223">
        <f>'BU-Segment'!AG71</f>
        <v>0</v>
      </c>
      <c r="AH156" s="223">
        <f>'BU-Segment'!AH71</f>
        <v>0</v>
      </c>
      <c r="AI156" s="221">
        <f>'BU-Segment'!AI71</f>
        <v>0</v>
      </c>
      <c r="AJ156" s="222">
        <f>'BU-Segment'!AJ71</f>
        <v>0</v>
      </c>
      <c r="AK156" s="223">
        <f>'BU-Segment'!AK71</f>
        <v>0</v>
      </c>
      <c r="AL156" s="223">
        <f>'BU-Segment'!AL71</f>
        <v>0</v>
      </c>
      <c r="AM156" s="221">
        <f>'BU-Segment'!AM71</f>
        <v>0</v>
      </c>
      <c r="AN156" s="222">
        <f>'BU-Segment'!AN71</f>
        <v>2273</v>
      </c>
      <c r="AO156" s="223">
        <f>'BU-Segment'!AO71</f>
        <v>2515</v>
      </c>
      <c r="AP156" s="223">
        <f>'BU-Segment'!AP71</f>
        <v>2892</v>
      </c>
      <c r="AQ156" s="223">
        <f>'BU-Segment'!AQ71</f>
        <v>2424</v>
      </c>
      <c r="AR156" s="222">
        <f>'BU-Segment'!AR71</f>
        <v>2275</v>
      </c>
      <c r="AS156" s="223">
        <f>'BU-Segment'!AS71</f>
        <v>3451</v>
      </c>
      <c r="AT156" s="223">
        <f>'BU-Segment'!AT71</f>
        <v>3658</v>
      </c>
      <c r="AU156" s="223">
        <f>'BU-Segment'!AU71</f>
        <v>3032</v>
      </c>
      <c r="AV156" s="222">
        <f>'BU-Segment'!AV71</f>
        <v>4236</v>
      </c>
      <c r="AW156" s="223"/>
      <c r="AX156" s="223"/>
      <c r="AY156" s="223"/>
      <c r="AZ156" s="222"/>
      <c r="BA156" s="223"/>
      <c r="BB156" s="223"/>
      <c r="BC156" s="223"/>
      <c r="BD156" s="222"/>
      <c r="BE156" s="223"/>
      <c r="BF156" s="223"/>
      <c r="BG156" s="223"/>
      <c r="BH156" s="222"/>
      <c r="BI156" s="223"/>
      <c r="BJ156" s="223"/>
      <c r="BK156" s="223"/>
      <c r="BL156" s="217"/>
      <c r="BM156" s="223"/>
      <c r="BN156" s="223"/>
      <c r="BO156" s="223">
        <f>SUM(L156:O156)</f>
        <v>0</v>
      </c>
      <c r="BP156" s="223">
        <f>SUM(P156:S156)</f>
        <v>0</v>
      </c>
      <c r="BQ156" s="223">
        <f>SUM(T156:W156)</f>
        <v>0</v>
      </c>
      <c r="BR156" s="223">
        <f>SUM(X156:AA156)</f>
        <v>0</v>
      </c>
      <c r="BS156" s="223">
        <f>SUM(AB156:AE156)</f>
        <v>0</v>
      </c>
      <c r="BT156" s="223">
        <f>SUM(AF156:AI156)</f>
        <v>0</v>
      </c>
      <c r="BU156" s="223"/>
      <c r="BV156" s="223"/>
      <c r="BW156" s="223"/>
      <c r="BX156" s="223"/>
      <c r="BY156" s="223"/>
      <c r="BZ156" s="223"/>
      <c r="CA156" s="221"/>
      <c r="CB156" s="184"/>
      <c r="CC156" s="184"/>
      <c r="CD156" s="184"/>
    </row>
    <row r="157" spans="1:88" s="211" customFormat="1" ht="14.25" hidden="1" customHeight="1" outlineLevel="1">
      <c r="A157" s="203"/>
      <c r="B157" s="219" t="s">
        <v>296</v>
      </c>
      <c r="C157" s="218"/>
      <c r="D157" s="213"/>
      <c r="E157" s="214"/>
      <c r="F157" s="214"/>
      <c r="G157" s="212"/>
      <c r="H157" s="213"/>
      <c r="I157" s="214"/>
      <c r="J157" s="214"/>
      <c r="K157" s="212"/>
      <c r="L157" s="213"/>
      <c r="M157" s="214" t="e">
        <f t="shared" ref="M157:AV157" si="595">M156/L156-1</f>
        <v>#DIV/0!</v>
      </c>
      <c r="N157" s="214" t="e">
        <f t="shared" si="595"/>
        <v>#DIV/0!</v>
      </c>
      <c r="O157" s="212" t="e">
        <f t="shared" si="595"/>
        <v>#DIV/0!</v>
      </c>
      <c r="P157" s="213" t="e">
        <f t="shared" si="595"/>
        <v>#DIV/0!</v>
      </c>
      <c r="Q157" s="214" t="e">
        <f t="shared" si="595"/>
        <v>#DIV/0!</v>
      </c>
      <c r="R157" s="214" t="e">
        <f t="shared" si="595"/>
        <v>#DIV/0!</v>
      </c>
      <c r="S157" s="212" t="e">
        <f t="shared" si="595"/>
        <v>#DIV/0!</v>
      </c>
      <c r="T157" s="213" t="e">
        <f t="shared" si="595"/>
        <v>#DIV/0!</v>
      </c>
      <c r="U157" s="214" t="e">
        <f t="shared" si="595"/>
        <v>#DIV/0!</v>
      </c>
      <c r="V157" s="214" t="e">
        <f t="shared" si="595"/>
        <v>#DIV/0!</v>
      </c>
      <c r="W157" s="212" t="e">
        <f t="shared" si="595"/>
        <v>#DIV/0!</v>
      </c>
      <c r="X157" s="213" t="e">
        <f t="shared" si="595"/>
        <v>#DIV/0!</v>
      </c>
      <c r="Y157" s="214" t="e">
        <f t="shared" si="595"/>
        <v>#DIV/0!</v>
      </c>
      <c r="Z157" s="214" t="e">
        <f t="shared" si="595"/>
        <v>#DIV/0!</v>
      </c>
      <c r="AA157" s="212" t="e">
        <f t="shared" si="595"/>
        <v>#DIV/0!</v>
      </c>
      <c r="AB157" s="213" t="e">
        <f t="shared" si="595"/>
        <v>#DIV/0!</v>
      </c>
      <c r="AC157" s="214" t="e">
        <f t="shared" si="595"/>
        <v>#DIV/0!</v>
      </c>
      <c r="AD157" s="214" t="e">
        <f t="shared" si="595"/>
        <v>#DIV/0!</v>
      </c>
      <c r="AE157" s="212" t="e">
        <f t="shared" si="595"/>
        <v>#DIV/0!</v>
      </c>
      <c r="AF157" s="213" t="e">
        <f t="shared" si="595"/>
        <v>#DIV/0!</v>
      </c>
      <c r="AG157" s="214" t="e">
        <f t="shared" si="595"/>
        <v>#DIV/0!</v>
      </c>
      <c r="AH157" s="214" t="e">
        <f t="shared" si="595"/>
        <v>#DIV/0!</v>
      </c>
      <c r="AI157" s="212" t="e">
        <f t="shared" si="595"/>
        <v>#DIV/0!</v>
      </c>
      <c r="AJ157" s="213" t="e">
        <f t="shared" si="595"/>
        <v>#DIV/0!</v>
      </c>
      <c r="AK157" s="214" t="e">
        <f t="shared" si="595"/>
        <v>#DIV/0!</v>
      </c>
      <c r="AL157" s="214" t="e">
        <f t="shared" si="595"/>
        <v>#DIV/0!</v>
      </c>
      <c r="AM157" s="212" t="e">
        <f t="shared" si="595"/>
        <v>#DIV/0!</v>
      </c>
      <c r="AN157" s="213" t="e">
        <f t="shared" si="595"/>
        <v>#DIV/0!</v>
      </c>
      <c r="AO157" s="214">
        <f t="shared" si="595"/>
        <v>0.10646722393312813</v>
      </c>
      <c r="AP157" s="214">
        <f t="shared" si="595"/>
        <v>0.14990059642147124</v>
      </c>
      <c r="AQ157" s="214">
        <f t="shared" si="595"/>
        <v>-0.16182572614107882</v>
      </c>
      <c r="AR157" s="213">
        <f t="shared" si="595"/>
        <v>-6.1468646864686449E-2</v>
      </c>
      <c r="AS157" s="214">
        <f t="shared" si="595"/>
        <v>0.51692307692307682</v>
      </c>
      <c r="AT157" s="214">
        <f t="shared" si="595"/>
        <v>5.9982613735149126E-2</v>
      </c>
      <c r="AU157" s="214">
        <f t="shared" si="595"/>
        <v>-0.17113176599234559</v>
      </c>
      <c r="AV157" s="213">
        <f t="shared" si="595"/>
        <v>0.3970976253298153</v>
      </c>
      <c r="AW157" s="214"/>
      <c r="AX157" s="214"/>
      <c r="AY157" s="212"/>
      <c r="AZ157" s="213"/>
      <c r="BA157" s="214"/>
      <c r="BB157" s="214"/>
      <c r="BC157" s="212"/>
      <c r="BD157" s="213"/>
      <c r="BE157" s="214"/>
      <c r="BF157" s="214"/>
      <c r="BG157" s="212"/>
      <c r="BH157" s="213"/>
      <c r="BI157" s="214"/>
      <c r="BJ157" s="214"/>
      <c r="BK157" s="212"/>
      <c r="BL157" s="217"/>
      <c r="BM157" s="214"/>
      <c r="BN157" s="214"/>
      <c r="BO157" s="214"/>
      <c r="BP157" s="214" t="e">
        <f t="shared" ref="BP157:BT157" si="596">BP156/BO156-1</f>
        <v>#DIV/0!</v>
      </c>
      <c r="BQ157" s="214" t="e">
        <f t="shared" si="596"/>
        <v>#DIV/0!</v>
      </c>
      <c r="BR157" s="214" t="e">
        <f t="shared" si="596"/>
        <v>#DIV/0!</v>
      </c>
      <c r="BS157" s="214" t="e">
        <f t="shared" si="596"/>
        <v>#DIV/0!</v>
      </c>
      <c r="BT157" s="214" t="e">
        <f t="shared" si="596"/>
        <v>#DIV/0!</v>
      </c>
      <c r="BU157" s="214"/>
      <c r="BV157" s="214"/>
      <c r="BW157" s="214"/>
      <c r="BX157" s="214"/>
      <c r="BY157" s="214"/>
      <c r="BZ157" s="214"/>
      <c r="CA157" s="212"/>
      <c r="CB157" s="759"/>
      <c r="CC157" s="759"/>
      <c r="CD157" s="759"/>
      <c r="CE157"/>
      <c r="CF157"/>
      <c r="CG157"/>
      <c r="CH157"/>
      <c r="CI157"/>
      <c r="CJ157"/>
    </row>
    <row r="158" spans="1:88" s="184" customFormat="1" ht="14.25" customHeight="1" collapsed="1">
      <c r="A158" s="204"/>
      <c r="B158" s="204"/>
      <c r="C158" s="204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10"/>
      <c r="U158" s="210"/>
      <c r="V158" s="210"/>
      <c r="W158" s="209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04"/>
      <c r="AH158" s="204"/>
      <c r="AI158" s="204"/>
      <c r="AJ158" s="204"/>
      <c r="AK158" s="204"/>
      <c r="AL158" s="204"/>
      <c r="AM158" s="210"/>
      <c r="AN158" s="204"/>
      <c r="AO158" s="204"/>
      <c r="AP158" s="204"/>
      <c r="AQ158" s="204"/>
      <c r="AR158" s="204"/>
      <c r="AS158" s="204"/>
      <c r="AT158" s="204"/>
      <c r="AU158" s="204"/>
      <c r="AV158" s="204"/>
      <c r="AW158" s="204"/>
      <c r="AX158" s="204"/>
      <c r="AY158" s="204"/>
      <c r="AZ158" s="204"/>
      <c r="BA158" s="204"/>
      <c r="BB158" s="204"/>
      <c r="BC158" s="204"/>
      <c r="BD158" s="734"/>
      <c r="BE158" s="734"/>
      <c r="BF158" s="734"/>
      <c r="BG158" s="734"/>
      <c r="BH158" s="734"/>
      <c r="BI158" s="734"/>
      <c r="BJ158" s="734"/>
      <c r="BK158" s="734"/>
      <c r="BL158" s="204"/>
      <c r="BM158" s="204"/>
      <c r="BN158" s="204"/>
      <c r="BO158" s="204"/>
      <c r="BP158" s="209"/>
      <c r="BQ158" s="204"/>
      <c r="BR158" s="204"/>
      <c r="BS158" s="204"/>
      <c r="BT158" s="734"/>
      <c r="BU158" s="204"/>
      <c r="BV158" s="204"/>
      <c r="BW158" s="204"/>
      <c r="BX158" s="204"/>
      <c r="BY158" s="734"/>
      <c r="BZ158" s="204"/>
      <c r="CA158" s="734"/>
      <c r="CB158" s="182"/>
      <c r="CC158" s="182"/>
      <c r="CD158" s="182"/>
      <c r="CE158"/>
      <c r="CF158"/>
      <c r="CG158"/>
      <c r="CH158"/>
      <c r="CI158"/>
      <c r="CJ158"/>
    </row>
    <row r="159" spans="1:88" s="184" customFormat="1" ht="14.25" customHeight="1">
      <c r="A159" s="204"/>
      <c r="B159" s="204"/>
      <c r="C159" s="204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10"/>
      <c r="U159" s="210"/>
      <c r="V159" s="210"/>
      <c r="W159" s="209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04"/>
      <c r="AH159" s="204"/>
      <c r="AI159" s="204"/>
      <c r="AJ159" s="204"/>
      <c r="AK159" s="204"/>
      <c r="AL159" s="204"/>
      <c r="AM159" s="210"/>
      <c r="AN159" s="204"/>
      <c r="AO159" s="204"/>
      <c r="AP159" s="204"/>
      <c r="AQ159" s="204"/>
      <c r="AR159" s="204"/>
      <c r="AS159" s="204"/>
      <c r="AT159" s="204"/>
      <c r="AU159" s="204"/>
      <c r="AV159" s="204"/>
      <c r="AW159" s="204"/>
      <c r="AX159" s="204"/>
      <c r="AY159" s="204"/>
      <c r="AZ159" s="204"/>
      <c r="BA159" s="204"/>
      <c r="BB159" s="204"/>
      <c r="BC159" s="204"/>
      <c r="BD159" s="734"/>
      <c r="BE159" s="734"/>
      <c r="BF159" s="734"/>
      <c r="BG159" s="734"/>
      <c r="BH159" s="734"/>
      <c r="BI159" s="734"/>
      <c r="BJ159" s="734"/>
      <c r="BK159" s="734"/>
      <c r="BL159" s="204"/>
      <c r="BM159" s="204"/>
      <c r="BN159" s="204"/>
      <c r="BO159" s="204"/>
      <c r="BP159" s="209"/>
      <c r="BQ159" s="204"/>
      <c r="BR159" s="204"/>
      <c r="BS159" s="204"/>
      <c r="BT159" s="734"/>
      <c r="BU159" s="204"/>
      <c r="BV159" s="204"/>
      <c r="BW159" s="204"/>
      <c r="BX159" s="204"/>
      <c r="BY159" s="734"/>
      <c r="BZ159" s="204"/>
      <c r="CA159" s="734"/>
      <c r="CB159" s="182"/>
      <c r="CC159" s="182"/>
      <c r="CD159" s="182"/>
      <c r="CE159"/>
      <c r="CF159"/>
      <c r="CG159"/>
      <c r="CH159"/>
      <c r="CI159"/>
      <c r="CJ159"/>
    </row>
    <row r="160" spans="1:88" s="184" customFormat="1" ht="14.25" hidden="1" customHeight="1" outlineLevel="1">
      <c r="A160" s="204"/>
      <c r="B160" s="204"/>
      <c r="C160" s="204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10"/>
      <c r="U160" s="210"/>
      <c r="V160" s="210"/>
      <c r="W160" s="209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04"/>
      <c r="AH160" s="204"/>
      <c r="AI160" s="204"/>
      <c r="AJ160" s="204"/>
      <c r="AK160" s="204"/>
      <c r="AL160" s="204"/>
      <c r="AM160" s="210"/>
      <c r="AN160" s="204"/>
      <c r="AO160" s="204"/>
      <c r="AP160" s="204"/>
      <c r="AQ160" s="204"/>
      <c r="AR160" s="204"/>
      <c r="AS160" s="204"/>
      <c r="AT160" s="204"/>
      <c r="AU160" s="204"/>
      <c r="AV160" s="204"/>
      <c r="AW160" s="204"/>
      <c r="AX160" s="204"/>
      <c r="AY160" s="204"/>
      <c r="AZ160" s="204"/>
      <c r="BA160" s="204"/>
      <c r="BB160" s="204"/>
      <c r="BC160" s="204"/>
      <c r="BD160" s="734"/>
      <c r="BE160" s="734"/>
      <c r="BF160" s="734"/>
      <c r="BG160" s="734"/>
      <c r="BH160" s="734"/>
      <c r="BI160" s="734"/>
      <c r="BJ160" s="734"/>
      <c r="BK160" s="734"/>
      <c r="BL160" s="204"/>
      <c r="BM160" s="204"/>
      <c r="BN160" s="204"/>
      <c r="BO160" s="204"/>
      <c r="BP160" s="209"/>
      <c r="BQ160" s="204"/>
      <c r="BR160" s="204"/>
      <c r="BS160" s="204"/>
      <c r="BT160" s="734"/>
      <c r="BU160" s="204"/>
      <c r="BV160" s="204"/>
      <c r="BW160" s="204"/>
      <c r="BX160" s="204"/>
      <c r="BY160" s="734"/>
      <c r="BZ160" s="204"/>
      <c r="CA160" s="734"/>
      <c r="CB160" s="182"/>
      <c r="CC160" s="182"/>
      <c r="CD160" s="182"/>
      <c r="CE160"/>
      <c r="CF160"/>
      <c r="CG160"/>
      <c r="CH160"/>
      <c r="CI160"/>
      <c r="CJ160"/>
    </row>
    <row r="161" spans="1:88" s="184" customFormat="1" ht="14.25" hidden="1" customHeight="1" outlineLevel="2">
      <c r="A161" s="204"/>
      <c r="B161" s="204"/>
      <c r="C161" s="204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04"/>
      <c r="AG161" s="204"/>
      <c r="AH161" s="204"/>
      <c r="AI161" s="204"/>
      <c r="AJ161" s="204"/>
      <c r="AK161" s="204"/>
      <c r="AL161" s="204"/>
      <c r="AM161" s="210"/>
      <c r="AN161" s="204"/>
      <c r="AO161" s="204"/>
      <c r="AP161" s="204"/>
      <c r="AQ161" s="204"/>
      <c r="AR161" s="204"/>
      <c r="AS161" s="204"/>
      <c r="AT161" s="204"/>
      <c r="AU161" s="204"/>
      <c r="AV161" s="204"/>
      <c r="AW161" s="204"/>
      <c r="AX161" s="204"/>
      <c r="AY161" s="204"/>
      <c r="AZ161" s="204"/>
      <c r="BA161" s="204"/>
      <c r="BB161" s="204"/>
      <c r="BC161" s="204"/>
      <c r="BD161" s="734"/>
      <c r="BE161" s="734"/>
      <c r="BF161" s="734"/>
      <c r="BG161" s="734"/>
      <c r="BH161" s="734"/>
      <c r="BI161" s="734"/>
      <c r="BJ161" s="734"/>
      <c r="BK161" s="734"/>
      <c r="BL161" s="204"/>
      <c r="BM161" s="204"/>
      <c r="BN161" s="204"/>
      <c r="BO161" s="204"/>
      <c r="BP161" s="209"/>
      <c r="BQ161" s="204"/>
      <c r="BR161" s="204"/>
      <c r="BS161" s="204"/>
      <c r="BT161" s="734"/>
      <c r="BU161" s="204"/>
      <c r="BV161" s="204"/>
      <c r="BW161" s="204"/>
      <c r="BX161" s="204"/>
      <c r="BY161" s="734"/>
      <c r="BZ161" s="204"/>
      <c r="CA161" s="734"/>
      <c r="CB161" s="182"/>
      <c r="CC161" s="182"/>
      <c r="CD161" s="182"/>
      <c r="CE161"/>
      <c r="CF161"/>
      <c r="CG161"/>
      <c r="CH161"/>
      <c r="CI161"/>
      <c r="CJ161"/>
    </row>
    <row r="162" spans="1:88" s="184" customFormat="1" ht="14.25" hidden="1" customHeight="1" outlineLevel="2">
      <c r="A162" s="204"/>
      <c r="B162" s="204"/>
      <c r="C162" s="204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04"/>
      <c r="AG162" s="204"/>
      <c r="AH162" s="204"/>
      <c r="AI162" s="204"/>
      <c r="AJ162" s="204"/>
      <c r="AK162" s="204"/>
      <c r="AL162" s="204"/>
      <c r="AM162" s="210"/>
      <c r="AN162" s="204"/>
      <c r="AO162" s="204"/>
      <c r="AP162" s="204"/>
      <c r="AQ162" s="204"/>
      <c r="AR162" s="204"/>
      <c r="AS162" s="204"/>
      <c r="AT162" s="204"/>
      <c r="AU162" s="204"/>
      <c r="AV162" s="204"/>
      <c r="AW162" s="204"/>
      <c r="AX162" s="204"/>
      <c r="AY162" s="204"/>
      <c r="AZ162" s="204"/>
      <c r="BA162" s="204"/>
      <c r="BB162" s="204"/>
      <c r="BC162" s="204"/>
      <c r="BD162" s="734"/>
      <c r="BE162" s="734"/>
      <c r="BF162" s="734"/>
      <c r="BG162" s="734"/>
      <c r="BH162" s="734"/>
      <c r="BI162" s="734"/>
      <c r="BJ162" s="734"/>
      <c r="BK162" s="734"/>
      <c r="BL162" s="204"/>
      <c r="BM162" s="204"/>
      <c r="BN162" s="204"/>
      <c r="BO162" s="204"/>
      <c r="BP162" s="209"/>
      <c r="BQ162" s="204"/>
      <c r="BR162" s="204"/>
      <c r="BS162" s="204"/>
      <c r="BT162" s="734"/>
      <c r="BU162" s="204"/>
      <c r="BV162" s="204"/>
      <c r="BW162" s="204"/>
      <c r="BX162" s="204"/>
      <c r="BY162" s="734"/>
      <c r="BZ162" s="204"/>
      <c r="CA162" s="734"/>
      <c r="CB162" s="182"/>
      <c r="CC162" s="182"/>
      <c r="CD162" s="182"/>
      <c r="CE162"/>
      <c r="CF162"/>
      <c r="CG162"/>
      <c r="CH162"/>
      <c r="CI162"/>
      <c r="CJ162"/>
    </row>
    <row r="163" spans="1:88" ht="14.25" hidden="1" customHeight="1" outlineLevel="2">
      <c r="A163" s="203"/>
      <c r="B163" s="208"/>
      <c r="C163" s="203"/>
      <c r="D163" s="203"/>
      <c r="E163" s="203"/>
      <c r="F163" s="203"/>
      <c r="G163" s="203"/>
      <c r="H163" s="203"/>
      <c r="I163" s="203"/>
      <c r="J163" s="203"/>
      <c r="K163" s="203"/>
      <c r="L163" s="203"/>
      <c r="M163" s="203"/>
      <c r="N163" s="203"/>
      <c r="O163" s="203"/>
      <c r="P163" s="203"/>
      <c r="Q163" s="203"/>
      <c r="R163" s="203"/>
      <c r="S163" s="203"/>
      <c r="T163" s="203"/>
      <c r="U163" s="203"/>
      <c r="V163" s="203"/>
      <c r="W163" s="203"/>
      <c r="X163" s="203"/>
      <c r="Y163" s="203"/>
      <c r="Z163" s="206"/>
      <c r="AA163" s="206"/>
      <c r="AB163" s="206"/>
      <c r="AC163" s="206"/>
      <c r="AD163" s="206"/>
      <c r="AE163" s="206"/>
      <c r="AF163" s="203"/>
      <c r="AG163" s="203"/>
      <c r="AH163" s="203"/>
      <c r="AI163" s="203"/>
      <c r="AJ163" s="203"/>
      <c r="AK163" s="203"/>
      <c r="AL163" s="203"/>
      <c r="AM163" s="206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733"/>
      <c r="BE163" s="733"/>
      <c r="BF163" s="733"/>
      <c r="BG163" s="733"/>
      <c r="BH163" s="733"/>
      <c r="BI163" s="733"/>
      <c r="BJ163" s="733"/>
      <c r="BK163" s="733"/>
      <c r="BL163" s="204"/>
      <c r="BM163" s="203"/>
      <c r="BN163" s="203"/>
      <c r="BO163" s="203"/>
      <c r="BP163" s="203"/>
      <c r="BQ163" s="203"/>
      <c r="BR163" s="203"/>
      <c r="BS163" s="203"/>
      <c r="BT163" s="733"/>
      <c r="BU163" s="203"/>
      <c r="BV163" s="203"/>
      <c r="BW163" s="203"/>
      <c r="BX163" s="203"/>
      <c r="BY163" s="733"/>
      <c r="BZ163" s="203"/>
      <c r="CA163" s="733"/>
    </row>
    <row r="164" spans="1:88" customFormat="1" ht="14.25" hidden="1" customHeight="1" outlineLevel="2"/>
    <row r="165" spans="1:88" ht="14.25" hidden="1" customHeight="1" outlineLevel="2">
      <c r="A165" s="203"/>
      <c r="B165" s="205" t="s">
        <v>295</v>
      </c>
      <c r="C165" s="205"/>
      <c r="D165" s="207" t="e">
        <f t="shared" ref="D165:AL165" si="597">VLOOKUP(D164,ValidDateTable,4,FALSE)</f>
        <v>#NAME?</v>
      </c>
      <c r="E165" s="207" t="e">
        <f t="shared" si="597"/>
        <v>#NAME?</v>
      </c>
      <c r="F165" s="207" t="e">
        <f t="shared" si="597"/>
        <v>#NAME?</v>
      </c>
      <c r="G165" s="207" t="e">
        <f t="shared" si="597"/>
        <v>#NAME?</v>
      </c>
      <c r="H165" s="207" t="e">
        <f t="shared" si="597"/>
        <v>#NAME?</v>
      </c>
      <c r="I165" s="207" t="e">
        <f t="shared" si="597"/>
        <v>#NAME?</v>
      </c>
      <c r="J165" s="207" t="e">
        <f t="shared" si="597"/>
        <v>#NAME?</v>
      </c>
      <c r="K165" s="207" t="e">
        <f t="shared" si="597"/>
        <v>#NAME?</v>
      </c>
      <c r="L165" s="207" t="e">
        <f t="shared" si="597"/>
        <v>#NAME?</v>
      </c>
      <c r="M165" s="207" t="e">
        <f t="shared" si="597"/>
        <v>#NAME?</v>
      </c>
      <c r="N165" s="207" t="e">
        <f t="shared" si="597"/>
        <v>#NAME?</v>
      </c>
      <c r="O165" s="207" t="e">
        <f t="shared" si="597"/>
        <v>#NAME?</v>
      </c>
      <c r="P165" s="207" t="e">
        <f t="shared" si="597"/>
        <v>#NAME?</v>
      </c>
      <c r="Q165" s="207" t="e">
        <f t="shared" si="597"/>
        <v>#NAME?</v>
      </c>
      <c r="R165" s="207" t="e">
        <f t="shared" si="597"/>
        <v>#NAME?</v>
      </c>
      <c r="S165" s="207" t="e">
        <f t="shared" si="597"/>
        <v>#NAME?</v>
      </c>
      <c r="T165" s="207" t="e">
        <f t="shared" si="597"/>
        <v>#NAME?</v>
      </c>
      <c r="U165" s="207" t="e">
        <f t="shared" si="597"/>
        <v>#NAME?</v>
      </c>
      <c r="V165" s="207" t="e">
        <f t="shared" si="597"/>
        <v>#NAME?</v>
      </c>
      <c r="W165" s="207" t="e">
        <f t="shared" si="597"/>
        <v>#NAME?</v>
      </c>
      <c r="X165" s="207" t="e">
        <f t="shared" si="597"/>
        <v>#NAME?</v>
      </c>
      <c r="Y165" s="207" t="e">
        <f t="shared" si="597"/>
        <v>#NAME?</v>
      </c>
      <c r="Z165" s="207" t="e">
        <f t="shared" si="597"/>
        <v>#NAME?</v>
      </c>
      <c r="AA165" s="207" t="e">
        <f t="shared" si="597"/>
        <v>#NAME?</v>
      </c>
      <c r="AB165" s="207" t="e">
        <f t="shared" si="597"/>
        <v>#NAME?</v>
      </c>
      <c r="AC165" s="207" t="e">
        <f t="shared" si="597"/>
        <v>#NAME?</v>
      </c>
      <c r="AD165" s="207" t="e">
        <f t="shared" si="597"/>
        <v>#NAME?</v>
      </c>
      <c r="AE165" s="207" t="e">
        <f t="shared" si="597"/>
        <v>#NAME?</v>
      </c>
      <c r="AF165" s="207" t="e">
        <f t="shared" si="597"/>
        <v>#NAME?</v>
      </c>
      <c r="AG165" s="207" t="e">
        <f t="shared" si="597"/>
        <v>#NAME?</v>
      </c>
      <c r="AH165" s="207" t="e">
        <f t="shared" si="597"/>
        <v>#NAME?</v>
      </c>
      <c r="AI165" s="207" t="e">
        <f t="shared" si="597"/>
        <v>#NAME?</v>
      </c>
      <c r="AJ165" s="207" t="e">
        <f t="shared" si="597"/>
        <v>#NAME?</v>
      </c>
      <c r="AK165" s="207" t="e">
        <f t="shared" si="597"/>
        <v>#NAME?</v>
      </c>
      <c r="AL165" s="207" t="e">
        <f t="shared" si="597"/>
        <v>#NAME?</v>
      </c>
      <c r="AM165" s="207" t="s">
        <v>124</v>
      </c>
      <c r="AN165" s="207" t="e">
        <f t="shared" ref="AN165:AY165" si="598">VLOOKUP(AN164,ValidDateTable,4,FALSE)</f>
        <v>#NAME?</v>
      </c>
      <c r="AO165" s="207" t="e">
        <f t="shared" si="598"/>
        <v>#NAME?</v>
      </c>
      <c r="AP165" s="207" t="e">
        <f t="shared" si="598"/>
        <v>#NAME?</v>
      </c>
      <c r="AQ165" s="207" t="e">
        <f t="shared" si="598"/>
        <v>#NAME?</v>
      </c>
      <c r="AR165" s="207" t="e">
        <f>VLOOKUP(AR164,ValidDateTable,4,FALSE)</f>
        <v>#NAME?</v>
      </c>
      <c r="AS165" s="207" t="s">
        <v>124</v>
      </c>
      <c r="AT165" s="207" t="s">
        <v>124</v>
      </c>
      <c r="AU165" s="207" t="e">
        <f>VLOOKUP(AU164,ValidDateTable,4,FALSE)</f>
        <v>#NAME?</v>
      </c>
      <c r="AV165" s="207" t="e">
        <f t="shared" si="598"/>
        <v>#NAME?</v>
      </c>
      <c r="AW165" s="207" t="e">
        <f t="shared" si="598"/>
        <v>#NAME?</v>
      </c>
      <c r="AX165" s="207" t="e">
        <f t="shared" si="598"/>
        <v>#NAME?</v>
      </c>
      <c r="AY165" s="207" t="e">
        <f t="shared" si="598"/>
        <v>#NAME?</v>
      </c>
      <c r="AZ165" s="207" t="e">
        <f t="shared" ref="AZ165:BG165" si="599">VLOOKUP(AZ164,ValidDateTable,4,FALSE)</f>
        <v>#NAME?</v>
      </c>
      <c r="BA165" s="207" t="e">
        <f t="shared" si="599"/>
        <v>#NAME?</v>
      </c>
      <c r="BB165" s="207" t="e">
        <f t="shared" si="599"/>
        <v>#NAME?</v>
      </c>
      <c r="BC165" s="207" t="e">
        <f t="shared" si="599"/>
        <v>#NAME?</v>
      </c>
      <c r="BD165" s="207" t="e">
        <f t="shared" si="599"/>
        <v>#NAME?</v>
      </c>
      <c r="BE165" s="207" t="e">
        <f t="shared" si="599"/>
        <v>#NAME?</v>
      </c>
      <c r="BF165" s="207" t="e">
        <f t="shared" si="599"/>
        <v>#NAME?</v>
      </c>
      <c r="BG165" s="207" t="e">
        <f t="shared" si="599"/>
        <v>#NAME?</v>
      </c>
      <c r="BH165" s="207" t="e">
        <f t="shared" ref="BH165:BK165" si="600">VLOOKUP(BH164,ValidDateTable,4,FALSE)</f>
        <v>#NAME?</v>
      </c>
      <c r="BI165" s="207" t="e">
        <f t="shared" si="600"/>
        <v>#NAME?</v>
      </c>
      <c r="BJ165" s="207" t="e">
        <f t="shared" si="600"/>
        <v>#NAME?</v>
      </c>
      <c r="BK165" s="207" t="e">
        <f t="shared" si="600"/>
        <v>#NAME?</v>
      </c>
      <c r="BL165" s="204"/>
      <c r="BM165" s="203" t="e">
        <f t="shared" ref="BM165:BZ165" si="601">VLOOKUP(BM164,ValidDateTable,4,FALSE)</f>
        <v>#NAME?</v>
      </c>
      <c r="BN165" s="203" t="e">
        <f t="shared" si="601"/>
        <v>#NAME?</v>
      </c>
      <c r="BO165" s="203" t="e">
        <f t="shared" si="601"/>
        <v>#NAME?</v>
      </c>
      <c r="BP165" s="203" t="e">
        <f t="shared" si="601"/>
        <v>#NAME?</v>
      </c>
      <c r="BQ165" s="203" t="e">
        <f t="shared" si="601"/>
        <v>#NAME?</v>
      </c>
      <c r="BR165" s="203" t="e">
        <f t="shared" si="601"/>
        <v>#NAME?</v>
      </c>
      <c r="BS165" s="203" t="e">
        <f t="shared" si="601"/>
        <v>#NAME?</v>
      </c>
      <c r="BT165" s="733" t="e">
        <f t="shared" si="601"/>
        <v>#NAME?</v>
      </c>
      <c r="BU165" s="203" t="e">
        <f t="shared" si="601"/>
        <v>#NAME?</v>
      </c>
      <c r="BV165" s="203" t="e">
        <f t="shared" si="601"/>
        <v>#NAME?</v>
      </c>
      <c r="BW165" s="203" t="e">
        <f t="shared" si="601"/>
        <v>#NAME?</v>
      </c>
      <c r="BX165" s="203" t="e">
        <f t="shared" si="601"/>
        <v>#NAME?</v>
      </c>
      <c r="BY165" s="733" t="e">
        <f t="shared" si="601"/>
        <v>#NAME?</v>
      </c>
      <c r="BZ165" s="203" t="e">
        <f t="shared" si="601"/>
        <v>#NAME?</v>
      </c>
      <c r="CA165" s="733" t="e">
        <f t="shared" ref="CA165" si="602">VLOOKUP(CA164,ValidDateTable,4,FALSE)</f>
        <v>#NAME?</v>
      </c>
    </row>
    <row r="166" spans="1:88" ht="14.25" hidden="1" customHeight="1" outlineLevel="2">
      <c r="A166" s="203"/>
      <c r="B166" s="205" t="s">
        <v>24</v>
      </c>
      <c r="C166" s="205"/>
      <c r="D166" s="203">
        <v>2006</v>
      </c>
      <c r="E166" s="203">
        <v>2006</v>
      </c>
      <c r="F166" s="203">
        <v>2006</v>
      </c>
      <c r="G166" s="203">
        <v>2006</v>
      </c>
      <c r="H166" s="203">
        <v>2007</v>
      </c>
      <c r="I166" s="203">
        <v>2007</v>
      </c>
      <c r="J166" s="203">
        <v>2007</v>
      </c>
      <c r="K166" s="203">
        <v>2007</v>
      </c>
      <c r="L166" s="203">
        <v>2008</v>
      </c>
      <c r="M166" s="203">
        <v>2008</v>
      </c>
      <c r="N166" s="203">
        <v>2008</v>
      </c>
      <c r="O166" s="203">
        <v>2008</v>
      </c>
      <c r="P166" s="203">
        <v>2009</v>
      </c>
      <c r="Q166" s="203">
        <v>2009</v>
      </c>
      <c r="R166" s="203">
        <v>2009</v>
      </c>
      <c r="S166" s="203">
        <v>2009</v>
      </c>
      <c r="T166" s="203">
        <v>2010</v>
      </c>
      <c r="U166" s="203">
        <v>2010</v>
      </c>
      <c r="V166" s="203">
        <v>2010</v>
      </c>
      <c r="W166" s="203">
        <v>2010</v>
      </c>
      <c r="X166" s="203">
        <v>2011</v>
      </c>
      <c r="Y166" s="203">
        <v>2011</v>
      </c>
      <c r="Z166" s="206">
        <v>2011</v>
      </c>
      <c r="AA166" s="206">
        <v>2011</v>
      </c>
      <c r="AB166" s="206">
        <v>2012</v>
      </c>
      <c r="AC166" s="206">
        <v>2012</v>
      </c>
      <c r="AD166" s="206">
        <v>2012</v>
      </c>
      <c r="AE166" s="206">
        <v>2012</v>
      </c>
      <c r="AF166" s="203">
        <v>2013</v>
      </c>
      <c r="AG166" s="203">
        <v>2013</v>
      </c>
      <c r="AH166" s="203">
        <v>2013</v>
      </c>
      <c r="AI166" s="203">
        <v>2013</v>
      </c>
      <c r="AJ166" s="203">
        <v>2014</v>
      </c>
      <c r="AK166" s="203">
        <v>2014</v>
      </c>
      <c r="AL166" s="203">
        <v>2014</v>
      </c>
      <c r="AM166" s="206">
        <v>2014</v>
      </c>
      <c r="AN166" s="203">
        <v>2015</v>
      </c>
      <c r="AO166" s="203">
        <v>2015</v>
      </c>
      <c r="AP166" s="203">
        <v>2015</v>
      </c>
      <c r="AQ166" s="203">
        <v>2015</v>
      </c>
      <c r="AR166" s="203">
        <v>2016</v>
      </c>
      <c r="AS166" s="203">
        <v>2016</v>
      </c>
      <c r="AT166" s="203">
        <v>2016</v>
      </c>
      <c r="AU166" s="203">
        <v>2015</v>
      </c>
      <c r="AV166" s="203">
        <v>2017</v>
      </c>
      <c r="AW166" s="203">
        <v>2017</v>
      </c>
      <c r="AX166" s="203">
        <v>2017</v>
      </c>
      <c r="AY166" s="203">
        <v>2017</v>
      </c>
      <c r="AZ166" s="203">
        <v>2018</v>
      </c>
      <c r="BA166" s="203">
        <v>2018</v>
      </c>
      <c r="BB166" s="203">
        <v>2018</v>
      </c>
      <c r="BC166" s="203">
        <v>2018</v>
      </c>
      <c r="BD166" s="733">
        <v>2019</v>
      </c>
      <c r="BE166" s="733">
        <v>2019</v>
      </c>
      <c r="BF166" s="733">
        <v>2019</v>
      </c>
      <c r="BG166" s="733">
        <v>2019</v>
      </c>
      <c r="BH166" s="733">
        <v>2020</v>
      </c>
      <c r="BI166" s="733">
        <v>2020</v>
      </c>
      <c r="BJ166" s="733">
        <v>2020</v>
      </c>
      <c r="BK166" s="733">
        <v>2020</v>
      </c>
      <c r="BL166" s="204"/>
      <c r="BM166" s="203"/>
      <c r="BN166" s="203"/>
      <c r="BO166" s="203"/>
      <c r="BP166" s="203"/>
      <c r="BQ166" s="203"/>
      <c r="BR166" s="203"/>
      <c r="BS166" s="203"/>
      <c r="BT166" s="733"/>
      <c r="BU166" s="203"/>
      <c r="BV166" s="203"/>
      <c r="BW166" s="203"/>
      <c r="BX166" s="203"/>
      <c r="BY166" s="733"/>
      <c r="BZ166" s="203"/>
      <c r="CA166" s="733"/>
    </row>
    <row r="167" spans="1:88" ht="14.25" hidden="1" customHeight="1" outlineLevel="2">
      <c r="A167" s="203"/>
      <c r="B167" s="205" t="s">
        <v>294</v>
      </c>
      <c r="C167" s="205"/>
      <c r="D167" s="203">
        <v>1</v>
      </c>
      <c r="E167" s="203">
        <v>2</v>
      </c>
      <c r="F167" s="203">
        <v>3</v>
      </c>
      <c r="G167" s="203">
        <v>4</v>
      </c>
      <c r="H167" s="203">
        <v>1</v>
      </c>
      <c r="I167" s="203">
        <v>2</v>
      </c>
      <c r="J167" s="203">
        <v>3</v>
      </c>
      <c r="K167" s="203">
        <v>4</v>
      </c>
      <c r="L167" s="203">
        <v>1</v>
      </c>
      <c r="M167" s="203">
        <v>2</v>
      </c>
      <c r="N167" s="203">
        <v>3</v>
      </c>
      <c r="O167" s="203">
        <v>4</v>
      </c>
      <c r="P167" s="203">
        <v>1</v>
      </c>
      <c r="Q167" s="203">
        <v>2</v>
      </c>
      <c r="R167" s="203">
        <v>3</v>
      </c>
      <c r="S167" s="203">
        <v>4</v>
      </c>
      <c r="T167" s="203">
        <v>1</v>
      </c>
      <c r="U167" s="203">
        <v>2</v>
      </c>
      <c r="V167" s="203">
        <v>3</v>
      </c>
      <c r="W167" s="203">
        <v>4</v>
      </c>
      <c r="X167" s="203">
        <v>1</v>
      </c>
      <c r="Y167" s="203">
        <v>2</v>
      </c>
      <c r="Z167" s="206">
        <v>3</v>
      </c>
      <c r="AA167" s="206">
        <v>4</v>
      </c>
      <c r="AB167" s="206">
        <v>1</v>
      </c>
      <c r="AC167" s="206">
        <v>2</v>
      </c>
      <c r="AD167" s="206">
        <v>3</v>
      </c>
      <c r="AE167" s="206">
        <v>4</v>
      </c>
      <c r="AF167" s="203">
        <v>1</v>
      </c>
      <c r="AG167" s="203">
        <v>2</v>
      </c>
      <c r="AH167" s="203">
        <v>3</v>
      </c>
      <c r="AI167" s="203">
        <v>4</v>
      </c>
      <c r="AJ167" s="203">
        <v>1</v>
      </c>
      <c r="AK167" s="203">
        <v>2</v>
      </c>
      <c r="AL167" s="203">
        <v>3</v>
      </c>
      <c r="AM167" s="206">
        <v>4</v>
      </c>
      <c r="AN167" s="203">
        <v>1</v>
      </c>
      <c r="AO167" s="203">
        <v>2</v>
      </c>
      <c r="AP167" s="203">
        <v>3</v>
      </c>
      <c r="AQ167" s="203">
        <v>4</v>
      </c>
      <c r="AR167" s="203">
        <v>1</v>
      </c>
      <c r="AS167" s="203">
        <v>2</v>
      </c>
      <c r="AT167" s="203">
        <v>3</v>
      </c>
      <c r="AU167" s="203">
        <v>4</v>
      </c>
      <c r="AV167" s="203">
        <v>1</v>
      </c>
      <c r="AW167" s="203">
        <v>2</v>
      </c>
      <c r="AX167" s="203">
        <v>3</v>
      </c>
      <c r="AY167" s="203">
        <v>4</v>
      </c>
      <c r="AZ167" s="203">
        <v>1</v>
      </c>
      <c r="BA167" s="203">
        <v>2</v>
      </c>
      <c r="BB167" s="203">
        <v>3</v>
      </c>
      <c r="BC167" s="203">
        <v>4</v>
      </c>
      <c r="BD167" s="733">
        <v>1</v>
      </c>
      <c r="BE167" s="733">
        <v>2</v>
      </c>
      <c r="BF167" s="733">
        <v>3</v>
      </c>
      <c r="BG167" s="733">
        <v>4</v>
      </c>
      <c r="BH167" s="733">
        <v>1</v>
      </c>
      <c r="BI167" s="733">
        <v>2</v>
      </c>
      <c r="BJ167" s="733">
        <v>3</v>
      </c>
      <c r="BK167" s="733">
        <v>4</v>
      </c>
      <c r="BL167" s="204"/>
      <c r="BM167" s="203"/>
      <c r="BN167" s="203"/>
      <c r="BO167" s="203"/>
      <c r="BP167" s="203"/>
      <c r="BQ167" s="203"/>
      <c r="BR167" s="203"/>
      <c r="BS167" s="203"/>
      <c r="BT167" s="733"/>
      <c r="BU167" s="203"/>
      <c r="BV167" s="203"/>
      <c r="BW167" s="203"/>
      <c r="BX167" s="203"/>
      <c r="BY167" s="733"/>
      <c r="BZ167" s="203"/>
      <c r="CA167" s="733"/>
    </row>
    <row r="168" spans="1:88" ht="14.25" hidden="1" customHeight="1" outlineLevel="3">
      <c r="A168" s="203"/>
      <c r="B168" s="205" t="s">
        <v>84</v>
      </c>
      <c r="C168" s="205"/>
      <c r="D168" s="203">
        <v>2005</v>
      </c>
      <c r="E168" s="203">
        <v>2005</v>
      </c>
      <c r="F168" s="203">
        <v>2006</v>
      </c>
      <c r="G168" s="203">
        <v>2006</v>
      </c>
      <c r="H168" s="203">
        <v>2006</v>
      </c>
      <c r="I168" s="203">
        <v>2006</v>
      </c>
      <c r="J168" s="203">
        <v>2007</v>
      </c>
      <c r="K168" s="203">
        <v>2007</v>
      </c>
      <c r="L168" s="203">
        <v>2007</v>
      </c>
      <c r="M168" s="203">
        <v>2007</v>
      </c>
      <c r="N168" s="203">
        <v>2008</v>
      </c>
      <c r="O168" s="203">
        <v>2008</v>
      </c>
      <c r="P168" s="203">
        <v>2008</v>
      </c>
      <c r="Q168" s="203">
        <v>2008</v>
      </c>
      <c r="R168" s="203">
        <v>2009</v>
      </c>
      <c r="S168" s="203">
        <v>2009</v>
      </c>
      <c r="T168" s="203">
        <v>2009</v>
      </c>
      <c r="U168" s="203">
        <v>2009</v>
      </c>
      <c r="V168" s="203">
        <v>2010</v>
      </c>
      <c r="W168" s="203">
        <v>2010</v>
      </c>
      <c r="X168" s="203">
        <v>2010</v>
      </c>
      <c r="Y168" s="203">
        <v>2010</v>
      </c>
      <c r="Z168" s="203">
        <v>2011</v>
      </c>
      <c r="AA168" s="203">
        <v>2011</v>
      </c>
      <c r="AB168" s="206">
        <v>2011</v>
      </c>
      <c r="AC168" s="206">
        <v>2011</v>
      </c>
      <c r="AD168" s="206">
        <v>2012</v>
      </c>
      <c r="AE168" s="206">
        <v>2012</v>
      </c>
      <c r="AF168" s="206">
        <v>2012</v>
      </c>
      <c r="AG168" s="206">
        <v>2012</v>
      </c>
      <c r="AH168" s="203">
        <v>2013</v>
      </c>
      <c r="AI168" s="203">
        <v>2013</v>
      </c>
      <c r="AJ168" s="203">
        <v>2013</v>
      </c>
      <c r="AK168" s="203">
        <v>2013</v>
      </c>
      <c r="AL168" s="203">
        <v>2014</v>
      </c>
      <c r="AM168" s="206">
        <v>2014</v>
      </c>
      <c r="AN168" s="203">
        <v>2014</v>
      </c>
      <c r="AO168" s="203">
        <v>2014</v>
      </c>
      <c r="AP168" s="203">
        <v>2015</v>
      </c>
      <c r="AQ168" s="203">
        <v>2015</v>
      </c>
      <c r="AR168" s="203">
        <v>2015</v>
      </c>
      <c r="AS168" s="203">
        <v>2015</v>
      </c>
      <c r="AT168" s="203">
        <v>2016</v>
      </c>
      <c r="AU168" s="203">
        <v>2015</v>
      </c>
      <c r="AV168" s="203">
        <v>2016</v>
      </c>
      <c r="AW168" s="203">
        <v>2016</v>
      </c>
      <c r="AX168" s="203">
        <v>2017</v>
      </c>
      <c r="AY168" s="203">
        <v>2017</v>
      </c>
      <c r="AZ168" s="203">
        <v>2017</v>
      </c>
      <c r="BA168" s="203">
        <v>2017</v>
      </c>
      <c r="BB168" s="203">
        <v>2018</v>
      </c>
      <c r="BC168" s="203">
        <v>2018</v>
      </c>
      <c r="BD168" s="733">
        <v>2018</v>
      </c>
      <c r="BE168" s="733">
        <v>2018</v>
      </c>
      <c r="BF168" s="733">
        <v>2019</v>
      </c>
      <c r="BG168" s="733">
        <v>2019</v>
      </c>
      <c r="BH168" s="733">
        <v>2019</v>
      </c>
      <c r="BI168" s="733">
        <v>2019</v>
      </c>
      <c r="BJ168" s="733">
        <v>2020</v>
      </c>
      <c r="BK168" s="733">
        <v>2020</v>
      </c>
      <c r="BL168" s="204"/>
      <c r="BM168" s="203"/>
      <c r="BN168" s="203"/>
      <c r="BO168" s="203"/>
      <c r="BP168" s="203"/>
      <c r="BQ168" s="203"/>
      <c r="BR168" s="203"/>
      <c r="BS168" s="203"/>
      <c r="BT168" s="733"/>
      <c r="BU168" s="203"/>
      <c r="BV168" s="203"/>
      <c r="BW168" s="203"/>
      <c r="BX168" s="203"/>
      <c r="BY168" s="733"/>
      <c r="BZ168" s="203"/>
      <c r="CA168" s="733"/>
    </row>
    <row r="169" spans="1:88" ht="14.25" hidden="1" customHeight="1" outlineLevel="3">
      <c r="A169" s="203"/>
      <c r="B169" s="205" t="s">
        <v>293</v>
      </c>
      <c r="C169" s="205"/>
      <c r="D169" s="203">
        <v>3</v>
      </c>
      <c r="E169" s="203">
        <v>4</v>
      </c>
      <c r="F169" s="203">
        <v>1</v>
      </c>
      <c r="G169" s="203">
        <v>2</v>
      </c>
      <c r="H169" s="203">
        <v>3</v>
      </c>
      <c r="I169" s="203">
        <v>4</v>
      </c>
      <c r="J169" s="203">
        <v>1</v>
      </c>
      <c r="K169" s="203">
        <v>2</v>
      </c>
      <c r="L169" s="203">
        <v>3</v>
      </c>
      <c r="M169" s="203">
        <v>4</v>
      </c>
      <c r="N169" s="203">
        <v>1</v>
      </c>
      <c r="O169" s="203">
        <v>2</v>
      </c>
      <c r="P169" s="203">
        <v>3</v>
      </c>
      <c r="Q169" s="203">
        <v>4</v>
      </c>
      <c r="R169" s="203">
        <v>1</v>
      </c>
      <c r="S169" s="203">
        <v>2</v>
      </c>
      <c r="T169" s="203">
        <v>3</v>
      </c>
      <c r="U169" s="203">
        <v>4</v>
      </c>
      <c r="V169" s="203">
        <v>1</v>
      </c>
      <c r="W169" s="203">
        <v>2</v>
      </c>
      <c r="X169" s="203">
        <v>3</v>
      </c>
      <c r="Y169" s="203">
        <v>4</v>
      </c>
      <c r="Z169" s="203">
        <v>1</v>
      </c>
      <c r="AA169" s="203">
        <v>2</v>
      </c>
      <c r="AB169" s="203">
        <v>3</v>
      </c>
      <c r="AC169" s="203">
        <v>4</v>
      </c>
      <c r="AD169" s="203">
        <v>1</v>
      </c>
      <c r="AE169" s="203">
        <v>2</v>
      </c>
      <c r="AF169" s="203">
        <v>3</v>
      </c>
      <c r="AG169" s="203">
        <v>4</v>
      </c>
      <c r="AH169" s="203">
        <v>1</v>
      </c>
      <c r="AI169" s="203">
        <v>2</v>
      </c>
      <c r="AJ169" s="203">
        <v>3</v>
      </c>
      <c r="AK169" s="203">
        <v>4</v>
      </c>
      <c r="AL169" s="203">
        <v>1</v>
      </c>
      <c r="AM169" s="203">
        <v>2</v>
      </c>
      <c r="AN169" s="203">
        <v>3</v>
      </c>
      <c r="AO169" s="203">
        <v>4</v>
      </c>
      <c r="AP169" s="203">
        <v>1</v>
      </c>
      <c r="AQ169" s="203">
        <v>2</v>
      </c>
      <c r="AR169" s="203">
        <v>3</v>
      </c>
      <c r="AS169" s="203">
        <v>4</v>
      </c>
      <c r="AT169" s="203">
        <v>1</v>
      </c>
      <c r="AU169" s="203">
        <v>2</v>
      </c>
      <c r="AV169" s="203">
        <v>3</v>
      </c>
      <c r="AW169" s="203">
        <v>4</v>
      </c>
      <c r="AX169" s="203">
        <v>1</v>
      </c>
      <c r="AY169" s="203">
        <v>2</v>
      </c>
      <c r="AZ169" s="203">
        <v>3</v>
      </c>
      <c r="BA169" s="203">
        <v>4</v>
      </c>
      <c r="BB169" s="203">
        <v>1</v>
      </c>
      <c r="BC169" s="203">
        <v>2</v>
      </c>
      <c r="BD169" s="733">
        <v>3</v>
      </c>
      <c r="BE169" s="733">
        <v>4</v>
      </c>
      <c r="BF169" s="733">
        <v>1</v>
      </c>
      <c r="BG169" s="733">
        <v>2</v>
      </c>
      <c r="BH169" s="733">
        <v>3</v>
      </c>
      <c r="BI169" s="733">
        <v>4</v>
      </c>
      <c r="BJ169" s="733">
        <v>1</v>
      </c>
      <c r="BK169" s="733">
        <v>2</v>
      </c>
      <c r="BL169" s="204"/>
      <c r="BM169" s="203"/>
      <c r="BN169" s="203"/>
      <c r="BO169" s="203"/>
      <c r="BP169" s="203"/>
      <c r="BQ169" s="203"/>
      <c r="BR169" s="203"/>
      <c r="BS169" s="203"/>
      <c r="BT169" s="733"/>
      <c r="BU169" s="203"/>
      <c r="BV169" s="203"/>
      <c r="BW169" s="203"/>
      <c r="BX169" s="203"/>
      <c r="BY169" s="733"/>
      <c r="BZ169" s="203"/>
      <c r="CA169" s="733"/>
    </row>
    <row r="170" spans="1:88" ht="14.25" hidden="1" customHeight="1" outlineLevel="2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2"/>
      <c r="AA170" s="202"/>
      <c r="AB170" s="202"/>
      <c r="AC170" s="202"/>
      <c r="AD170" s="202"/>
      <c r="AE170" s="202"/>
      <c r="AF170" s="200"/>
      <c r="AG170" s="200"/>
      <c r="AH170" s="200"/>
      <c r="AI170" s="200"/>
      <c r="AJ170" s="200"/>
      <c r="AK170" s="200"/>
      <c r="AL170" s="200"/>
      <c r="AM170" s="202"/>
      <c r="AN170" s="200"/>
      <c r="AO170" s="200"/>
      <c r="AP170" s="200"/>
      <c r="AQ170" s="200"/>
      <c r="AR170" s="200"/>
      <c r="AS170" s="200"/>
      <c r="AT170" s="200"/>
      <c r="AU170" s="200"/>
      <c r="AV170" s="200"/>
      <c r="AW170" s="200"/>
      <c r="AX170" s="200"/>
      <c r="AY170" s="200"/>
      <c r="AZ170" s="200"/>
      <c r="BA170" s="200"/>
      <c r="BB170" s="200"/>
      <c r="BC170" s="200"/>
      <c r="BD170" s="200"/>
      <c r="BE170" s="200"/>
      <c r="BF170" s="200"/>
      <c r="BG170" s="200"/>
      <c r="BH170" s="200"/>
      <c r="BI170" s="200"/>
      <c r="BJ170" s="200"/>
      <c r="BK170" s="200"/>
      <c r="BL170" s="201"/>
      <c r="BM170" s="200"/>
      <c r="BN170" s="200"/>
      <c r="BO170" s="200"/>
      <c r="BP170" s="200"/>
      <c r="BQ170" s="200"/>
      <c r="BR170" s="200"/>
      <c r="BS170" s="200"/>
      <c r="BT170" s="200"/>
      <c r="BU170" s="200"/>
      <c r="BV170" s="200"/>
      <c r="BW170" s="200"/>
      <c r="BX170" s="200"/>
      <c r="BY170" s="200"/>
      <c r="BZ170" s="200"/>
      <c r="CA170" s="200"/>
    </row>
    <row r="171" spans="1:88" ht="14.25" hidden="1" customHeight="1" outlineLevel="1">
      <c r="BL171" s="184"/>
    </row>
    <row r="172" spans="1:88" ht="14.25" hidden="1" customHeight="1" outlineLevel="1">
      <c r="BL172" s="184"/>
    </row>
    <row r="173" spans="1:88" ht="14.25" hidden="1" customHeight="1" outlineLevel="1">
      <c r="BL173" s="184"/>
    </row>
    <row r="174" spans="1:88" ht="14.25" hidden="1" customHeight="1" outlineLevel="1">
      <c r="B174" s="199" t="s">
        <v>291</v>
      </c>
      <c r="C174" s="197"/>
      <c r="D174" s="197"/>
      <c r="E174" s="197"/>
      <c r="F174" s="197"/>
      <c r="G174" s="197"/>
      <c r="H174" s="197"/>
      <c r="I174" s="197"/>
      <c r="J174" s="197"/>
      <c r="K174" s="197"/>
      <c r="L174" s="197"/>
      <c r="M174" s="197"/>
      <c r="N174" s="197"/>
      <c r="O174" s="197"/>
      <c r="P174" s="197"/>
      <c r="Q174" s="197"/>
      <c r="R174" s="197"/>
      <c r="S174" s="197"/>
      <c r="T174" s="197"/>
      <c r="U174" s="197"/>
      <c r="V174" s="197"/>
      <c r="W174" s="197"/>
      <c r="X174" s="197"/>
      <c r="Y174" s="197"/>
      <c r="Z174" s="197"/>
      <c r="AA174" s="197"/>
      <c r="AB174" s="197"/>
      <c r="AC174" s="197"/>
      <c r="AD174" s="197"/>
      <c r="AE174" s="197"/>
      <c r="AF174" s="197"/>
      <c r="AG174" s="197"/>
      <c r="AH174" s="197"/>
      <c r="AI174" s="197"/>
      <c r="AJ174" s="197"/>
      <c r="AK174" s="197"/>
      <c r="AL174" s="197"/>
      <c r="AM174" s="197"/>
      <c r="AN174" s="197"/>
      <c r="AO174" s="197"/>
      <c r="AP174" s="197"/>
      <c r="AQ174" s="197"/>
      <c r="AR174" s="197"/>
      <c r="AS174" s="197"/>
      <c r="AT174" s="197"/>
      <c r="AU174" s="197"/>
      <c r="AV174" s="197"/>
      <c r="AW174" s="197"/>
      <c r="AX174" s="197"/>
      <c r="AY174" s="198"/>
      <c r="AZ174" s="197"/>
      <c r="BA174" s="197"/>
      <c r="BB174" s="197"/>
      <c r="BC174" s="198"/>
      <c r="BD174" s="197"/>
      <c r="BE174" s="197"/>
      <c r="BF174" s="197"/>
      <c r="BG174" s="198"/>
      <c r="BH174" s="197"/>
      <c r="BI174" s="197"/>
      <c r="BJ174" s="197"/>
      <c r="BK174" s="198"/>
      <c r="BL174" s="184"/>
    </row>
    <row r="175" spans="1:88" ht="14.25" hidden="1" customHeight="1" outlineLevel="1">
      <c r="B175" s="196" t="s">
        <v>78</v>
      </c>
      <c r="C175" s="195"/>
      <c r="D175" s="193">
        <f t="shared" ref="D175:AI175" si="603">D71</f>
        <v>143.93900000000008</v>
      </c>
      <c r="E175" s="193">
        <f t="shared" si="603"/>
        <v>561.07100000000014</v>
      </c>
      <c r="F175" s="193">
        <f t="shared" si="603"/>
        <v>680.78100000000018</v>
      </c>
      <c r="G175" s="193">
        <f t="shared" si="603"/>
        <v>634.82999999999993</v>
      </c>
      <c r="H175" s="193">
        <f t="shared" si="603"/>
        <v>549.52599999999984</v>
      </c>
      <c r="I175" s="193">
        <f t="shared" si="603"/>
        <v>589.02400000000023</v>
      </c>
      <c r="J175" s="193">
        <f t="shared" si="603"/>
        <v>671.86199999999985</v>
      </c>
      <c r="K175" s="193">
        <f t="shared" si="603"/>
        <v>561.09400000000005</v>
      </c>
      <c r="L175" s="193">
        <f t="shared" si="603"/>
        <v>372.88300000000004</v>
      </c>
      <c r="M175" s="193">
        <f t="shared" si="603"/>
        <v>437.75099999999998</v>
      </c>
      <c r="N175" s="193">
        <f t="shared" si="603"/>
        <v>228.33199999999977</v>
      </c>
      <c r="O175" s="193">
        <f t="shared" si="603"/>
        <v>294.62799999999999</v>
      </c>
      <c r="P175" s="193">
        <f t="shared" si="603"/>
        <v>-196.09199999999998</v>
      </c>
      <c r="Q175" s="193">
        <f t="shared" si="603"/>
        <v>-293.28299999999996</v>
      </c>
      <c r="R175" s="193">
        <f t="shared" si="603"/>
        <v>-77.182999999999993</v>
      </c>
      <c r="S175" s="193">
        <f t="shared" si="603"/>
        <v>172.94200000000001</v>
      </c>
      <c r="T175" s="193">
        <f t="shared" si="603"/>
        <v>116.34300000000007</v>
      </c>
      <c r="U175" s="193">
        <f t="shared" si="603"/>
        <v>385.7650000000001</v>
      </c>
      <c r="V175" s="193">
        <f t="shared" si="603"/>
        <v>182.65099999999995</v>
      </c>
      <c r="W175" s="193">
        <f t="shared" si="603"/>
        <v>698.69899999999996</v>
      </c>
      <c r="X175" s="193">
        <f t="shared" si="603"/>
        <v>674</v>
      </c>
      <c r="Y175" s="193">
        <f t="shared" si="603"/>
        <v>677</v>
      </c>
      <c r="Z175" s="193">
        <f t="shared" si="603"/>
        <v>687</v>
      </c>
      <c r="AA175" s="193">
        <f t="shared" si="603"/>
        <v>361</v>
      </c>
      <c r="AB175" s="193">
        <f t="shared" si="603"/>
        <v>179</v>
      </c>
      <c r="AC175" s="193">
        <f t="shared" si="603"/>
        <v>409</v>
      </c>
      <c r="AD175" s="193">
        <f t="shared" si="603"/>
        <v>322</v>
      </c>
      <c r="AE175" s="193">
        <f t="shared" si="603"/>
        <v>-499</v>
      </c>
      <c r="AF175" s="193">
        <f t="shared" si="603"/>
        <v>39</v>
      </c>
      <c r="AG175" s="193">
        <f t="shared" si="603"/>
        <v>-68</v>
      </c>
      <c r="AH175" s="193">
        <f t="shared" si="603"/>
        <v>250</v>
      </c>
      <c r="AI175" s="193">
        <f t="shared" si="603"/>
        <v>211</v>
      </c>
      <c r="AJ175" s="193">
        <f t="shared" ref="AJ175:BC175" si="604">AJ71</f>
        <v>330</v>
      </c>
      <c r="AK175" s="193">
        <f t="shared" si="604"/>
        <v>387</v>
      </c>
      <c r="AL175" s="193">
        <f t="shared" si="604"/>
        <v>391</v>
      </c>
      <c r="AM175" s="193">
        <f t="shared" si="604"/>
        <v>412</v>
      </c>
      <c r="AN175" s="193">
        <f t="shared" si="604"/>
        <v>458</v>
      </c>
      <c r="AO175" s="193">
        <f t="shared" si="604"/>
        <v>416</v>
      </c>
      <c r="AP175" s="193">
        <f t="shared" si="604"/>
        <v>396</v>
      </c>
      <c r="AQ175" s="193">
        <f t="shared" si="604"/>
        <v>423</v>
      </c>
      <c r="AR175" s="193">
        <f t="shared" si="604"/>
        <v>354</v>
      </c>
      <c r="AS175" s="193">
        <f t="shared" si="604"/>
        <v>425</v>
      </c>
      <c r="AT175" s="193">
        <f t="shared" si="604"/>
        <v>596</v>
      </c>
      <c r="AU175" s="193">
        <f t="shared" si="604"/>
        <v>777</v>
      </c>
      <c r="AV175" s="193">
        <f t="shared" si="604"/>
        <v>807</v>
      </c>
      <c r="AW175" s="193">
        <f t="shared" si="604"/>
        <v>940</v>
      </c>
      <c r="AX175" s="193">
        <f t="shared" si="604"/>
        <v>1023</v>
      </c>
      <c r="AY175" s="194">
        <f t="shared" si="604"/>
        <v>1098</v>
      </c>
      <c r="AZ175" s="193">
        <f t="shared" si="604"/>
        <v>1196</v>
      </c>
      <c r="BA175" s="193">
        <f t="shared" si="604"/>
        <v>1279.3492557088489</v>
      </c>
      <c r="BB175" s="193">
        <f t="shared" si="604"/>
        <v>1208.6822525027355</v>
      </c>
      <c r="BC175" s="194">
        <f t="shared" si="604"/>
        <v>1219.5920470385145</v>
      </c>
      <c r="BD175" s="193">
        <f t="shared" ref="BD175:BG175" si="605">BD71</f>
        <v>1155.5336709441876</v>
      </c>
      <c r="BE175" s="193">
        <f t="shared" si="605"/>
        <v>1158.5569696283223</v>
      </c>
      <c r="BF175" s="193">
        <f t="shared" si="605"/>
        <v>1145.3708738903047</v>
      </c>
      <c r="BG175" s="194">
        <f t="shared" si="605"/>
        <v>1169.8153958222736</v>
      </c>
      <c r="BH175" s="193">
        <f t="shared" ref="BH175:BK175" si="606">BH71</f>
        <v>1168.5846994974336</v>
      </c>
      <c r="BI175" s="193">
        <f t="shared" si="606"/>
        <v>1177.0146016861011</v>
      </c>
      <c r="BJ175" s="193">
        <f t="shared" si="606"/>
        <v>1193.5317037505158</v>
      </c>
      <c r="BK175" s="194">
        <f t="shared" si="606"/>
        <v>1193.8798663392586</v>
      </c>
      <c r="BL175" s="184"/>
    </row>
    <row r="176" spans="1:88" ht="14.25" hidden="1" customHeight="1" outlineLevel="1">
      <c r="B176" s="192" t="s">
        <v>292</v>
      </c>
      <c r="C176" s="191"/>
      <c r="D176" s="189">
        <f>CFS!D10</f>
        <v>69.676000000000002</v>
      </c>
      <c r="E176" s="189">
        <f>CFS!E10</f>
        <v>65.838000000000008</v>
      </c>
      <c r="F176" s="189">
        <f>CFS!F10</f>
        <v>61.870999999999967</v>
      </c>
      <c r="G176" s="189">
        <f>CFS!G10</f>
        <v>73.028000000000006</v>
      </c>
      <c r="H176" s="189">
        <f>CFS!H10</f>
        <v>60.904000000000003</v>
      </c>
      <c r="I176" s="189">
        <f>CFS!I10</f>
        <v>63.073999999999991</v>
      </c>
      <c r="J176" s="189">
        <f>CFS!J10</f>
        <v>63.332000000000015</v>
      </c>
      <c r="K176" s="189">
        <f>CFS!K10</f>
        <v>81.024000000000001</v>
      </c>
      <c r="L176" s="189">
        <f>CFS!L10</f>
        <v>78.474000000000004</v>
      </c>
      <c r="M176" s="189">
        <f>CFS!M10</f>
        <v>75.846999999999994</v>
      </c>
      <c r="N176" s="189">
        <f>CFS!N10</f>
        <v>85.718000000000004</v>
      </c>
      <c r="O176" s="189">
        <f>CFS!O10</f>
        <v>80.011999999999986</v>
      </c>
      <c r="P176" s="189">
        <f>CFS!P10</f>
        <v>71.227999999999994</v>
      </c>
      <c r="Q176" s="189">
        <f>CFS!Q10</f>
        <v>74.88000000000001</v>
      </c>
      <c r="R176" s="189">
        <f>CFS!R10</f>
        <v>73.500999999999991</v>
      </c>
      <c r="S176" s="189">
        <f>CFS!S10</f>
        <v>71.594000000000008</v>
      </c>
      <c r="T176" s="189">
        <f>CFS!T10</f>
        <v>76.412000000000006</v>
      </c>
      <c r="U176" s="189">
        <f>CFS!U10</f>
        <v>86.765999999999991</v>
      </c>
      <c r="V176" s="189">
        <f>CFS!V10</f>
        <v>72.563999999999993</v>
      </c>
      <c r="W176" s="189">
        <f>CFS!W10</f>
        <v>68.772999999999996</v>
      </c>
      <c r="X176" s="189">
        <f>CFS!X10</f>
        <v>63</v>
      </c>
      <c r="Y176" s="189">
        <f>CFS!Y10</f>
        <v>65</v>
      </c>
      <c r="Z176" s="189">
        <f>CFS!Z10</f>
        <v>59</v>
      </c>
      <c r="AA176" s="189">
        <f>CFS!AA10</f>
        <v>59</v>
      </c>
      <c r="AB176" s="189">
        <f>CFS!AB10</f>
        <v>112</v>
      </c>
      <c r="AC176" s="189">
        <f>CFS!AC10</f>
        <v>108</v>
      </c>
      <c r="AD176" s="189">
        <f>CFS!AD10</f>
        <v>105</v>
      </c>
      <c r="AE176" s="189">
        <f>CFS!AE10</f>
        <v>97</v>
      </c>
      <c r="AF176" s="189">
        <f>CFS!AF10</f>
        <v>106</v>
      </c>
      <c r="AG176" s="189">
        <f>CFS!AG10</f>
        <v>106</v>
      </c>
      <c r="AH176" s="189">
        <f>CFS!AH10</f>
        <v>100</v>
      </c>
      <c r="AI176" s="189">
        <f>CFS!AI10</f>
        <v>98</v>
      </c>
      <c r="AJ176" s="189">
        <f>CFS!AJ10</f>
        <v>94</v>
      </c>
      <c r="AK176" s="189">
        <f>CFS!AK10</f>
        <v>94</v>
      </c>
      <c r="AL176" s="189">
        <f>CFS!AL10</f>
        <v>93</v>
      </c>
      <c r="AM176" s="189">
        <f>CFS!AM10</f>
        <v>94</v>
      </c>
      <c r="AN176" s="189">
        <f>CFS!AN10</f>
        <v>92</v>
      </c>
      <c r="AO176" s="189">
        <f>CFS!AO10</f>
        <v>90</v>
      </c>
      <c r="AP176" s="189">
        <f>CFS!AP10</f>
        <v>93</v>
      </c>
      <c r="AQ176" s="189">
        <f>CFS!AQ10</f>
        <v>96</v>
      </c>
      <c r="AR176" s="189">
        <f>CFS!AR10</f>
        <v>96</v>
      </c>
      <c r="AS176" s="189">
        <f>CFS!AS10</f>
        <v>96</v>
      </c>
      <c r="AT176" s="189">
        <f>CFS!AT10</f>
        <v>97</v>
      </c>
      <c r="AU176" s="189">
        <f>CFS!AU10</f>
        <v>100</v>
      </c>
      <c r="AV176" s="189">
        <f>CFS!AV10</f>
        <v>97</v>
      </c>
      <c r="AW176" s="189">
        <f>CFS!AW10</f>
        <v>103</v>
      </c>
      <c r="AX176" s="189">
        <f>CFS!AX10</f>
        <v>102</v>
      </c>
      <c r="AY176" s="190">
        <f>CFS!AY10</f>
        <v>105</v>
      </c>
      <c r="AZ176" s="189">
        <f>CFS!AZ10</f>
        <v>119</v>
      </c>
      <c r="BA176" s="189">
        <f>CFS!BA10</f>
        <v>118.99999999999999</v>
      </c>
      <c r="BB176" s="189">
        <f>CFS!BB10</f>
        <v>126.29275101023119</v>
      </c>
      <c r="BC176" s="190">
        <f>CFS!BC10</f>
        <v>133.3943083269088</v>
      </c>
      <c r="BD176" s="189">
        <f>CFS!BD10</f>
        <v>140.54148531588359</v>
      </c>
      <c r="BE176" s="189">
        <f>CFS!BE10</f>
        <v>147.4727483321453</v>
      </c>
      <c r="BF176" s="189">
        <f>CFS!BF10</f>
        <v>154.46639186881259</v>
      </c>
      <c r="BG176" s="190">
        <f>CFS!BG10</f>
        <v>161.49982195335514</v>
      </c>
      <c r="BH176" s="189">
        <f>CFS!BH10</f>
        <v>168.62893445266323</v>
      </c>
      <c r="BI176" s="189">
        <f>CFS!BI10</f>
        <v>175.70466871374165</v>
      </c>
      <c r="BJ176" s="189">
        <f>CFS!BJ10</f>
        <v>182.84262653716854</v>
      </c>
      <c r="BK176" s="190">
        <f>CFS!BK10</f>
        <v>190.05436512462353</v>
      </c>
      <c r="BL176" s="184"/>
    </row>
    <row r="177" spans="2:64" ht="14.25" hidden="1" customHeight="1" outlineLevel="1">
      <c r="B177" s="188" t="s">
        <v>291</v>
      </c>
      <c r="C177" s="187"/>
      <c r="D177" s="185">
        <f t="shared" ref="D177:AY177" si="607">D176+D175</f>
        <v>213.61500000000007</v>
      </c>
      <c r="E177" s="185">
        <f t="shared" si="607"/>
        <v>626.90900000000011</v>
      </c>
      <c r="F177" s="185">
        <f t="shared" si="607"/>
        <v>742.65200000000016</v>
      </c>
      <c r="G177" s="185">
        <f t="shared" si="607"/>
        <v>707.85799999999995</v>
      </c>
      <c r="H177" s="185">
        <f t="shared" si="607"/>
        <v>610.42999999999984</v>
      </c>
      <c r="I177" s="185">
        <f t="shared" si="607"/>
        <v>652.09800000000018</v>
      </c>
      <c r="J177" s="185">
        <f t="shared" si="607"/>
        <v>735.19399999999985</v>
      </c>
      <c r="K177" s="185">
        <f t="shared" si="607"/>
        <v>642.11800000000005</v>
      </c>
      <c r="L177" s="185">
        <f t="shared" si="607"/>
        <v>451.35700000000003</v>
      </c>
      <c r="M177" s="185">
        <f t="shared" si="607"/>
        <v>513.59799999999996</v>
      </c>
      <c r="N177" s="185">
        <f t="shared" si="607"/>
        <v>314.04999999999978</v>
      </c>
      <c r="O177" s="185">
        <f t="shared" si="607"/>
        <v>374.64</v>
      </c>
      <c r="P177" s="185">
        <f t="shared" si="607"/>
        <v>-124.86399999999999</v>
      </c>
      <c r="Q177" s="185">
        <f t="shared" si="607"/>
        <v>-218.40299999999996</v>
      </c>
      <c r="R177" s="185">
        <f t="shared" si="607"/>
        <v>-3.6820000000000022</v>
      </c>
      <c r="S177" s="185">
        <f t="shared" si="607"/>
        <v>244.536</v>
      </c>
      <c r="T177" s="185">
        <f t="shared" si="607"/>
        <v>192.75500000000008</v>
      </c>
      <c r="U177" s="185">
        <f t="shared" si="607"/>
        <v>472.53100000000006</v>
      </c>
      <c r="V177" s="185">
        <f t="shared" si="607"/>
        <v>255.21499999999995</v>
      </c>
      <c r="W177" s="185">
        <f t="shared" si="607"/>
        <v>767.47199999999998</v>
      </c>
      <c r="X177" s="185">
        <f t="shared" si="607"/>
        <v>737</v>
      </c>
      <c r="Y177" s="185">
        <f t="shared" si="607"/>
        <v>742</v>
      </c>
      <c r="Z177" s="185">
        <f t="shared" si="607"/>
        <v>746</v>
      </c>
      <c r="AA177" s="185">
        <f t="shared" si="607"/>
        <v>420</v>
      </c>
      <c r="AB177" s="185">
        <f t="shared" si="607"/>
        <v>291</v>
      </c>
      <c r="AC177" s="185">
        <f t="shared" si="607"/>
        <v>517</v>
      </c>
      <c r="AD177" s="185">
        <f t="shared" si="607"/>
        <v>427</v>
      </c>
      <c r="AE177" s="185">
        <f t="shared" si="607"/>
        <v>-402</v>
      </c>
      <c r="AF177" s="185">
        <f t="shared" si="607"/>
        <v>145</v>
      </c>
      <c r="AG177" s="185">
        <f t="shared" si="607"/>
        <v>38</v>
      </c>
      <c r="AH177" s="185">
        <f t="shared" si="607"/>
        <v>350</v>
      </c>
      <c r="AI177" s="185">
        <f t="shared" si="607"/>
        <v>309</v>
      </c>
      <c r="AJ177" s="185">
        <f t="shared" si="607"/>
        <v>424</v>
      </c>
      <c r="AK177" s="185">
        <f t="shared" si="607"/>
        <v>481</v>
      </c>
      <c r="AL177" s="185">
        <f t="shared" si="607"/>
        <v>484</v>
      </c>
      <c r="AM177" s="185">
        <f t="shared" si="607"/>
        <v>506</v>
      </c>
      <c r="AN177" s="185">
        <f t="shared" si="607"/>
        <v>550</v>
      </c>
      <c r="AO177" s="185">
        <f t="shared" si="607"/>
        <v>506</v>
      </c>
      <c r="AP177" s="185">
        <f t="shared" si="607"/>
        <v>489</v>
      </c>
      <c r="AQ177" s="185">
        <f t="shared" si="607"/>
        <v>519</v>
      </c>
      <c r="AR177" s="185">
        <f>AR176+AR175</f>
        <v>450</v>
      </c>
      <c r="AS177" s="185">
        <f>AS176+AS175</f>
        <v>521</v>
      </c>
      <c r="AT177" s="185">
        <f t="shared" si="607"/>
        <v>693</v>
      </c>
      <c r="AU177" s="185">
        <f>AU176+AU175</f>
        <v>877</v>
      </c>
      <c r="AV177" s="185">
        <f t="shared" si="607"/>
        <v>904</v>
      </c>
      <c r="AW177" s="185">
        <f t="shared" si="607"/>
        <v>1043</v>
      </c>
      <c r="AX177" s="185">
        <f t="shared" si="607"/>
        <v>1125</v>
      </c>
      <c r="AY177" s="186">
        <f t="shared" si="607"/>
        <v>1203</v>
      </c>
      <c r="AZ177" s="185">
        <f t="shared" ref="AZ177:BG177" si="608">AZ176+AZ175</f>
        <v>1315</v>
      </c>
      <c r="BA177" s="185">
        <f t="shared" si="608"/>
        <v>1398.3492557088489</v>
      </c>
      <c r="BB177" s="185">
        <f t="shared" si="608"/>
        <v>1334.9750035129666</v>
      </c>
      <c r="BC177" s="186">
        <f t="shared" si="608"/>
        <v>1352.9863553654232</v>
      </c>
      <c r="BD177" s="185">
        <f t="shared" si="608"/>
        <v>1296.0751562600713</v>
      </c>
      <c r="BE177" s="185">
        <f t="shared" si="608"/>
        <v>1306.0297179604677</v>
      </c>
      <c r="BF177" s="185">
        <f t="shared" si="608"/>
        <v>1299.8372657591171</v>
      </c>
      <c r="BG177" s="186">
        <f t="shared" si="608"/>
        <v>1331.3152177756288</v>
      </c>
      <c r="BH177" s="185">
        <f t="shared" ref="BH177:BK177" si="609">BH176+BH175</f>
        <v>1337.2136339500969</v>
      </c>
      <c r="BI177" s="185">
        <f t="shared" si="609"/>
        <v>1352.7192703998428</v>
      </c>
      <c r="BJ177" s="185">
        <f t="shared" si="609"/>
        <v>1376.3743302876844</v>
      </c>
      <c r="BK177" s="186">
        <f t="shared" si="609"/>
        <v>1383.934231463882</v>
      </c>
      <c r="BL177" s="184"/>
    </row>
    <row r="178" spans="2:64" ht="14.25" hidden="1" customHeight="1" outlineLevel="1">
      <c r="BL178" s="184"/>
    </row>
    <row r="179" spans="2:64" ht="15" customHeight="1" collapsed="1">
      <c r="BL179" s="184"/>
    </row>
    <row r="180" spans="2:64" ht="14.25" customHeight="1">
      <c r="BL180" s="184"/>
    </row>
    <row r="181" spans="2:64" ht="14.25" customHeight="1">
      <c r="BL181" s="184"/>
    </row>
    <row r="182" spans="2:64" ht="14.25" customHeight="1">
      <c r="BL182" s="184"/>
    </row>
    <row r="183" spans="2:64" ht="14.25" customHeight="1">
      <c r="BL183" s="184"/>
    </row>
    <row r="184" spans="2:64" ht="14.25" customHeight="1">
      <c r="BL184" s="184"/>
    </row>
    <row r="185" spans="2:64" ht="14.25" customHeight="1">
      <c r="BL185" s="184"/>
    </row>
    <row r="186" spans="2:64" ht="14.25" customHeight="1">
      <c r="BL186" s="184"/>
    </row>
    <row r="187" spans="2:64" ht="14.25" customHeight="1">
      <c r="BL187" s="184"/>
    </row>
    <row r="188" spans="2:64" ht="14.25" customHeight="1">
      <c r="BL188" s="184"/>
    </row>
    <row r="189" spans="2:64" ht="14.25" customHeight="1">
      <c r="BL189" s="184"/>
    </row>
    <row r="190" spans="2:64" ht="14.25" customHeight="1">
      <c r="BL190" s="184"/>
    </row>
    <row r="191" spans="2:64" ht="14.25" customHeight="1">
      <c r="BL191" s="184"/>
    </row>
    <row r="192" spans="2:64" ht="14.25" customHeight="1">
      <c r="BL192" s="184"/>
    </row>
    <row r="193" spans="64:64" ht="14.25" customHeight="1">
      <c r="BL193" s="184"/>
    </row>
    <row r="194" spans="64:64" ht="14.25" customHeight="1">
      <c r="BL194" s="184"/>
    </row>
    <row r="195" spans="64:64" ht="14.25" customHeight="1">
      <c r="BL195" s="184"/>
    </row>
    <row r="196" spans="64:64" ht="14.25" customHeight="1">
      <c r="BL196" s="184"/>
    </row>
    <row r="197" spans="64:64" ht="14.25" customHeight="1">
      <c r="BL197" s="184"/>
    </row>
    <row r="198" spans="64:64" ht="14.25" customHeight="1">
      <c r="BL198" s="184"/>
    </row>
    <row r="199" spans="64:64" ht="14.25" customHeight="1">
      <c r="BL199" s="184"/>
    </row>
    <row r="200" spans="64:64" ht="14.25" customHeight="1">
      <c r="BL200" s="184"/>
    </row>
    <row r="201" spans="64:64" ht="14.25" customHeight="1">
      <c r="BL201" s="184"/>
    </row>
    <row r="202" spans="64:64" ht="14.25" customHeight="1">
      <c r="BL202" s="184"/>
    </row>
    <row r="203" spans="64:64" ht="14.25" customHeight="1">
      <c r="BL203" s="184"/>
    </row>
    <row r="204" spans="64:64" ht="14.25" customHeight="1">
      <c r="BL204" s="184"/>
    </row>
    <row r="205" spans="64:64" ht="14.25" customHeight="1">
      <c r="BL205" s="184"/>
    </row>
    <row r="206" spans="64:64" ht="14.25" customHeight="1">
      <c r="BL206" s="184"/>
    </row>
    <row r="207" spans="64:64" ht="14.25" customHeight="1">
      <c r="BL207" s="184"/>
    </row>
    <row r="208" spans="64:64" ht="14.25" customHeight="1">
      <c r="BL208" s="184"/>
    </row>
    <row r="209" spans="64:64" ht="14.25" customHeight="1">
      <c r="BL209" s="184"/>
    </row>
    <row r="210" spans="64:64" ht="14.25" customHeight="1">
      <c r="BL210" s="184"/>
    </row>
    <row r="211" spans="64:64" ht="14.25" customHeight="1">
      <c r="BL211" s="184"/>
    </row>
    <row r="212" spans="64:64" ht="14.25" customHeight="1">
      <c r="BL212" s="184"/>
    </row>
    <row r="213" spans="64:64" ht="14.25" customHeight="1">
      <c r="BL213" s="184"/>
    </row>
    <row r="214" spans="64:64" ht="14.25" customHeight="1">
      <c r="BL214" s="184"/>
    </row>
    <row r="215" spans="64:64" ht="14.25" customHeight="1">
      <c r="BL215" s="184"/>
    </row>
    <row r="216" spans="64:64" ht="14.25" customHeight="1">
      <c r="BL216" s="184"/>
    </row>
    <row r="217" spans="64:64" ht="14.25" customHeight="1">
      <c r="BL217" s="184"/>
    </row>
    <row r="218" spans="64:64" ht="14.25" customHeight="1">
      <c r="BL218" s="184"/>
    </row>
    <row r="219" spans="64:64" ht="14.25" customHeight="1">
      <c r="BL219" s="184"/>
    </row>
    <row r="220" spans="64:64" ht="14.25" customHeight="1">
      <c r="BL220" s="184"/>
    </row>
    <row r="221" spans="64:64" ht="14.25" customHeight="1">
      <c r="BL221" s="184"/>
    </row>
    <row r="222" spans="64:64" ht="14.25" customHeight="1">
      <c r="BL222" s="184"/>
    </row>
    <row r="223" spans="64:64" ht="14.25" customHeight="1">
      <c r="BL223" s="184"/>
    </row>
    <row r="224" spans="64:64" ht="14.25" customHeight="1">
      <c r="BL224" s="184"/>
    </row>
  </sheetData>
  <conditionalFormatting sqref="AN4:AP6 D4:AL6 BM6:BS6 BZ6 BU6:BX6">
    <cfRule type="expression" dxfId="347" priority="53" stopIfTrue="1">
      <formula>D$165="A"</formula>
    </cfRule>
    <cfRule type="expression" dxfId="346" priority="54" stopIfTrue="1">
      <formula>D$165="E"</formula>
    </cfRule>
  </conditionalFormatting>
  <conditionalFormatting sqref="AM4:AM6">
    <cfRule type="expression" dxfId="345" priority="51" stopIfTrue="1">
      <formula>AM$165="A"</formula>
    </cfRule>
    <cfRule type="expression" dxfId="344" priority="52" stopIfTrue="1">
      <formula>AM$165="E"</formula>
    </cfRule>
  </conditionalFormatting>
  <conditionalFormatting sqref="AY4:AY6">
    <cfRule type="expression" dxfId="343" priority="49" stopIfTrue="1">
      <formula>AY$165="A"</formula>
    </cfRule>
    <cfRule type="expression" dxfId="342" priority="50" stopIfTrue="1">
      <formula>AY$165="E"</formula>
    </cfRule>
  </conditionalFormatting>
  <conditionalFormatting sqref="AU4:AV6">
    <cfRule type="expression" dxfId="341" priority="47" stopIfTrue="1">
      <formula>AU$165="A"</formula>
    </cfRule>
    <cfRule type="expression" dxfId="340" priority="48" stopIfTrue="1">
      <formula>AU$165="E"</formula>
    </cfRule>
  </conditionalFormatting>
  <conditionalFormatting sqref="AQ4:AQ6">
    <cfRule type="expression" dxfId="339" priority="45" stopIfTrue="1">
      <formula>AQ$165="A"</formula>
    </cfRule>
    <cfRule type="expression" dxfId="338" priority="46" stopIfTrue="1">
      <formula>AQ$165="E"</formula>
    </cfRule>
  </conditionalFormatting>
  <conditionalFormatting sqref="AR4:AR6">
    <cfRule type="expression" dxfId="337" priority="39" stopIfTrue="1">
      <formula>AR$165="A"</formula>
    </cfRule>
    <cfRule type="expression" dxfId="336" priority="40" stopIfTrue="1">
      <formula>AR$165="E"</formula>
    </cfRule>
  </conditionalFormatting>
  <conditionalFormatting sqref="AS4:AT6">
    <cfRule type="expression" dxfId="335" priority="35" stopIfTrue="1">
      <formula>AS$165="A"</formula>
    </cfRule>
    <cfRule type="expression" dxfId="334" priority="36" stopIfTrue="1">
      <formula>AS$165="E"</formula>
    </cfRule>
  </conditionalFormatting>
  <conditionalFormatting sqref="BA4:BC6">
    <cfRule type="expression" dxfId="333" priority="29" stopIfTrue="1">
      <formula>BA$165="A"</formula>
    </cfRule>
    <cfRule type="expression" dxfId="332" priority="30" stopIfTrue="1">
      <formula>BA$165="E"</formula>
    </cfRule>
  </conditionalFormatting>
  <conditionalFormatting sqref="AZ4:AZ6">
    <cfRule type="expression" dxfId="331" priority="27" stopIfTrue="1">
      <formula>AZ$165="A"</formula>
    </cfRule>
    <cfRule type="expression" dxfId="330" priority="28" stopIfTrue="1">
      <formula>AZ$165="E"</formula>
    </cfRule>
  </conditionalFormatting>
  <conditionalFormatting sqref="AW4:AW6">
    <cfRule type="expression" dxfId="329" priority="25" stopIfTrue="1">
      <formula>AW$165="A"</formula>
    </cfRule>
    <cfRule type="expression" dxfId="328" priority="26" stopIfTrue="1">
      <formula>AW$165="E"</formula>
    </cfRule>
  </conditionalFormatting>
  <conditionalFormatting sqref="AX4:AX6">
    <cfRule type="expression" dxfId="327" priority="23" stopIfTrue="1">
      <formula>AX$165="A"</formula>
    </cfRule>
    <cfRule type="expression" dxfId="326" priority="24" stopIfTrue="1">
      <formula>AX$165="E"</formula>
    </cfRule>
  </conditionalFormatting>
  <conditionalFormatting sqref="BE4:BG6">
    <cfRule type="expression" dxfId="325" priority="17" stopIfTrue="1">
      <formula>BE$165="A"</formula>
    </cfRule>
    <cfRule type="expression" dxfId="324" priority="18" stopIfTrue="1">
      <formula>BE$165="E"</formula>
    </cfRule>
  </conditionalFormatting>
  <conditionalFormatting sqref="BD4:BD6">
    <cfRule type="expression" dxfId="323" priority="15" stopIfTrue="1">
      <formula>BD$165="A"</formula>
    </cfRule>
    <cfRule type="expression" dxfId="322" priority="16" stopIfTrue="1">
      <formula>BD$165="E"</formula>
    </cfRule>
  </conditionalFormatting>
  <conditionalFormatting sqref="BY6">
    <cfRule type="expression" dxfId="321" priority="13" stopIfTrue="1">
      <formula>BY$165="A"</formula>
    </cfRule>
    <cfRule type="expression" dxfId="320" priority="14" stopIfTrue="1">
      <formula>BY$165="E"</formula>
    </cfRule>
  </conditionalFormatting>
  <conditionalFormatting sqref="BI4:BK6">
    <cfRule type="expression" dxfId="319" priority="11" stopIfTrue="1">
      <formula>BI$165="A"</formula>
    </cfRule>
    <cfRule type="expression" dxfId="318" priority="12" stopIfTrue="1">
      <formula>BI$165="E"</formula>
    </cfRule>
  </conditionalFormatting>
  <conditionalFormatting sqref="BH4:BH6">
    <cfRule type="expression" dxfId="317" priority="9" stopIfTrue="1">
      <formula>BH$165="A"</formula>
    </cfRule>
    <cfRule type="expression" dxfId="316" priority="10" stopIfTrue="1">
      <formula>BH$165="E"</formula>
    </cfRule>
  </conditionalFormatting>
  <conditionalFormatting sqref="CA6">
    <cfRule type="expression" dxfId="315" priority="5" stopIfTrue="1">
      <formula>CA$165="A"</formula>
    </cfRule>
    <cfRule type="expression" dxfId="314" priority="6" stopIfTrue="1">
      <formula>CA$165="E"</formula>
    </cfRule>
  </conditionalFormatting>
  <conditionalFormatting sqref="BT6">
    <cfRule type="expression" dxfId="313" priority="1" stopIfTrue="1">
      <formula>BT$165="A"</formula>
    </cfRule>
    <cfRule type="expression" dxfId="312" priority="2" stopIfTrue="1">
      <formula>BT$165="E"</formula>
    </cfRule>
  </conditionalFormatting>
  <pageMargins left="0" right="0" top="0" bottom="0" header="0" footer="0"/>
  <pageSetup paperSize="5" scale="47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7"/>
    <pageSetUpPr fitToPage="1"/>
  </sheetPr>
  <dimension ref="A1:CK104"/>
  <sheetViews>
    <sheetView showGridLines="0" zoomScale="85" zoomScaleNormal="85" workbookViewId="0">
      <pane xSplit="3" ySplit="6" topLeftCell="AV7" activePane="bottomRight" state="frozen"/>
      <selection activeCell="AV40" sqref="AV40"/>
      <selection pane="topRight" activeCell="AV40" sqref="AV40"/>
      <selection pane="bottomLeft" activeCell="AV40" sqref="AV40"/>
      <selection pane="bottomRight" activeCell="B4" sqref="B4:BG41"/>
    </sheetView>
  </sheetViews>
  <sheetFormatPr defaultRowHeight="14.25" customHeight="1" outlineLevelRow="2" outlineLevelCol="1"/>
  <cols>
    <col min="1" max="1" width="1.7109375" style="182" customWidth="1"/>
    <col min="2" max="2" width="56" style="182" customWidth="1"/>
    <col min="3" max="3" width="1.7109375" style="182" customWidth="1"/>
    <col min="4" max="39" width="11.42578125" style="182" hidden="1" customWidth="1" outlineLevel="1"/>
    <col min="40" max="40" width="11.42578125" style="182" hidden="1" customWidth="1" outlineLevel="1" collapsed="1"/>
    <col min="41" max="47" width="11.42578125" style="182" hidden="1" customWidth="1" outlineLevel="1"/>
    <col min="48" max="48" width="11.42578125" style="182" customWidth="1" collapsed="1"/>
    <col min="49" max="59" width="11.42578125" style="182" customWidth="1"/>
    <col min="60" max="63" width="11.42578125" style="182" hidden="1" customWidth="1" outlineLevel="1"/>
    <col min="64" max="64" width="9.5703125" style="182" customWidth="1" collapsed="1"/>
    <col min="65" max="69" width="11.42578125" style="182" hidden="1" customWidth="1" outlineLevel="1"/>
    <col min="70" max="70" width="11.42578125" style="182" hidden="1" customWidth="1" outlineLevel="1" collapsed="1"/>
    <col min="71" max="75" width="11.42578125" style="182" hidden="1" customWidth="1" outlineLevel="1"/>
    <col min="76" max="76" width="11.42578125" style="182" customWidth="1" collapsed="1"/>
    <col min="77" max="78" width="11.42578125" style="182" customWidth="1"/>
    <col min="79" max="79" width="11.42578125" style="183" hidden="1" customWidth="1" outlineLevel="1"/>
    <col min="80" max="80" width="11.42578125" style="183" customWidth="1" collapsed="1"/>
    <col min="81" max="82" width="11.42578125" style="183" customWidth="1"/>
    <col min="83" max="83" width="20.42578125" customWidth="1"/>
    <col min="84" max="84" width="9.140625" customWidth="1"/>
    <col min="85" max="85" width="17.28515625" customWidth="1"/>
    <col min="86" max="88" width="9.140625" customWidth="1"/>
    <col min="89" max="16384" width="9.140625" style="182"/>
  </cols>
  <sheetData>
    <row r="1" spans="1:89" ht="20.25">
      <c r="A1" s="200"/>
      <c r="B1" s="202"/>
      <c r="C1" s="200"/>
      <c r="D1" s="417" t="s">
        <v>6</v>
      </c>
      <c r="E1" s="417"/>
      <c r="F1" s="417" t="s">
        <v>6</v>
      </c>
      <c r="G1" s="417"/>
      <c r="H1" s="417" t="s">
        <v>6</v>
      </c>
      <c r="I1" s="417"/>
      <c r="J1" s="417" t="s">
        <v>6</v>
      </c>
      <c r="K1" s="417"/>
      <c r="L1" s="417" t="s">
        <v>6</v>
      </c>
      <c r="M1" s="417"/>
      <c r="N1" s="417" t="s">
        <v>6</v>
      </c>
      <c r="O1" s="417"/>
      <c r="P1" s="417" t="s">
        <v>6</v>
      </c>
      <c r="Q1" s="417"/>
      <c r="R1" s="417" t="s">
        <v>6</v>
      </c>
      <c r="S1" s="417"/>
      <c r="T1" s="417" t="s">
        <v>6</v>
      </c>
      <c r="U1" s="417"/>
      <c r="V1" s="417" t="s">
        <v>6</v>
      </c>
      <c r="W1" s="417"/>
      <c r="X1" s="417" t="s">
        <v>6</v>
      </c>
      <c r="Y1" s="417"/>
      <c r="Z1" s="417" t="s">
        <v>6</v>
      </c>
      <c r="AA1" s="417"/>
      <c r="AB1" s="417" t="s">
        <v>6</v>
      </c>
      <c r="AC1" s="417"/>
      <c r="AD1" s="417" t="s">
        <v>6</v>
      </c>
      <c r="AE1" s="417"/>
      <c r="AF1" s="417" t="s">
        <v>6</v>
      </c>
      <c r="AG1" s="417"/>
      <c r="AH1" s="417" t="s">
        <v>6</v>
      </c>
      <c r="AI1" s="417"/>
      <c r="AJ1" s="417" t="s">
        <v>6</v>
      </c>
      <c r="AK1" s="417"/>
      <c r="AL1" s="417" t="s">
        <v>6</v>
      </c>
      <c r="AM1" s="417"/>
      <c r="AN1" s="417"/>
      <c r="AO1" s="417"/>
      <c r="AP1" s="417"/>
      <c r="AQ1" s="417"/>
      <c r="AR1" s="417"/>
      <c r="AS1" s="417"/>
      <c r="AT1" s="417"/>
      <c r="AU1" s="417"/>
      <c r="AV1" s="417"/>
      <c r="AW1" s="417"/>
      <c r="AX1" s="417"/>
      <c r="AY1" s="417"/>
      <c r="AZ1" s="417"/>
      <c r="BA1" s="417"/>
      <c r="BB1" s="417"/>
      <c r="BC1" s="417"/>
      <c r="BD1" s="417"/>
      <c r="BE1" s="417"/>
      <c r="BF1" s="417"/>
      <c r="BG1" s="417"/>
      <c r="BH1" s="417"/>
      <c r="BI1" s="417"/>
      <c r="BJ1" s="417"/>
      <c r="BK1" s="417"/>
      <c r="BL1" s="417" t="s">
        <v>6</v>
      </c>
      <c r="BM1" s="417"/>
      <c r="BN1" s="417" t="s">
        <v>6</v>
      </c>
      <c r="BO1" s="417"/>
      <c r="BP1" s="417" t="s">
        <v>6</v>
      </c>
      <c r="BQ1" s="417"/>
      <c r="BR1" s="417" t="s">
        <v>6</v>
      </c>
      <c r="BS1" s="417"/>
      <c r="BT1" s="417" t="s">
        <v>6</v>
      </c>
      <c r="BU1" s="417"/>
      <c r="BV1" s="417"/>
      <c r="BW1" s="417"/>
      <c r="BX1" s="417" t="s">
        <v>6</v>
      </c>
      <c r="BY1" s="417"/>
      <c r="BZ1" s="417" t="s">
        <v>6</v>
      </c>
      <c r="CA1" s="201"/>
      <c r="CB1" s="201"/>
      <c r="CC1" s="201"/>
      <c r="CD1" s="201"/>
      <c r="CK1" s="200"/>
    </row>
    <row r="2" spans="1:89" ht="60" customHeight="1">
      <c r="A2" s="200"/>
      <c r="B2" s="416" t="str">
        <f>IS!B2</f>
        <v>Applied Materials Inc.</v>
      </c>
      <c r="C2" s="416"/>
      <c r="D2" s="200"/>
      <c r="E2" s="200"/>
      <c r="F2" s="200"/>
      <c r="G2" s="200"/>
      <c r="H2" s="200"/>
      <c r="I2" s="200"/>
      <c r="J2" s="200"/>
      <c r="K2" s="202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0"/>
      <c r="BM2" s="200"/>
      <c r="BN2" s="202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K2" s="200"/>
    </row>
    <row r="3" spans="1:89" ht="14.25" customHeight="1">
      <c r="A3" s="200"/>
      <c r="B3" s="200"/>
      <c r="C3" s="415"/>
      <c r="D3" s="200"/>
      <c r="E3" s="200"/>
      <c r="F3" s="200"/>
      <c r="G3" s="200"/>
      <c r="H3" s="200"/>
      <c r="I3" s="200"/>
      <c r="J3" s="200"/>
      <c r="K3" s="202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2"/>
      <c r="Y3" s="202"/>
      <c r="Z3" s="202"/>
      <c r="AA3" s="542"/>
      <c r="AB3" s="202"/>
      <c r="AC3" s="202"/>
      <c r="AD3" s="202"/>
      <c r="AE3" s="542"/>
      <c r="AF3" s="202"/>
      <c r="AG3" s="202"/>
      <c r="AH3" s="202"/>
      <c r="AI3" s="542"/>
      <c r="AJ3" s="200"/>
      <c r="AK3" s="200"/>
      <c r="AL3" s="200"/>
      <c r="AM3" s="542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2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00"/>
      <c r="CK3" s="200"/>
    </row>
    <row r="4" spans="1:89" ht="14.25" customHeight="1">
      <c r="A4" s="203"/>
      <c r="B4" s="238" t="s">
        <v>418</v>
      </c>
      <c r="C4" s="410"/>
      <c r="D4" s="541" t="str">
        <f>IS!D4</f>
        <v>1FQ2006</v>
      </c>
      <c r="E4" s="540" t="str">
        <f>IS!E4</f>
        <v>2FQ2006</v>
      </c>
      <c r="F4" s="540" t="str">
        <f>IS!F4</f>
        <v>3FQ2006</v>
      </c>
      <c r="G4" s="539" t="str">
        <f>IS!G4</f>
        <v>4FQ2006</v>
      </c>
      <c r="H4" s="541" t="str">
        <f>IS!H4</f>
        <v>1FQ2007</v>
      </c>
      <c r="I4" s="540" t="str">
        <f>IS!I4</f>
        <v>2FQ2007</v>
      </c>
      <c r="J4" s="540" t="str">
        <f>IS!J4</f>
        <v>3FQ2007</v>
      </c>
      <c r="K4" s="539" t="str">
        <f>IS!K4</f>
        <v>4FQ2007</v>
      </c>
      <c r="L4" s="541" t="str">
        <f>IS!L4</f>
        <v>1FQ2008</v>
      </c>
      <c r="M4" s="540" t="str">
        <f>IS!M4</f>
        <v>2FQ2008</v>
      </c>
      <c r="N4" s="540" t="str">
        <f>IS!N4</f>
        <v>3FQ2008</v>
      </c>
      <c r="O4" s="539" t="str">
        <f>IS!O4</f>
        <v>4FQ2008</v>
      </c>
      <c r="P4" s="541" t="str">
        <f>IS!P4</f>
        <v>1FQ2009</v>
      </c>
      <c r="Q4" s="540" t="str">
        <f>IS!Q4</f>
        <v>2FQ2009</v>
      </c>
      <c r="R4" s="540" t="str">
        <f>IS!R4</f>
        <v>3FQ2009</v>
      </c>
      <c r="S4" s="539" t="str">
        <f>IS!S4</f>
        <v>4FQ2009</v>
      </c>
      <c r="T4" s="541" t="str">
        <f>IS!T4</f>
        <v>1FQ2010</v>
      </c>
      <c r="U4" s="540" t="str">
        <f>IS!U4</f>
        <v>2FQ2010</v>
      </c>
      <c r="V4" s="540" t="str">
        <f>IS!V4</f>
        <v>3FQ2010</v>
      </c>
      <c r="W4" s="539" t="str">
        <f>IS!W4</f>
        <v>4FQ2010</v>
      </c>
      <c r="X4" s="541" t="str">
        <f>IS!X4</f>
        <v>1FQ2011</v>
      </c>
      <c r="Y4" s="540" t="str">
        <f>IS!Y4</f>
        <v>2FQ2011</v>
      </c>
      <c r="Z4" s="540" t="str">
        <f>IS!Z4</f>
        <v>3FQ2011</v>
      </c>
      <c r="AA4" s="539" t="str">
        <f>IS!AA4</f>
        <v>4FQ2011</v>
      </c>
      <c r="AB4" s="541" t="str">
        <f>IS!AB4</f>
        <v>1FQ2012</v>
      </c>
      <c r="AC4" s="540" t="str">
        <f>IS!AC4</f>
        <v>2FQ2012</v>
      </c>
      <c r="AD4" s="540" t="str">
        <f>IS!AD4</f>
        <v>3FQ2012</v>
      </c>
      <c r="AE4" s="539" t="str">
        <f>IS!AE4</f>
        <v>4FQ2012</v>
      </c>
      <c r="AF4" s="541" t="str">
        <f>IS!AF4</f>
        <v>1FQ2013</v>
      </c>
      <c r="AG4" s="540" t="str">
        <f>IS!AG4</f>
        <v>2FQ2013</v>
      </c>
      <c r="AH4" s="540" t="str">
        <f>IS!AH4</f>
        <v>3FQ2013</v>
      </c>
      <c r="AI4" s="539" t="str">
        <f>IS!AI4</f>
        <v>4FQ2013</v>
      </c>
      <c r="AJ4" s="541" t="str">
        <f>IS!AJ4</f>
        <v>1FQ2014</v>
      </c>
      <c r="AK4" s="540" t="str">
        <f>IS!AK4</f>
        <v>2FQ2014</v>
      </c>
      <c r="AL4" s="540" t="str">
        <f>IS!AL4</f>
        <v>3FQ2014</v>
      </c>
      <c r="AM4" s="539" t="str">
        <f>IS!AM4</f>
        <v>4FQ2014</v>
      </c>
      <c r="AN4" s="541" t="str">
        <f>IS!AN4</f>
        <v>1FQ2015</v>
      </c>
      <c r="AO4" s="540" t="str">
        <f>IS!AO4</f>
        <v>2FQ2015</v>
      </c>
      <c r="AP4" s="540" t="str">
        <f>IS!AP4</f>
        <v>3FQ2015</v>
      </c>
      <c r="AQ4" s="539" t="str">
        <f>IS!AQ4</f>
        <v>4FQ2015</v>
      </c>
      <c r="AR4" s="668" t="str">
        <f>IS!AR4</f>
        <v>1FQ2016</v>
      </c>
      <c r="AS4" s="669" t="str">
        <f>IS!AS4</f>
        <v>2FQ2016</v>
      </c>
      <c r="AT4" s="540" t="str">
        <f>IS!AT4</f>
        <v>3FQ2016</v>
      </c>
      <c r="AU4" s="539" t="str">
        <f>IS!AU4</f>
        <v>4FQ2016</v>
      </c>
      <c r="AV4" s="541" t="str">
        <f>IS!AV4</f>
        <v>1FQ2017</v>
      </c>
      <c r="AW4" s="669" t="str">
        <f>IS!AW4</f>
        <v>2FQ2017</v>
      </c>
      <c r="AX4" s="540" t="str">
        <f>IS!AX4</f>
        <v>3FQ2017</v>
      </c>
      <c r="AY4" s="539" t="str">
        <f>IS!AY4</f>
        <v>4FQ2017</v>
      </c>
      <c r="AZ4" s="541" t="str">
        <f>IS!AZ4</f>
        <v>1FQ2018</v>
      </c>
      <c r="BA4" s="540" t="str">
        <f>IS!BA4</f>
        <v>2FQ2018</v>
      </c>
      <c r="BB4" s="540" t="str">
        <f>IS!BB4</f>
        <v>3FQ2018</v>
      </c>
      <c r="BC4" s="539" t="str">
        <f>IS!BC4</f>
        <v>4FQ2018</v>
      </c>
      <c r="BD4" s="541" t="str">
        <f>IS!BD4</f>
        <v>1FQ2019</v>
      </c>
      <c r="BE4" s="540" t="str">
        <f>IS!BE4</f>
        <v>2FQ2019</v>
      </c>
      <c r="BF4" s="540" t="str">
        <f>IS!BF4</f>
        <v>3FQ2019</v>
      </c>
      <c r="BG4" s="539" t="str">
        <f>IS!BG4</f>
        <v>4FQ2019</v>
      </c>
      <c r="BH4" s="541" t="str">
        <f>IS!BH4</f>
        <v>1FQ2020</v>
      </c>
      <c r="BI4" s="540" t="str">
        <f>IS!BI4</f>
        <v>2FQ2020</v>
      </c>
      <c r="BJ4" s="540" t="str">
        <f>IS!BJ4</f>
        <v>3FQ2020</v>
      </c>
      <c r="BK4" s="539" t="str">
        <f>IS!BK4</f>
        <v>4FQ2020</v>
      </c>
      <c r="BL4" s="203"/>
      <c r="BM4" s="203"/>
      <c r="BN4" s="206"/>
      <c r="BO4" s="203"/>
      <c r="BP4" s="203"/>
      <c r="BQ4" s="203"/>
      <c r="BR4" s="203"/>
      <c r="BS4" s="203"/>
      <c r="BT4" s="733"/>
      <c r="BU4" s="733"/>
      <c r="BV4" s="203"/>
      <c r="BW4" s="203"/>
      <c r="BX4" s="203"/>
      <c r="BY4" s="733"/>
      <c r="BZ4" s="203"/>
      <c r="CA4" s="203"/>
      <c r="CB4" s="733"/>
      <c r="CC4" s="733"/>
      <c r="CD4" s="733"/>
      <c r="CK4" s="203"/>
    </row>
    <row r="5" spans="1:89" ht="14.25" customHeight="1">
      <c r="A5" s="203"/>
      <c r="B5" s="409" t="str">
        <f>IS!B5</f>
        <v>($ in millions; fiscal year ends in October)</v>
      </c>
      <c r="C5" s="408"/>
      <c r="D5" s="541">
        <f>IS!D5</f>
        <v>38748</v>
      </c>
      <c r="E5" s="540">
        <f>IS!E5</f>
        <v>38837</v>
      </c>
      <c r="F5" s="540">
        <f>IS!F5</f>
        <v>38929</v>
      </c>
      <c r="G5" s="539">
        <f>IS!G5</f>
        <v>39021</v>
      </c>
      <c r="H5" s="541">
        <f>IS!H5</f>
        <v>39113</v>
      </c>
      <c r="I5" s="540">
        <f>IS!I5</f>
        <v>39202</v>
      </c>
      <c r="J5" s="540">
        <f>IS!J5</f>
        <v>39294</v>
      </c>
      <c r="K5" s="539">
        <f>IS!K5</f>
        <v>39386</v>
      </c>
      <c r="L5" s="541">
        <f>IS!L5</f>
        <v>39478</v>
      </c>
      <c r="M5" s="540">
        <f>IS!M5</f>
        <v>39568</v>
      </c>
      <c r="N5" s="540">
        <f>IS!N5</f>
        <v>39660</v>
      </c>
      <c r="O5" s="539">
        <f>IS!O5</f>
        <v>39752</v>
      </c>
      <c r="P5" s="541">
        <f>IS!P5</f>
        <v>39844</v>
      </c>
      <c r="Q5" s="540">
        <f>IS!Q5</f>
        <v>39933</v>
      </c>
      <c r="R5" s="540">
        <f>IS!R5</f>
        <v>40025</v>
      </c>
      <c r="S5" s="539">
        <f>IS!S5</f>
        <v>40117</v>
      </c>
      <c r="T5" s="541">
        <f>IS!T5</f>
        <v>40209</v>
      </c>
      <c r="U5" s="540">
        <f>IS!U5</f>
        <v>40298</v>
      </c>
      <c r="V5" s="540">
        <f>IS!V5</f>
        <v>40390</v>
      </c>
      <c r="W5" s="539">
        <f>IS!W5</f>
        <v>40482</v>
      </c>
      <c r="X5" s="541">
        <f>IS!X5</f>
        <v>40574</v>
      </c>
      <c r="Y5" s="540">
        <f>IS!Y5</f>
        <v>40663</v>
      </c>
      <c r="Z5" s="540">
        <f>IS!Z5</f>
        <v>40755</v>
      </c>
      <c r="AA5" s="539">
        <f>IS!AA5</f>
        <v>40847</v>
      </c>
      <c r="AB5" s="541">
        <f>IS!AB5</f>
        <v>40939</v>
      </c>
      <c r="AC5" s="540">
        <f>IS!AC5</f>
        <v>41029</v>
      </c>
      <c r="AD5" s="540">
        <f>IS!AD5</f>
        <v>41121</v>
      </c>
      <c r="AE5" s="539">
        <f>IS!AE5</f>
        <v>41213</v>
      </c>
      <c r="AF5" s="541">
        <f>IS!AF5</f>
        <v>41305</v>
      </c>
      <c r="AG5" s="540">
        <f>IS!AG5</f>
        <v>41394</v>
      </c>
      <c r="AH5" s="540">
        <f>IS!AH5</f>
        <v>41486</v>
      </c>
      <c r="AI5" s="539">
        <f>IS!AI5</f>
        <v>41578</v>
      </c>
      <c r="AJ5" s="541">
        <f>IS!AJ5</f>
        <v>41670</v>
      </c>
      <c r="AK5" s="540">
        <f>IS!AK5</f>
        <v>41759</v>
      </c>
      <c r="AL5" s="540">
        <f>IS!AL5</f>
        <v>41851</v>
      </c>
      <c r="AM5" s="539">
        <f>IS!AM5</f>
        <v>41943</v>
      </c>
      <c r="AN5" s="541">
        <f>IS!AN5</f>
        <v>42035</v>
      </c>
      <c r="AO5" s="540">
        <f>IS!AO5</f>
        <v>42124</v>
      </c>
      <c r="AP5" s="540">
        <f>IS!AP5</f>
        <v>42216</v>
      </c>
      <c r="AQ5" s="539">
        <f>IS!AQ5</f>
        <v>42308</v>
      </c>
      <c r="AR5" s="668">
        <f>IS!AR5</f>
        <v>42400</v>
      </c>
      <c r="AS5" s="669">
        <f>IS!AS5</f>
        <v>42490</v>
      </c>
      <c r="AT5" s="540">
        <f>IS!AT5</f>
        <v>42582</v>
      </c>
      <c r="AU5" s="539">
        <f>IS!AU5</f>
        <v>42674</v>
      </c>
      <c r="AV5" s="541">
        <f>IS!AV5</f>
        <v>42766</v>
      </c>
      <c r="AW5" s="669">
        <f>IS!AW5</f>
        <v>42855</v>
      </c>
      <c r="AX5" s="540">
        <f>IS!AX5</f>
        <v>42947</v>
      </c>
      <c r="AY5" s="539">
        <f>IS!AY5</f>
        <v>43039</v>
      </c>
      <c r="AZ5" s="541">
        <f>IS!AZ5</f>
        <v>43131</v>
      </c>
      <c r="BA5" s="540">
        <f>IS!BA5</f>
        <v>43220</v>
      </c>
      <c r="BB5" s="540">
        <f>IS!BB5</f>
        <v>43312</v>
      </c>
      <c r="BC5" s="539">
        <f>IS!BC5</f>
        <v>43404</v>
      </c>
      <c r="BD5" s="541">
        <f>IS!BD5</f>
        <v>43496</v>
      </c>
      <c r="BE5" s="540">
        <f>IS!BE5</f>
        <v>43585</v>
      </c>
      <c r="BF5" s="540">
        <f>IS!BF5</f>
        <v>43677</v>
      </c>
      <c r="BG5" s="539">
        <f>IS!BG5</f>
        <v>43769</v>
      </c>
      <c r="BH5" s="541">
        <f>IS!BH5</f>
        <v>43861</v>
      </c>
      <c r="BI5" s="540">
        <f>IS!BI5</f>
        <v>43951</v>
      </c>
      <c r="BJ5" s="540">
        <f>IS!BJ5</f>
        <v>44043</v>
      </c>
      <c r="BK5" s="539">
        <f>IS!BK5</f>
        <v>44135</v>
      </c>
      <c r="BL5" s="232"/>
      <c r="BM5" s="204"/>
      <c r="BN5" s="206"/>
      <c r="BO5" s="203"/>
      <c r="BP5" s="203"/>
      <c r="BQ5" s="203"/>
      <c r="BR5" s="203"/>
      <c r="BS5" s="203"/>
      <c r="BT5" s="733"/>
      <c r="BU5" s="733"/>
      <c r="BV5" s="203"/>
      <c r="BW5" s="206"/>
      <c r="BX5" s="206"/>
      <c r="BY5" s="206"/>
      <c r="BZ5" s="203"/>
      <c r="CA5" s="203"/>
      <c r="CB5" s="733"/>
      <c r="CC5" s="733"/>
      <c r="CD5" s="733"/>
      <c r="CK5" s="203"/>
    </row>
    <row r="6" spans="1:89" ht="14.25" customHeight="1">
      <c r="A6" s="203"/>
      <c r="B6" s="662"/>
      <c r="C6" s="631"/>
      <c r="D6" s="397" t="str">
        <f>IS!D6</f>
        <v>1Q06</v>
      </c>
      <c r="E6" s="396" t="str">
        <f>IS!E6</f>
        <v>2Q06</v>
      </c>
      <c r="F6" s="396" t="str">
        <f>IS!F6</f>
        <v>3Q06</v>
      </c>
      <c r="G6" s="398" t="str">
        <f>IS!G6</f>
        <v>4Q06</v>
      </c>
      <c r="H6" s="397" t="str">
        <f>IS!H6</f>
        <v>1Q07</v>
      </c>
      <c r="I6" s="396" t="str">
        <f>IS!I6</f>
        <v>2Q07</v>
      </c>
      <c r="J6" s="396" t="str">
        <f>IS!J6</f>
        <v>3Q07</v>
      </c>
      <c r="K6" s="398" t="str">
        <f>IS!K6</f>
        <v>4Q07</v>
      </c>
      <c r="L6" s="397" t="str">
        <f>IS!L6</f>
        <v>1Q08</v>
      </c>
      <c r="M6" s="396" t="str">
        <f>IS!M6</f>
        <v>2Q08</v>
      </c>
      <c r="N6" s="396" t="str">
        <f>IS!N6</f>
        <v>3Q08</v>
      </c>
      <c r="O6" s="398" t="str">
        <f>IS!O6</f>
        <v>4Q08</v>
      </c>
      <c r="P6" s="397" t="str">
        <f>IS!P6</f>
        <v>1Q09</v>
      </c>
      <c r="Q6" s="396" t="str">
        <f>IS!Q6</f>
        <v>2Q09</v>
      </c>
      <c r="R6" s="396" t="str">
        <f>IS!R6</f>
        <v>3Q09</v>
      </c>
      <c r="S6" s="398" t="str">
        <f>IS!S6</f>
        <v>4Q09</v>
      </c>
      <c r="T6" s="397" t="str">
        <f>IS!T6</f>
        <v>1Q10</v>
      </c>
      <c r="U6" s="396" t="str">
        <f>IS!U6</f>
        <v>2Q10</v>
      </c>
      <c r="V6" s="396" t="str">
        <f>IS!V6</f>
        <v>3Q10</v>
      </c>
      <c r="W6" s="398" t="str">
        <f>IS!W6</f>
        <v>4Q10</v>
      </c>
      <c r="X6" s="397" t="str">
        <f>IS!X6</f>
        <v>1Q11</v>
      </c>
      <c r="Y6" s="396" t="str">
        <f>IS!Y6</f>
        <v>2Q11</v>
      </c>
      <c r="Z6" s="396" t="str">
        <f>IS!Z6</f>
        <v>3Q11</v>
      </c>
      <c r="AA6" s="398" t="str">
        <f>IS!AA6</f>
        <v>4Q11</v>
      </c>
      <c r="AB6" s="397" t="str">
        <f>IS!AB6</f>
        <v>1Q12</v>
      </c>
      <c r="AC6" s="396" t="str">
        <f>IS!AC6</f>
        <v>2Q12</v>
      </c>
      <c r="AD6" s="396" t="str">
        <f>IS!AD6</f>
        <v>3Q12</v>
      </c>
      <c r="AE6" s="398" t="str">
        <f>IS!AE6</f>
        <v>4Q12</v>
      </c>
      <c r="AF6" s="397" t="str">
        <f>IS!AF6</f>
        <v>1Q13</v>
      </c>
      <c r="AG6" s="396" t="str">
        <f>IS!AG6</f>
        <v>2Q13</v>
      </c>
      <c r="AH6" s="396" t="str">
        <f>IS!AH6</f>
        <v>3Q13</v>
      </c>
      <c r="AI6" s="398" t="str">
        <f>IS!AI6</f>
        <v>4Q13</v>
      </c>
      <c r="AJ6" s="397" t="str">
        <f>IS!AJ6</f>
        <v>1Q14</v>
      </c>
      <c r="AK6" s="396" t="str">
        <f>IS!AK6</f>
        <v>2Q14</v>
      </c>
      <c r="AL6" s="396" t="str">
        <f>IS!AL6</f>
        <v>3Q14</v>
      </c>
      <c r="AM6" s="398" t="str">
        <f>IS!AM6</f>
        <v>4Q14</v>
      </c>
      <c r="AN6" s="397" t="str">
        <f>IS!AN6</f>
        <v>1Q15</v>
      </c>
      <c r="AO6" s="396" t="str">
        <f>IS!AO6</f>
        <v>2Q15</v>
      </c>
      <c r="AP6" s="396" t="str">
        <f>IS!AP6</f>
        <v>3Q15</v>
      </c>
      <c r="AQ6" s="398" t="str">
        <f>IS!AQ6</f>
        <v>4Q15</v>
      </c>
      <c r="AR6" s="670" t="str">
        <f>IS!AR6</f>
        <v>1Q16</v>
      </c>
      <c r="AS6" s="671" t="str">
        <f>IS!AS6</f>
        <v>2Q16</v>
      </c>
      <c r="AT6" s="396" t="str">
        <f>IS!AT6</f>
        <v>3Q16</v>
      </c>
      <c r="AU6" s="398" t="str">
        <f>IS!AU6</f>
        <v>4Q16</v>
      </c>
      <c r="AV6" s="397" t="str">
        <f>IS!AV6</f>
        <v>1Q17</v>
      </c>
      <c r="AW6" s="671" t="str">
        <f>IS!AW6</f>
        <v>2Q17</v>
      </c>
      <c r="AX6" s="396" t="str">
        <f>IS!AX6</f>
        <v>3Q17</v>
      </c>
      <c r="AY6" s="398" t="str">
        <f>IS!AY6</f>
        <v>4Q17</v>
      </c>
      <c r="AZ6" s="397" t="str">
        <f>IS!AZ6</f>
        <v>1Q18</v>
      </c>
      <c r="BA6" s="396" t="str">
        <f>IS!BA6</f>
        <v>2Q18e</v>
      </c>
      <c r="BB6" s="396" t="str">
        <f>IS!BB6</f>
        <v>3Q18e</v>
      </c>
      <c r="BC6" s="398" t="str">
        <f>IS!BC6</f>
        <v>4Q18e</v>
      </c>
      <c r="BD6" s="397" t="str">
        <f>IS!BD6</f>
        <v>1Q19e</v>
      </c>
      <c r="BE6" s="396" t="str">
        <f>IS!BE6</f>
        <v>2Q19e</v>
      </c>
      <c r="BF6" s="396" t="str">
        <f>IS!BF6</f>
        <v>3Q19e</v>
      </c>
      <c r="BG6" s="398" t="str">
        <f>IS!BG6</f>
        <v>4Q19e</v>
      </c>
      <c r="BH6" s="397" t="str">
        <f>IS!BH6</f>
        <v>1Q20e</v>
      </c>
      <c r="BI6" s="396" t="str">
        <f>IS!BI6</f>
        <v>2Q20e</v>
      </c>
      <c r="BJ6" s="396" t="str">
        <f>IS!BJ6</f>
        <v>3Q20e</v>
      </c>
      <c r="BK6" s="398" t="str">
        <f>IS!BK6</f>
        <v>4Q20e</v>
      </c>
      <c r="BL6" s="232"/>
      <c r="BM6" s="394" t="str">
        <f>IS!BM6</f>
        <v>FY2006A</v>
      </c>
      <c r="BN6" s="394" t="str">
        <f>IS!BN6</f>
        <v>FY2007A</v>
      </c>
      <c r="BO6" s="394" t="str">
        <f>IS!BO6</f>
        <v>FY2008A</v>
      </c>
      <c r="BP6" s="394" t="str">
        <f>IS!BP6</f>
        <v>FY2009A</v>
      </c>
      <c r="BQ6" s="394" t="str">
        <f>IS!BQ6</f>
        <v>FY2010A</v>
      </c>
      <c r="BR6" s="394" t="str">
        <f>IS!BR6</f>
        <v>FY2011A</v>
      </c>
      <c r="BS6" s="394" t="str">
        <f>IS!BS6</f>
        <v>FY2012A</v>
      </c>
      <c r="BT6" s="723" t="str">
        <f>IS!BT6</f>
        <v>FY2013A</v>
      </c>
      <c r="BU6" s="723" t="str">
        <f>IS!BU6</f>
        <v>FY2014A</v>
      </c>
      <c r="BV6" s="395" t="str">
        <f>IS!BV6</f>
        <v>FY2015A</v>
      </c>
      <c r="BW6" s="395" t="str">
        <f>IS!BW6</f>
        <v>FY2016A</v>
      </c>
      <c r="BX6" s="395" t="str">
        <f>IS!BX6</f>
        <v>FY2017A</v>
      </c>
      <c r="BY6" s="395" t="str">
        <f>IS!BY6</f>
        <v>FY2018E</v>
      </c>
      <c r="BZ6" s="723" t="str">
        <f>IS!BZ6</f>
        <v>FY2019E</v>
      </c>
      <c r="CA6" s="398" t="str">
        <f>IS!CA6</f>
        <v>FY2020E</v>
      </c>
      <c r="CB6" s="734"/>
      <c r="CC6" s="734"/>
      <c r="CD6" s="734"/>
      <c r="CK6" s="206"/>
    </row>
    <row r="7" spans="1:89" ht="14.25" customHeight="1">
      <c r="A7" s="203"/>
      <c r="B7" s="531" t="s">
        <v>14</v>
      </c>
      <c r="C7" s="530"/>
      <c r="D7" s="502"/>
      <c r="E7" s="500"/>
      <c r="F7" s="500"/>
      <c r="G7" s="501"/>
      <c r="H7" s="502"/>
      <c r="I7" s="500"/>
      <c r="J7" s="500"/>
      <c r="K7" s="501"/>
      <c r="L7" s="502"/>
      <c r="M7" s="500"/>
      <c r="N7" s="500"/>
      <c r="O7" s="501"/>
      <c r="P7" s="502"/>
      <c r="Q7" s="500"/>
      <c r="R7" s="500"/>
      <c r="S7" s="501"/>
      <c r="T7" s="502"/>
      <c r="U7" s="500"/>
      <c r="V7" s="255"/>
      <c r="W7" s="500"/>
      <c r="X7" s="502"/>
      <c r="Y7" s="500"/>
      <c r="Z7" s="255"/>
      <c r="AA7" s="500"/>
      <c r="AB7" s="502"/>
      <c r="AC7" s="500"/>
      <c r="AD7" s="500"/>
      <c r="AE7" s="501"/>
      <c r="AF7" s="502"/>
      <c r="AG7" s="500"/>
      <c r="AH7" s="500"/>
      <c r="AI7" s="501"/>
      <c r="AJ7" s="502"/>
      <c r="AK7" s="500"/>
      <c r="AL7" s="500"/>
      <c r="AM7" s="501"/>
      <c r="AN7" s="502"/>
      <c r="AO7" s="500"/>
      <c r="AP7" s="500"/>
      <c r="AQ7" s="501"/>
      <c r="AR7" s="500"/>
      <c r="AS7" s="500"/>
      <c r="AT7" s="500"/>
      <c r="AU7" s="501"/>
      <c r="AV7" s="500"/>
      <c r="AW7" s="500"/>
      <c r="AX7" s="500"/>
      <c r="AY7" s="501"/>
      <c r="AZ7" s="538"/>
      <c r="BA7" s="537"/>
      <c r="BB7" s="537"/>
      <c r="BC7" s="501"/>
      <c r="BD7" s="538"/>
      <c r="BE7" s="537"/>
      <c r="BF7" s="537"/>
      <c r="BG7" s="501"/>
      <c r="BH7" s="538"/>
      <c r="BI7" s="537"/>
      <c r="BJ7" s="537"/>
      <c r="BK7" s="501"/>
      <c r="BL7" s="215"/>
      <c r="BM7" s="537"/>
      <c r="BN7" s="537"/>
      <c r="BO7" s="537"/>
      <c r="BP7" s="537"/>
      <c r="BQ7" s="537"/>
      <c r="BR7" s="537"/>
      <c r="BS7" s="537"/>
      <c r="BT7" s="537"/>
      <c r="BU7" s="537"/>
      <c r="BV7" s="537"/>
      <c r="BW7" s="537"/>
      <c r="BX7" s="537"/>
      <c r="BY7" s="537"/>
      <c r="BZ7" s="780"/>
      <c r="CA7" s="780"/>
      <c r="CB7" s="734"/>
      <c r="CC7" s="734"/>
      <c r="CD7" s="734"/>
      <c r="CK7" s="206"/>
    </row>
    <row r="8" spans="1:89" ht="14.25" customHeight="1">
      <c r="A8" s="203"/>
      <c r="B8" s="227" t="s">
        <v>5</v>
      </c>
      <c r="C8" s="331"/>
      <c r="D8" s="296">
        <v>1107.299</v>
      </c>
      <c r="E8" s="297">
        <v>1376.68</v>
      </c>
      <c r="F8" s="297">
        <v>1308.4569999999999</v>
      </c>
      <c r="G8" s="286">
        <v>861.46299999999951</v>
      </c>
      <c r="H8" s="296">
        <v>1068.615</v>
      </c>
      <c r="I8" s="297">
        <v>932.04400000000112</v>
      </c>
      <c r="J8" s="297">
        <v>1112.675</v>
      </c>
      <c r="K8" s="286">
        <v>1202.7220000000004</v>
      </c>
      <c r="L8" s="296">
        <v>1215.6490000000006</v>
      </c>
      <c r="M8" s="297">
        <v>1098.2590000000007</v>
      </c>
      <c r="N8" s="297">
        <v>1140.5320000000006</v>
      </c>
      <c r="O8" s="286">
        <v>1411.624</v>
      </c>
      <c r="P8" s="296">
        <v>1366.1960000000001</v>
      </c>
      <c r="Q8" s="297">
        <v>1466.9760000000001</v>
      </c>
      <c r="R8" s="297">
        <v>1555.47</v>
      </c>
      <c r="S8" s="286">
        <v>1576.3810000000003</v>
      </c>
      <c r="T8" s="297">
        <v>1399.0540000000003</v>
      </c>
      <c r="U8" s="297">
        <v>1596.4290000000003</v>
      </c>
      <c r="V8" s="297">
        <v>1564.337</v>
      </c>
      <c r="W8" s="297">
        <v>1857.6639999999998</v>
      </c>
      <c r="X8" s="296">
        <v>1974</v>
      </c>
      <c r="Y8" s="297">
        <v>2558</v>
      </c>
      <c r="Z8" s="297">
        <v>5018</v>
      </c>
      <c r="AA8" s="297">
        <v>5960</v>
      </c>
      <c r="AB8" s="296">
        <v>1681</v>
      </c>
      <c r="AC8" s="297">
        <v>1761</v>
      </c>
      <c r="AD8" s="297">
        <v>1529</v>
      </c>
      <c r="AE8" s="297">
        <v>1392</v>
      </c>
      <c r="AF8" s="296">
        <v>1523</v>
      </c>
      <c r="AG8" s="297">
        <v>1545</v>
      </c>
      <c r="AH8" s="297">
        <v>1745</v>
      </c>
      <c r="AI8" s="297">
        <v>1711</v>
      </c>
      <c r="AJ8" s="296">
        <v>2144</v>
      </c>
      <c r="AK8" s="297">
        <v>2453</v>
      </c>
      <c r="AL8" s="297">
        <v>2726</v>
      </c>
      <c r="AM8" s="297">
        <v>3002</v>
      </c>
      <c r="AN8" s="296">
        <v>2929</v>
      </c>
      <c r="AO8" s="297">
        <v>3067</v>
      </c>
      <c r="AP8" s="297">
        <v>2574</v>
      </c>
      <c r="AQ8" s="286">
        <v>4797</v>
      </c>
      <c r="AR8" s="296">
        <v>2962</v>
      </c>
      <c r="AS8" s="297">
        <v>2470</v>
      </c>
      <c r="AT8" s="297">
        <v>2828</v>
      </c>
      <c r="AU8" s="286">
        <v>3406</v>
      </c>
      <c r="AV8" s="296">
        <v>3491</v>
      </c>
      <c r="AW8" s="297">
        <v>4944</v>
      </c>
      <c r="AX8" s="297">
        <v>5278</v>
      </c>
      <c r="AY8" s="286">
        <v>5010</v>
      </c>
      <c r="AZ8" s="296">
        <v>6799</v>
      </c>
      <c r="BA8" s="225">
        <f>AZ8+CFS!BA53</f>
        <v>5930.2725488823908</v>
      </c>
      <c r="BB8" s="225">
        <f>BA8+CFS!BB53</f>
        <v>6113.4818115431226</v>
      </c>
      <c r="BC8" s="282">
        <f>BB8+CFS!BC53</f>
        <v>6182.9333549875992</v>
      </c>
      <c r="BD8" s="737">
        <f>BC8+CFS!BD53</f>
        <v>6274.955038450069</v>
      </c>
      <c r="BE8" s="737">
        <f>BD8+CFS!BE53</f>
        <v>6221.0668106489438</v>
      </c>
      <c r="BF8" s="737">
        <f>BE8+CFS!BF53</f>
        <v>6169.6930991123336</v>
      </c>
      <c r="BG8" s="282">
        <f>BF8+CFS!BG53</f>
        <v>6118.6835916909658</v>
      </c>
      <c r="BH8" s="737">
        <f>BG8+CFS!BH53</f>
        <v>6159.6984614245566</v>
      </c>
      <c r="BI8" s="737">
        <f>BH8+CFS!BI53</f>
        <v>6149.9775238358379</v>
      </c>
      <c r="BJ8" s="737">
        <f>BI8+CFS!BJ53</f>
        <v>6152.9880129270095</v>
      </c>
      <c r="BK8" s="282">
        <f>BJ8+CFS!BK53</f>
        <v>6201.4804271332368</v>
      </c>
      <c r="BL8" s="522"/>
      <c r="BM8" s="225">
        <f t="shared" ref="BM8:BM13" si="0">G8</f>
        <v>861.46299999999951</v>
      </c>
      <c r="BN8" s="225">
        <f t="shared" ref="BN8:BN13" si="1">K8</f>
        <v>1202.7220000000004</v>
      </c>
      <c r="BO8" s="225">
        <f t="shared" ref="BO8:BO13" si="2">O8</f>
        <v>1411.624</v>
      </c>
      <c r="BP8" s="225">
        <f t="shared" ref="BP8:BP13" si="3">S8</f>
        <v>1576.3810000000003</v>
      </c>
      <c r="BQ8" s="225">
        <f t="shared" ref="BQ8:BQ13" si="4">W8</f>
        <v>1857.6639999999998</v>
      </c>
      <c r="BR8" s="225">
        <f t="shared" ref="BR8:BR13" si="5">AA8</f>
        <v>5960</v>
      </c>
      <c r="BS8" s="225">
        <f t="shared" ref="BS8:BS13" si="6">AE8</f>
        <v>1392</v>
      </c>
      <c r="BT8" s="737">
        <f t="shared" ref="BT8:BT13" si="7">AI8</f>
        <v>1711</v>
      </c>
      <c r="BU8" s="737">
        <f t="shared" ref="BU8:BU13" si="8">AM8</f>
        <v>3002</v>
      </c>
      <c r="BV8" s="225">
        <f t="shared" ref="BV8:BV13" si="9">AQ8</f>
        <v>4797</v>
      </c>
      <c r="BW8" s="225">
        <f t="shared" ref="BW8:BW13" si="10">AU8</f>
        <v>3406</v>
      </c>
      <c r="BX8" s="225">
        <f t="shared" ref="BX8:BX13" si="11">AY8</f>
        <v>5010</v>
      </c>
      <c r="BY8" s="737">
        <f t="shared" ref="BY8:BY13" si="12">BC8</f>
        <v>6182.9333549875992</v>
      </c>
      <c r="BZ8" s="282">
        <f>BG8</f>
        <v>6118.6835916909658</v>
      </c>
      <c r="CA8" s="282">
        <f>BK8</f>
        <v>6201.4804271332368</v>
      </c>
      <c r="CB8" s="734"/>
      <c r="CC8" s="734"/>
      <c r="CD8" s="734"/>
      <c r="CK8" s="206"/>
    </row>
    <row r="9" spans="1:89" ht="14.25" customHeight="1">
      <c r="A9" s="203"/>
      <c r="B9" s="227" t="s">
        <v>161</v>
      </c>
      <c r="C9" s="331"/>
      <c r="D9" s="296">
        <v>4700.8370000000004</v>
      </c>
      <c r="E9" s="297">
        <v>1952.097</v>
      </c>
      <c r="F9" s="297">
        <v>1524.319</v>
      </c>
      <c r="G9" s="286">
        <v>1035.875</v>
      </c>
      <c r="H9" s="296">
        <v>1014.205</v>
      </c>
      <c r="I9" s="297">
        <v>1085.749</v>
      </c>
      <c r="J9" s="297">
        <v>1295.261</v>
      </c>
      <c r="K9" s="286">
        <v>1166.857</v>
      </c>
      <c r="L9" s="296">
        <v>689.90700000000004</v>
      </c>
      <c r="M9" s="297">
        <v>1357.097</v>
      </c>
      <c r="N9" s="297">
        <v>1157.143</v>
      </c>
      <c r="O9" s="286">
        <v>689.04399999999998</v>
      </c>
      <c r="P9" s="296">
        <v>551.19600000000003</v>
      </c>
      <c r="Q9" s="297">
        <v>597.38900000000001</v>
      </c>
      <c r="R9" s="297">
        <v>583.18799999999999</v>
      </c>
      <c r="S9" s="286">
        <v>638.34900000000005</v>
      </c>
      <c r="T9" s="297">
        <v>755.12199999999996</v>
      </c>
      <c r="U9" s="297">
        <v>738.43299999999999</v>
      </c>
      <c r="V9" s="297">
        <v>783.79899999999998</v>
      </c>
      <c r="W9" s="286">
        <v>726.91800000000001</v>
      </c>
      <c r="X9" s="297">
        <v>772</v>
      </c>
      <c r="Y9" s="297">
        <v>750</v>
      </c>
      <c r="Z9" s="297">
        <v>739</v>
      </c>
      <c r="AA9" s="286">
        <v>283</v>
      </c>
      <c r="AB9" s="297">
        <v>316</v>
      </c>
      <c r="AC9" s="297">
        <v>409</v>
      </c>
      <c r="AD9" s="297">
        <v>635</v>
      </c>
      <c r="AE9" s="286">
        <v>545</v>
      </c>
      <c r="AF9" s="297">
        <v>230</v>
      </c>
      <c r="AG9" s="297">
        <v>225</v>
      </c>
      <c r="AH9" s="297">
        <v>230</v>
      </c>
      <c r="AI9" s="286">
        <v>180</v>
      </c>
      <c r="AJ9" s="297">
        <v>145</v>
      </c>
      <c r="AK9" s="297">
        <v>146</v>
      </c>
      <c r="AL9" s="297">
        <v>145</v>
      </c>
      <c r="AM9" s="286">
        <v>160</v>
      </c>
      <c r="AN9" s="297">
        <v>158</v>
      </c>
      <c r="AO9" s="297">
        <v>163</v>
      </c>
      <c r="AP9" s="297">
        <v>169</v>
      </c>
      <c r="AQ9" s="286">
        <v>168</v>
      </c>
      <c r="AR9" s="297">
        <v>154</v>
      </c>
      <c r="AS9" s="297">
        <v>170</v>
      </c>
      <c r="AT9" s="297">
        <v>438</v>
      </c>
      <c r="AU9" s="286">
        <v>343</v>
      </c>
      <c r="AV9" s="297">
        <v>656</v>
      </c>
      <c r="AW9" s="297">
        <v>1800</v>
      </c>
      <c r="AX9" s="297">
        <v>1953</v>
      </c>
      <c r="AY9" s="286">
        <v>2266</v>
      </c>
      <c r="AZ9" s="297">
        <v>655</v>
      </c>
      <c r="BA9" s="225">
        <f>AZ9-CFS!BA32-CFS!BA33</f>
        <v>675</v>
      </c>
      <c r="BB9" s="225">
        <f>BA9-CFS!BB32-CFS!BB33</f>
        <v>695</v>
      </c>
      <c r="BC9" s="282">
        <f>BB9-CFS!BC32-CFS!BC33</f>
        <v>715</v>
      </c>
      <c r="BD9" s="737">
        <f>BC9-CFS!BD32-CFS!BD33</f>
        <v>735</v>
      </c>
      <c r="BE9" s="737">
        <f>BD9-CFS!BE32-CFS!BE33</f>
        <v>755</v>
      </c>
      <c r="BF9" s="737">
        <f>BE9-CFS!BF32-CFS!BF33</f>
        <v>775</v>
      </c>
      <c r="BG9" s="282">
        <f>BF9-CFS!BG32-CFS!BG33</f>
        <v>795</v>
      </c>
      <c r="BH9" s="737">
        <f>BG9-CFS!BH32-CFS!BH33</f>
        <v>815</v>
      </c>
      <c r="BI9" s="737">
        <f>BH9-CFS!BI32-CFS!BI33</f>
        <v>835</v>
      </c>
      <c r="BJ9" s="737">
        <f>BI9-CFS!BJ32-CFS!BJ33</f>
        <v>855</v>
      </c>
      <c r="BK9" s="282">
        <f>BJ9-CFS!BK32-CFS!BK33</f>
        <v>875</v>
      </c>
      <c r="BL9" s="522"/>
      <c r="BM9" s="225">
        <f t="shared" si="0"/>
        <v>1035.875</v>
      </c>
      <c r="BN9" s="225">
        <f t="shared" si="1"/>
        <v>1166.857</v>
      </c>
      <c r="BO9" s="225">
        <f t="shared" si="2"/>
        <v>689.04399999999998</v>
      </c>
      <c r="BP9" s="225">
        <f t="shared" si="3"/>
        <v>638.34900000000005</v>
      </c>
      <c r="BQ9" s="225">
        <f t="shared" si="4"/>
        <v>726.91800000000001</v>
      </c>
      <c r="BR9" s="225">
        <f t="shared" si="5"/>
        <v>283</v>
      </c>
      <c r="BS9" s="225">
        <f t="shared" si="6"/>
        <v>545</v>
      </c>
      <c r="BT9" s="737">
        <f t="shared" si="7"/>
        <v>180</v>
      </c>
      <c r="BU9" s="737">
        <f t="shared" si="8"/>
        <v>160</v>
      </c>
      <c r="BV9" s="225">
        <f t="shared" si="9"/>
        <v>168</v>
      </c>
      <c r="BW9" s="225">
        <f t="shared" si="10"/>
        <v>343</v>
      </c>
      <c r="BX9" s="225">
        <f t="shared" si="11"/>
        <v>2266</v>
      </c>
      <c r="BY9" s="737">
        <f t="shared" si="12"/>
        <v>715</v>
      </c>
      <c r="BZ9" s="282">
        <f t="shared" ref="BZ9:BZ13" si="13">BG9</f>
        <v>795</v>
      </c>
      <c r="CA9" s="282">
        <f t="shared" ref="CA9:CA13" si="14">BK9</f>
        <v>875</v>
      </c>
      <c r="CB9" s="734"/>
      <c r="CC9" s="734"/>
      <c r="CD9" s="734"/>
      <c r="CK9" s="206"/>
    </row>
    <row r="10" spans="1:89" ht="14.25" customHeight="1">
      <c r="A10" s="203"/>
      <c r="B10" s="227" t="s">
        <v>404</v>
      </c>
      <c r="C10" s="331"/>
      <c r="D10" s="296">
        <v>1754.5450000000001</v>
      </c>
      <c r="E10" s="297">
        <v>1948.873</v>
      </c>
      <c r="F10" s="297">
        <v>2294.3180000000002</v>
      </c>
      <c r="G10" s="286">
        <v>2026.1990000000001</v>
      </c>
      <c r="H10" s="296">
        <v>2051.6060000000002</v>
      </c>
      <c r="I10" s="297">
        <v>2121.817</v>
      </c>
      <c r="J10" s="297">
        <v>2240.29</v>
      </c>
      <c r="K10" s="286">
        <v>2049.4270000000001</v>
      </c>
      <c r="L10" s="296">
        <v>2014.501</v>
      </c>
      <c r="M10" s="297">
        <v>1729.4870000000001</v>
      </c>
      <c r="N10" s="297">
        <v>1581.213</v>
      </c>
      <c r="O10" s="286">
        <v>1691.027</v>
      </c>
      <c r="P10" s="296">
        <v>1274.8530000000001</v>
      </c>
      <c r="Q10" s="297">
        <v>914.39200000000005</v>
      </c>
      <c r="R10" s="297">
        <v>842.16899999999998</v>
      </c>
      <c r="S10" s="286">
        <v>1041.4949999999999</v>
      </c>
      <c r="T10" s="297">
        <v>1267.4090000000001</v>
      </c>
      <c r="U10" s="297">
        <v>1437.7460000000001</v>
      </c>
      <c r="V10" s="297">
        <v>1721.4960000000001</v>
      </c>
      <c r="W10" s="286">
        <v>1831.0060000000001</v>
      </c>
      <c r="X10" s="296">
        <v>1946</v>
      </c>
      <c r="Y10" s="297">
        <v>1916</v>
      </c>
      <c r="Z10" s="297">
        <v>1812</v>
      </c>
      <c r="AA10" s="286">
        <v>1532</v>
      </c>
      <c r="AB10" s="296">
        <v>1576</v>
      </c>
      <c r="AC10" s="297">
        <v>1785</v>
      </c>
      <c r="AD10" s="297">
        <v>1535</v>
      </c>
      <c r="AE10" s="286">
        <v>1220</v>
      </c>
      <c r="AF10" s="296">
        <v>1109</v>
      </c>
      <c r="AG10" s="297">
        <v>1275</v>
      </c>
      <c r="AH10" s="297">
        <v>1170</v>
      </c>
      <c r="AI10" s="286">
        <v>1633</v>
      </c>
      <c r="AJ10" s="296">
        <v>1510</v>
      </c>
      <c r="AK10" s="297">
        <v>1615</v>
      </c>
      <c r="AL10" s="297">
        <v>1622</v>
      </c>
      <c r="AM10" s="286">
        <v>1670</v>
      </c>
      <c r="AN10" s="296">
        <v>1580</v>
      </c>
      <c r="AO10" s="297">
        <v>1798</v>
      </c>
      <c r="AP10" s="297">
        <v>1991</v>
      </c>
      <c r="AQ10" s="286">
        <v>1739</v>
      </c>
      <c r="AR10" s="296">
        <v>1625</v>
      </c>
      <c r="AS10" s="297">
        <v>1913</v>
      </c>
      <c r="AT10" s="297">
        <v>1852</v>
      </c>
      <c r="AU10" s="286">
        <v>2279</v>
      </c>
      <c r="AV10" s="296">
        <v>2369</v>
      </c>
      <c r="AW10" s="297">
        <v>2381</v>
      </c>
      <c r="AX10" s="297">
        <v>2258</v>
      </c>
      <c r="AY10" s="286">
        <v>2338</v>
      </c>
      <c r="AZ10" s="296">
        <v>2182</v>
      </c>
      <c r="BA10" s="528">
        <f t="shared" ref="BA10:BC10" si="15">BA47/360*BA53*4</f>
        <v>3245.7244111111113</v>
      </c>
      <c r="BB10" s="528">
        <f t="shared" si="15"/>
        <v>3160.6314143055552</v>
      </c>
      <c r="BC10" s="529">
        <f t="shared" si="15"/>
        <v>3180.9349847680555</v>
      </c>
      <c r="BD10" s="528">
        <f t="shared" ref="BD10:BG10" si="16">BD47/360*BD53*4</f>
        <v>3084.8399376518746</v>
      </c>
      <c r="BE10" s="528">
        <f t="shared" si="16"/>
        <v>3112.6031202388299</v>
      </c>
      <c r="BF10" s="528">
        <f t="shared" si="16"/>
        <v>3130.3105902307857</v>
      </c>
      <c r="BG10" s="529">
        <f t="shared" si="16"/>
        <v>3172.895171671028</v>
      </c>
      <c r="BH10" s="528">
        <f t="shared" ref="BH10:BK10" si="17">BH47/360*BH53*4</f>
        <v>3149.1385604003249</v>
      </c>
      <c r="BI10" s="528">
        <f t="shared" si="17"/>
        <v>3176.8318869621899</v>
      </c>
      <c r="BJ10" s="528">
        <f t="shared" si="17"/>
        <v>3209.6688817451595</v>
      </c>
      <c r="BK10" s="529">
        <f t="shared" si="17"/>
        <v>3212.9622312314445</v>
      </c>
      <c r="BL10" s="522"/>
      <c r="BM10" s="225">
        <f t="shared" si="0"/>
        <v>2026.1990000000001</v>
      </c>
      <c r="BN10" s="225">
        <f t="shared" si="1"/>
        <v>2049.4270000000001</v>
      </c>
      <c r="BO10" s="225">
        <f t="shared" si="2"/>
        <v>1691.027</v>
      </c>
      <c r="BP10" s="225">
        <f t="shared" si="3"/>
        <v>1041.4949999999999</v>
      </c>
      <c r="BQ10" s="225">
        <f t="shared" si="4"/>
        <v>1831.0060000000001</v>
      </c>
      <c r="BR10" s="225">
        <f t="shared" si="5"/>
        <v>1532</v>
      </c>
      <c r="BS10" s="225">
        <f t="shared" si="6"/>
        <v>1220</v>
      </c>
      <c r="BT10" s="737">
        <f t="shared" si="7"/>
        <v>1633</v>
      </c>
      <c r="BU10" s="737">
        <f t="shared" si="8"/>
        <v>1670</v>
      </c>
      <c r="BV10" s="225">
        <f t="shared" si="9"/>
        <v>1739</v>
      </c>
      <c r="BW10" s="225">
        <f t="shared" si="10"/>
        <v>2279</v>
      </c>
      <c r="BX10" s="225">
        <f t="shared" si="11"/>
        <v>2338</v>
      </c>
      <c r="BY10" s="737">
        <f t="shared" si="12"/>
        <v>3180.9349847680555</v>
      </c>
      <c r="BZ10" s="282">
        <f t="shared" si="13"/>
        <v>3172.895171671028</v>
      </c>
      <c r="CA10" s="282">
        <f t="shared" si="14"/>
        <v>3212.9622312314445</v>
      </c>
      <c r="CB10" s="734"/>
      <c r="CC10" s="734"/>
      <c r="CD10" s="734"/>
      <c r="CK10" s="206"/>
    </row>
    <row r="11" spans="1:89" ht="14.25" customHeight="1">
      <c r="A11" s="203"/>
      <c r="B11" s="227" t="s">
        <v>87</v>
      </c>
      <c r="C11" s="331"/>
      <c r="D11" s="296">
        <v>1023.175</v>
      </c>
      <c r="E11" s="297">
        <v>1083.3720000000001</v>
      </c>
      <c r="F11" s="297">
        <v>1341.9179999999999</v>
      </c>
      <c r="G11" s="286">
        <v>1406.777</v>
      </c>
      <c r="H11" s="296">
        <v>1518.8820000000001</v>
      </c>
      <c r="I11" s="297">
        <v>1470.6010000000001</v>
      </c>
      <c r="J11" s="297">
        <v>1361.875</v>
      </c>
      <c r="K11" s="286">
        <v>1313.2370000000001</v>
      </c>
      <c r="L11" s="296">
        <v>1387.5119999999999</v>
      </c>
      <c r="M11" s="297">
        <v>1626.239</v>
      </c>
      <c r="N11" s="297">
        <v>1853.316</v>
      </c>
      <c r="O11" s="286">
        <v>1987.0170000000001</v>
      </c>
      <c r="P11" s="296">
        <v>2131.0920000000001</v>
      </c>
      <c r="Q11" s="297">
        <v>1901.0239999999999</v>
      </c>
      <c r="R11" s="297">
        <v>1748.5070000000001</v>
      </c>
      <c r="S11" s="286">
        <v>1627.4570000000001</v>
      </c>
      <c r="T11" s="297">
        <v>1664.269</v>
      </c>
      <c r="U11" s="297">
        <v>1690.4449999999999</v>
      </c>
      <c r="V11" s="297">
        <v>1590.0519999999999</v>
      </c>
      <c r="W11" s="286">
        <v>1547.3779999999999</v>
      </c>
      <c r="X11" s="296">
        <v>1647</v>
      </c>
      <c r="Y11" s="297">
        <v>1794</v>
      </c>
      <c r="Z11" s="297">
        <v>1849</v>
      </c>
      <c r="AA11" s="286">
        <v>1701</v>
      </c>
      <c r="AB11" s="296">
        <v>1772</v>
      </c>
      <c r="AC11" s="297">
        <v>1594</v>
      </c>
      <c r="AD11" s="297">
        <v>1380</v>
      </c>
      <c r="AE11" s="286">
        <v>1272</v>
      </c>
      <c r="AF11" s="296">
        <v>1278</v>
      </c>
      <c r="AG11" s="297">
        <v>1318</v>
      </c>
      <c r="AH11" s="297">
        <v>1358</v>
      </c>
      <c r="AI11" s="286">
        <v>1413</v>
      </c>
      <c r="AJ11" s="296">
        <v>1533</v>
      </c>
      <c r="AK11" s="297">
        <v>1564</v>
      </c>
      <c r="AL11" s="297">
        <v>1547</v>
      </c>
      <c r="AM11" s="286">
        <v>1567</v>
      </c>
      <c r="AN11" s="296">
        <v>1641</v>
      </c>
      <c r="AO11" s="297">
        <v>1713</v>
      </c>
      <c r="AP11" s="297">
        <v>1739</v>
      </c>
      <c r="AQ11" s="286">
        <v>1833</v>
      </c>
      <c r="AR11" s="296">
        <v>1835</v>
      </c>
      <c r="AS11" s="297">
        <v>1924</v>
      </c>
      <c r="AT11" s="297">
        <v>2026</v>
      </c>
      <c r="AU11" s="286">
        <v>2050</v>
      </c>
      <c r="AV11" s="296">
        <v>2281</v>
      </c>
      <c r="AW11" s="297">
        <v>2609</v>
      </c>
      <c r="AX11" s="297">
        <v>2876</v>
      </c>
      <c r="AY11" s="286">
        <v>2930</v>
      </c>
      <c r="AZ11" s="296">
        <v>3125</v>
      </c>
      <c r="BA11" s="528">
        <f t="shared" ref="BA11:BC11" si="18">BA49/360*BA54*4</f>
        <v>3315.1269624167462</v>
      </c>
      <c r="BB11" s="528">
        <f t="shared" si="18"/>
        <v>3228.2144423465747</v>
      </c>
      <c r="BC11" s="529">
        <f t="shared" si="18"/>
        <v>3248.9521592159258</v>
      </c>
      <c r="BD11" s="528">
        <f t="shared" ref="BD11:BG11" si="19">BD49/360*BD54*4</f>
        <v>3160.7072211147006</v>
      </c>
      <c r="BE11" s="528">
        <f t="shared" si="19"/>
        <v>3189.1531999846798</v>
      </c>
      <c r="BF11" s="528">
        <f t="shared" si="19"/>
        <v>3236.7208956185391</v>
      </c>
      <c r="BG11" s="529">
        <f t="shared" si="19"/>
        <v>3280.7530772841424</v>
      </c>
      <c r="BH11" s="528">
        <f t="shared" ref="BH11:BK11" si="20">BH49/360*BH54*4</f>
        <v>3256.1888949474296</v>
      </c>
      <c r="BI11" s="528">
        <f t="shared" si="20"/>
        <v>3284.8236154226802</v>
      </c>
      <c r="BJ11" s="528">
        <f t="shared" si="20"/>
        <v>3318.7768555564398</v>
      </c>
      <c r="BK11" s="529">
        <f t="shared" si="20"/>
        <v>3322.1821576156344</v>
      </c>
      <c r="BL11" s="522"/>
      <c r="BM11" s="225">
        <f t="shared" si="0"/>
        <v>1406.777</v>
      </c>
      <c r="BN11" s="225">
        <f t="shared" si="1"/>
        <v>1313.2370000000001</v>
      </c>
      <c r="BO11" s="225">
        <f t="shared" si="2"/>
        <v>1987.0170000000001</v>
      </c>
      <c r="BP11" s="225">
        <f t="shared" si="3"/>
        <v>1627.4570000000001</v>
      </c>
      <c r="BQ11" s="225">
        <f t="shared" si="4"/>
        <v>1547.3779999999999</v>
      </c>
      <c r="BR11" s="225">
        <f t="shared" si="5"/>
        <v>1701</v>
      </c>
      <c r="BS11" s="225">
        <f t="shared" si="6"/>
        <v>1272</v>
      </c>
      <c r="BT11" s="737">
        <f t="shared" si="7"/>
        <v>1413</v>
      </c>
      <c r="BU11" s="737">
        <f t="shared" si="8"/>
        <v>1567</v>
      </c>
      <c r="BV11" s="225">
        <f t="shared" si="9"/>
        <v>1833</v>
      </c>
      <c r="BW11" s="225">
        <f t="shared" si="10"/>
        <v>2050</v>
      </c>
      <c r="BX11" s="225">
        <f t="shared" si="11"/>
        <v>2930</v>
      </c>
      <c r="BY11" s="737">
        <f t="shared" si="12"/>
        <v>3248.9521592159258</v>
      </c>
      <c r="BZ11" s="282">
        <f t="shared" si="13"/>
        <v>3280.7530772841424</v>
      </c>
      <c r="CA11" s="282">
        <f t="shared" si="14"/>
        <v>3322.1821576156344</v>
      </c>
      <c r="CB11" s="734"/>
      <c r="CC11" s="734"/>
      <c r="CD11" s="734"/>
      <c r="CK11" s="206"/>
    </row>
    <row r="12" spans="1:89" ht="14.25" customHeight="1">
      <c r="A12" s="203"/>
      <c r="B12" s="227" t="s">
        <v>7</v>
      </c>
      <c r="C12" s="331"/>
      <c r="D12" s="296">
        <v>667.63300000000004</v>
      </c>
      <c r="E12" s="297">
        <v>648.85799999999995</v>
      </c>
      <c r="F12" s="297">
        <v>610.75699999999995</v>
      </c>
      <c r="G12" s="286">
        <v>455.47300000000001</v>
      </c>
      <c r="H12" s="296">
        <v>461.142</v>
      </c>
      <c r="I12" s="297">
        <v>473.28800000000001</v>
      </c>
      <c r="J12" s="297">
        <v>481.01900000000001</v>
      </c>
      <c r="K12" s="286">
        <v>424.50200000000001</v>
      </c>
      <c r="L12" s="296">
        <v>409.77300000000002</v>
      </c>
      <c r="M12" s="297">
        <v>450.18700000000001</v>
      </c>
      <c r="N12" s="297">
        <v>438.16699999999997</v>
      </c>
      <c r="O12" s="286">
        <v>388.80700000000002</v>
      </c>
      <c r="P12" s="296">
        <v>402.72</v>
      </c>
      <c r="Q12" s="297">
        <v>390.02499999999998</v>
      </c>
      <c r="R12" s="297">
        <v>304.70600000000002</v>
      </c>
      <c r="S12" s="286">
        <v>356.33600000000001</v>
      </c>
      <c r="T12" s="297">
        <v>417.98599999999999</v>
      </c>
      <c r="U12" s="297">
        <v>432.73500000000001</v>
      </c>
      <c r="V12" s="297">
        <v>577.44200000000001</v>
      </c>
      <c r="W12" s="297">
        <v>512.94399999999996</v>
      </c>
      <c r="X12" s="296">
        <v>512</v>
      </c>
      <c r="Y12" s="297">
        <v>545</v>
      </c>
      <c r="Z12" s="297">
        <v>541</v>
      </c>
      <c r="AA12" s="297">
        <v>580</v>
      </c>
      <c r="AB12" s="296">
        <v>572</v>
      </c>
      <c r="AC12" s="297">
        <v>572</v>
      </c>
      <c r="AD12" s="297">
        <v>498</v>
      </c>
      <c r="AE12" s="297">
        <v>369</v>
      </c>
      <c r="AF12" s="296">
        <v>403</v>
      </c>
      <c r="AG12" s="297">
        <v>398</v>
      </c>
      <c r="AH12" s="297">
        <v>431</v>
      </c>
      <c r="AI12" s="297">
        <v>0</v>
      </c>
      <c r="AJ12" s="296">
        <v>0</v>
      </c>
      <c r="AK12" s="297">
        <v>0</v>
      </c>
      <c r="AL12" s="297">
        <v>0</v>
      </c>
      <c r="AM12" s="297">
        <v>0</v>
      </c>
      <c r="AN12" s="296">
        <v>0</v>
      </c>
      <c r="AO12" s="297">
        <v>0</v>
      </c>
      <c r="AP12" s="297">
        <v>0</v>
      </c>
      <c r="AQ12" s="286">
        <v>0</v>
      </c>
      <c r="AR12" s="296">
        <v>0</v>
      </c>
      <c r="AS12" s="297">
        <v>0</v>
      </c>
      <c r="AT12" s="297">
        <v>0</v>
      </c>
      <c r="AU12" s="286">
        <v>0</v>
      </c>
      <c r="AV12" s="296">
        <v>0</v>
      </c>
      <c r="AW12" s="297">
        <v>0</v>
      </c>
      <c r="AX12" s="297">
        <v>0</v>
      </c>
      <c r="AY12" s="286">
        <v>0</v>
      </c>
      <c r="AZ12" s="296">
        <v>0</v>
      </c>
      <c r="BA12" s="225">
        <f t="shared" ref="BA12:BC13" si="21">AZ12</f>
        <v>0</v>
      </c>
      <c r="BB12" s="225">
        <f t="shared" si="21"/>
        <v>0</v>
      </c>
      <c r="BC12" s="282">
        <f t="shared" si="21"/>
        <v>0</v>
      </c>
      <c r="BD12" s="737">
        <f t="shared" ref="BD12:BD13" si="22">BC12</f>
        <v>0</v>
      </c>
      <c r="BE12" s="737">
        <f t="shared" ref="BE12:BE13" si="23">BD12</f>
        <v>0</v>
      </c>
      <c r="BF12" s="737">
        <f t="shared" ref="BF12:BF13" si="24">BE12</f>
        <v>0</v>
      </c>
      <c r="BG12" s="282">
        <f t="shared" ref="BG12:BG13" si="25">BF12</f>
        <v>0</v>
      </c>
      <c r="BH12" s="737">
        <f t="shared" ref="BH12:BH13" si="26">BG12</f>
        <v>0</v>
      </c>
      <c r="BI12" s="737">
        <f t="shared" ref="BI12:BI13" si="27">BH12</f>
        <v>0</v>
      </c>
      <c r="BJ12" s="737">
        <f t="shared" ref="BJ12:BJ13" si="28">BI12</f>
        <v>0</v>
      </c>
      <c r="BK12" s="282">
        <f t="shared" ref="BK12:BK13" si="29">BJ12</f>
        <v>0</v>
      </c>
      <c r="BL12" s="522"/>
      <c r="BM12" s="225">
        <f t="shared" si="0"/>
        <v>455.47300000000001</v>
      </c>
      <c r="BN12" s="225">
        <f t="shared" si="1"/>
        <v>424.50200000000001</v>
      </c>
      <c r="BO12" s="225">
        <f t="shared" si="2"/>
        <v>388.80700000000002</v>
      </c>
      <c r="BP12" s="225">
        <f t="shared" si="3"/>
        <v>356.33600000000001</v>
      </c>
      <c r="BQ12" s="225">
        <f t="shared" si="4"/>
        <v>512.94399999999996</v>
      </c>
      <c r="BR12" s="225">
        <f t="shared" si="5"/>
        <v>580</v>
      </c>
      <c r="BS12" s="225">
        <f t="shared" si="6"/>
        <v>369</v>
      </c>
      <c r="BT12" s="737">
        <f t="shared" si="7"/>
        <v>0</v>
      </c>
      <c r="BU12" s="737">
        <f t="shared" si="8"/>
        <v>0</v>
      </c>
      <c r="BV12" s="225">
        <f t="shared" si="9"/>
        <v>0</v>
      </c>
      <c r="BW12" s="225">
        <f t="shared" si="10"/>
        <v>0</v>
      </c>
      <c r="BX12" s="225">
        <f t="shared" si="11"/>
        <v>0</v>
      </c>
      <c r="BY12" s="737">
        <f t="shared" si="12"/>
        <v>0</v>
      </c>
      <c r="BZ12" s="282">
        <f t="shared" si="13"/>
        <v>0</v>
      </c>
      <c r="CA12" s="282">
        <f t="shared" si="14"/>
        <v>0</v>
      </c>
      <c r="CB12" s="734"/>
      <c r="CC12" s="734"/>
      <c r="CD12" s="734"/>
      <c r="CK12" s="206"/>
    </row>
    <row r="13" spans="1:89" ht="14.25" customHeight="1">
      <c r="A13" s="203"/>
      <c r="B13" s="227" t="s">
        <v>162</v>
      </c>
      <c r="C13" s="331"/>
      <c r="D13" s="296">
        <v>287.90600000000001</v>
      </c>
      <c r="E13" s="297">
        <v>325.74299999999999</v>
      </c>
      <c r="F13" s="297">
        <v>327.90999999999997</v>
      </c>
      <c r="G13" s="286">
        <v>295.23200000000003</v>
      </c>
      <c r="H13" s="296">
        <v>291.13499999999999</v>
      </c>
      <c r="I13" s="297">
        <v>275.49299999999999</v>
      </c>
      <c r="J13" s="297">
        <v>320.315</v>
      </c>
      <c r="K13" s="286">
        <v>448.87900000000002</v>
      </c>
      <c r="L13" s="296">
        <v>474.464</v>
      </c>
      <c r="M13" s="297">
        <v>345.66899999999998</v>
      </c>
      <c r="N13" s="297">
        <v>453.50399999999996</v>
      </c>
      <c r="O13" s="286">
        <v>496.63800000000003</v>
      </c>
      <c r="P13" s="296">
        <v>553.61099999999999</v>
      </c>
      <c r="Q13" s="297">
        <v>645</v>
      </c>
      <c r="R13" s="297">
        <v>730.75199999999995</v>
      </c>
      <c r="S13" s="286">
        <v>448.92899999999997</v>
      </c>
      <c r="T13" s="297">
        <v>345.423</v>
      </c>
      <c r="U13" s="297">
        <v>277.50599999999997</v>
      </c>
      <c r="V13" s="297">
        <v>314.62200000000001</v>
      </c>
      <c r="W13" s="286">
        <v>289.40499999999997</v>
      </c>
      <c r="X13" s="297">
        <v>291</v>
      </c>
      <c r="Y13" s="297">
        <v>381</v>
      </c>
      <c r="Z13" s="297">
        <v>314</v>
      </c>
      <c r="AA13" s="286">
        <v>299</v>
      </c>
      <c r="AB13" s="297">
        <v>240</v>
      </c>
      <c r="AC13" s="297">
        <v>209</v>
      </c>
      <c r="AD13" s="297">
        <v>288</v>
      </c>
      <c r="AE13" s="286">
        <v>304</v>
      </c>
      <c r="AF13" s="297">
        <v>222</v>
      </c>
      <c r="AG13" s="297">
        <v>352</v>
      </c>
      <c r="AH13" s="297">
        <v>303</v>
      </c>
      <c r="AI13" s="286">
        <v>705</v>
      </c>
      <c r="AJ13" s="297">
        <v>682</v>
      </c>
      <c r="AK13" s="297">
        <v>623</v>
      </c>
      <c r="AL13" s="297">
        <v>600</v>
      </c>
      <c r="AM13" s="286">
        <v>568</v>
      </c>
      <c r="AN13" s="297">
        <v>625</v>
      </c>
      <c r="AO13" s="297">
        <v>706</v>
      </c>
      <c r="AP13" s="297">
        <v>570</v>
      </c>
      <c r="AQ13" s="286">
        <v>724</v>
      </c>
      <c r="AR13" s="297">
        <v>334</v>
      </c>
      <c r="AS13" s="297">
        <v>251</v>
      </c>
      <c r="AT13" s="297">
        <v>255</v>
      </c>
      <c r="AU13" s="286">
        <v>275</v>
      </c>
      <c r="AV13" s="297">
        <v>297</v>
      </c>
      <c r="AW13" s="297">
        <v>284</v>
      </c>
      <c r="AX13" s="297">
        <v>366</v>
      </c>
      <c r="AY13" s="286">
        <v>374</v>
      </c>
      <c r="AZ13" s="297">
        <v>268</v>
      </c>
      <c r="BA13" s="225">
        <f t="shared" si="21"/>
        <v>268</v>
      </c>
      <c r="BB13" s="225">
        <f t="shared" si="21"/>
        <v>268</v>
      </c>
      <c r="BC13" s="282">
        <f t="shared" si="21"/>
        <v>268</v>
      </c>
      <c r="BD13" s="737">
        <f t="shared" si="22"/>
        <v>268</v>
      </c>
      <c r="BE13" s="737">
        <f t="shared" si="23"/>
        <v>268</v>
      </c>
      <c r="BF13" s="737">
        <f t="shared" si="24"/>
        <v>268</v>
      </c>
      <c r="BG13" s="282">
        <f t="shared" si="25"/>
        <v>268</v>
      </c>
      <c r="BH13" s="737">
        <f t="shared" si="26"/>
        <v>268</v>
      </c>
      <c r="BI13" s="737">
        <f t="shared" si="27"/>
        <v>268</v>
      </c>
      <c r="BJ13" s="737">
        <f t="shared" si="28"/>
        <v>268</v>
      </c>
      <c r="BK13" s="282">
        <f t="shared" si="29"/>
        <v>268</v>
      </c>
      <c r="BL13" s="522"/>
      <c r="BM13" s="225">
        <f t="shared" si="0"/>
        <v>295.23200000000003</v>
      </c>
      <c r="BN13" s="225">
        <f t="shared" si="1"/>
        <v>448.87900000000002</v>
      </c>
      <c r="BO13" s="225">
        <f t="shared" si="2"/>
        <v>496.63800000000003</v>
      </c>
      <c r="BP13" s="225">
        <f t="shared" si="3"/>
        <v>448.92899999999997</v>
      </c>
      <c r="BQ13" s="225">
        <f t="shared" si="4"/>
        <v>289.40499999999997</v>
      </c>
      <c r="BR13" s="225">
        <f t="shared" si="5"/>
        <v>299</v>
      </c>
      <c r="BS13" s="225">
        <f t="shared" si="6"/>
        <v>304</v>
      </c>
      <c r="BT13" s="737">
        <f t="shared" si="7"/>
        <v>705</v>
      </c>
      <c r="BU13" s="737">
        <f t="shared" si="8"/>
        <v>568</v>
      </c>
      <c r="BV13" s="225">
        <f t="shared" si="9"/>
        <v>724</v>
      </c>
      <c r="BW13" s="225">
        <f t="shared" si="10"/>
        <v>275</v>
      </c>
      <c r="BX13" s="225">
        <f t="shared" si="11"/>
        <v>374</v>
      </c>
      <c r="BY13" s="737">
        <f t="shared" si="12"/>
        <v>268</v>
      </c>
      <c r="BZ13" s="282">
        <f t="shared" si="13"/>
        <v>268</v>
      </c>
      <c r="CA13" s="282">
        <f t="shared" si="14"/>
        <v>268</v>
      </c>
      <c r="CB13" s="734"/>
      <c r="CC13" s="734"/>
      <c r="CD13" s="734"/>
      <c r="CK13" s="206"/>
    </row>
    <row r="14" spans="1:89" ht="14.25" customHeight="1">
      <c r="A14" s="203"/>
      <c r="B14" s="527" t="s">
        <v>403</v>
      </c>
      <c r="C14" s="526"/>
      <c r="D14" s="525">
        <f t="shared" ref="D14:AQ14" si="30">SUM(D8:D13)</f>
        <v>9541.3950000000004</v>
      </c>
      <c r="E14" s="524">
        <f t="shared" si="30"/>
        <v>7335.6230000000005</v>
      </c>
      <c r="F14" s="524">
        <f t="shared" si="30"/>
        <v>7407.6789999999992</v>
      </c>
      <c r="G14" s="523">
        <f t="shared" si="30"/>
        <v>6081.0189999999993</v>
      </c>
      <c r="H14" s="525">
        <f t="shared" si="30"/>
        <v>6405.5850000000009</v>
      </c>
      <c r="I14" s="524">
        <f t="shared" si="30"/>
        <v>6358.992000000002</v>
      </c>
      <c r="J14" s="524">
        <f t="shared" si="30"/>
        <v>6811.4349999999995</v>
      </c>
      <c r="K14" s="523">
        <f t="shared" si="30"/>
        <v>6605.6240000000016</v>
      </c>
      <c r="L14" s="525">
        <f t="shared" si="30"/>
        <v>6191.8060000000005</v>
      </c>
      <c r="M14" s="524">
        <f t="shared" si="30"/>
        <v>6606.9380000000001</v>
      </c>
      <c r="N14" s="524">
        <f t="shared" si="30"/>
        <v>6623.8750000000009</v>
      </c>
      <c r="O14" s="523">
        <f t="shared" si="30"/>
        <v>6664.1570000000002</v>
      </c>
      <c r="P14" s="525">
        <f t="shared" si="30"/>
        <v>6279.6680000000006</v>
      </c>
      <c r="Q14" s="524">
        <f t="shared" si="30"/>
        <v>5914.8060000000005</v>
      </c>
      <c r="R14" s="524">
        <f t="shared" si="30"/>
        <v>5764.7919999999995</v>
      </c>
      <c r="S14" s="523">
        <f t="shared" si="30"/>
        <v>5688.947000000001</v>
      </c>
      <c r="T14" s="524">
        <f t="shared" si="30"/>
        <v>5849.2629999999999</v>
      </c>
      <c r="U14" s="524">
        <f t="shared" si="30"/>
        <v>6173.2939999999999</v>
      </c>
      <c r="V14" s="524">
        <f t="shared" si="30"/>
        <v>6551.7480000000005</v>
      </c>
      <c r="W14" s="523">
        <f t="shared" si="30"/>
        <v>6765.3149999999996</v>
      </c>
      <c r="X14" s="525">
        <f t="shared" si="30"/>
        <v>7142</v>
      </c>
      <c r="Y14" s="524">
        <f t="shared" si="30"/>
        <v>7944</v>
      </c>
      <c r="Z14" s="524">
        <f t="shared" si="30"/>
        <v>10273</v>
      </c>
      <c r="AA14" s="523">
        <f t="shared" si="30"/>
        <v>10355</v>
      </c>
      <c r="AB14" s="525">
        <f t="shared" si="30"/>
        <v>6157</v>
      </c>
      <c r="AC14" s="524">
        <f t="shared" si="30"/>
        <v>6330</v>
      </c>
      <c r="AD14" s="524">
        <f t="shared" si="30"/>
        <v>5865</v>
      </c>
      <c r="AE14" s="523">
        <f t="shared" si="30"/>
        <v>5102</v>
      </c>
      <c r="AF14" s="525">
        <f t="shared" si="30"/>
        <v>4765</v>
      </c>
      <c r="AG14" s="524">
        <f t="shared" si="30"/>
        <v>5113</v>
      </c>
      <c r="AH14" s="524">
        <f t="shared" si="30"/>
        <v>5237</v>
      </c>
      <c r="AI14" s="523">
        <f t="shared" si="30"/>
        <v>5642</v>
      </c>
      <c r="AJ14" s="525">
        <f t="shared" si="30"/>
        <v>6014</v>
      </c>
      <c r="AK14" s="524">
        <f t="shared" si="30"/>
        <v>6401</v>
      </c>
      <c r="AL14" s="524">
        <f t="shared" si="30"/>
        <v>6640</v>
      </c>
      <c r="AM14" s="523">
        <f t="shared" si="30"/>
        <v>6967</v>
      </c>
      <c r="AN14" s="525">
        <f t="shared" si="30"/>
        <v>6933</v>
      </c>
      <c r="AO14" s="524">
        <f t="shared" si="30"/>
        <v>7447</v>
      </c>
      <c r="AP14" s="524">
        <f t="shared" si="30"/>
        <v>7043</v>
      </c>
      <c r="AQ14" s="523">
        <f t="shared" si="30"/>
        <v>9261</v>
      </c>
      <c r="AR14" s="525">
        <f t="shared" ref="AR14:AW14" si="31">SUM(AR8:AR13)</f>
        <v>6910</v>
      </c>
      <c r="AS14" s="524">
        <f t="shared" si="31"/>
        <v>6728</v>
      </c>
      <c r="AT14" s="524">
        <f t="shared" si="31"/>
        <v>7399</v>
      </c>
      <c r="AU14" s="523">
        <f t="shared" si="31"/>
        <v>8353</v>
      </c>
      <c r="AV14" s="525">
        <f t="shared" si="31"/>
        <v>9094</v>
      </c>
      <c r="AW14" s="524">
        <f t="shared" si="31"/>
        <v>12018</v>
      </c>
      <c r="AX14" s="524">
        <f t="shared" ref="AX14:AZ14" si="32">SUM(AX8:AX13)</f>
        <v>12731</v>
      </c>
      <c r="AY14" s="523">
        <f t="shared" si="32"/>
        <v>12918</v>
      </c>
      <c r="AZ14" s="525">
        <f t="shared" si="32"/>
        <v>13029</v>
      </c>
      <c r="BA14" s="524">
        <f t="shared" ref="BA14:BG14" si="33">SUM(BA8:BA13)</f>
        <v>13434.12392241025</v>
      </c>
      <c r="BB14" s="524">
        <f t="shared" si="33"/>
        <v>13465.327668195252</v>
      </c>
      <c r="BC14" s="523">
        <f t="shared" si="33"/>
        <v>13595.82049897158</v>
      </c>
      <c r="BD14" s="525">
        <f t="shared" si="33"/>
        <v>13523.502197216645</v>
      </c>
      <c r="BE14" s="524">
        <f t="shared" si="33"/>
        <v>13545.823130872453</v>
      </c>
      <c r="BF14" s="524">
        <f t="shared" si="33"/>
        <v>13579.724584961657</v>
      </c>
      <c r="BG14" s="523">
        <f t="shared" si="33"/>
        <v>13635.331840646137</v>
      </c>
      <c r="BH14" s="525">
        <f t="shared" ref="BH14:BK14" si="34">SUM(BH8:BH13)</f>
        <v>13648.025916772312</v>
      </c>
      <c r="BI14" s="524">
        <f t="shared" si="34"/>
        <v>13714.633026220708</v>
      </c>
      <c r="BJ14" s="524">
        <f t="shared" si="34"/>
        <v>13804.433750228609</v>
      </c>
      <c r="BK14" s="523">
        <f t="shared" si="34"/>
        <v>13879.624815980316</v>
      </c>
      <c r="BL14" s="522"/>
      <c r="BM14" s="516">
        <f t="shared" ref="BM14:BX14" si="35">SUM(BM8:BM13)</f>
        <v>6081.0189999999993</v>
      </c>
      <c r="BN14" s="516">
        <f t="shared" si="35"/>
        <v>6605.6240000000016</v>
      </c>
      <c r="BO14" s="516">
        <f t="shared" si="35"/>
        <v>6664.1570000000002</v>
      </c>
      <c r="BP14" s="516">
        <f t="shared" si="35"/>
        <v>5688.947000000001</v>
      </c>
      <c r="BQ14" s="524">
        <f t="shared" si="35"/>
        <v>6765.3149999999996</v>
      </c>
      <c r="BR14" s="524">
        <f t="shared" si="35"/>
        <v>10355</v>
      </c>
      <c r="BS14" s="524">
        <f t="shared" si="35"/>
        <v>5102</v>
      </c>
      <c r="BT14" s="524">
        <f t="shared" si="35"/>
        <v>5642</v>
      </c>
      <c r="BU14" s="524">
        <f t="shared" si="35"/>
        <v>6967</v>
      </c>
      <c r="BV14" s="524">
        <f t="shared" si="35"/>
        <v>9261</v>
      </c>
      <c r="BW14" s="524">
        <f t="shared" si="35"/>
        <v>8353</v>
      </c>
      <c r="BX14" s="524">
        <f t="shared" si="35"/>
        <v>12918</v>
      </c>
      <c r="BY14" s="524">
        <f>SUM(BY8:BY13)</f>
        <v>13595.82049897158</v>
      </c>
      <c r="BZ14" s="523">
        <f>SUM(BZ8:BZ13)</f>
        <v>13635.331840646137</v>
      </c>
      <c r="CA14" s="523">
        <f>SUM(CA8:CA13)</f>
        <v>13879.624815980316</v>
      </c>
      <c r="CB14" s="734"/>
      <c r="CC14" s="734"/>
      <c r="CD14" s="734"/>
      <c r="CK14" s="206"/>
    </row>
    <row r="15" spans="1:89" ht="14.25" customHeight="1">
      <c r="A15" s="203"/>
      <c r="B15" s="217"/>
      <c r="C15" s="216"/>
      <c r="D15" s="296"/>
      <c r="E15" s="297"/>
      <c r="F15" s="297"/>
      <c r="G15" s="286"/>
      <c r="H15" s="296"/>
      <c r="I15" s="297"/>
      <c r="J15" s="297"/>
      <c r="K15" s="286"/>
      <c r="L15" s="296"/>
      <c r="M15" s="297"/>
      <c r="N15" s="297"/>
      <c r="O15" s="286"/>
      <c r="P15" s="296"/>
      <c r="Q15" s="297"/>
      <c r="R15" s="297"/>
      <c r="S15" s="286"/>
      <c r="T15" s="297"/>
      <c r="U15" s="297"/>
      <c r="V15" s="535"/>
      <c r="W15" s="535"/>
      <c r="X15" s="536"/>
      <c r="Y15" s="297"/>
      <c r="Z15" s="535"/>
      <c r="AA15" s="535"/>
      <c r="AB15" s="536"/>
      <c r="AC15" s="297"/>
      <c r="AD15" s="535"/>
      <c r="AE15" s="535"/>
      <c r="AF15" s="536"/>
      <c r="AG15" s="297"/>
      <c r="AH15" s="535"/>
      <c r="AI15" s="535"/>
      <c r="AJ15" s="536"/>
      <c r="AK15" s="297"/>
      <c r="AL15" s="535"/>
      <c r="AM15" s="535"/>
      <c r="AN15" s="536"/>
      <c r="AO15" s="297"/>
      <c r="AP15" s="535"/>
      <c r="AQ15" s="534"/>
      <c r="AR15" s="536"/>
      <c r="AS15" s="297"/>
      <c r="AT15" s="535"/>
      <c r="AU15" s="534"/>
      <c r="AV15" s="536"/>
      <c r="AW15" s="297"/>
      <c r="AX15" s="535"/>
      <c r="AY15" s="534"/>
      <c r="AZ15" s="536"/>
      <c r="BA15" s="535"/>
      <c r="BB15" s="535"/>
      <c r="BC15" s="534"/>
      <c r="BD15" s="535"/>
      <c r="BE15" s="535"/>
      <c r="BF15" s="535"/>
      <c r="BG15" s="534"/>
      <c r="BH15" s="535"/>
      <c r="BI15" s="535"/>
      <c r="BJ15" s="535"/>
      <c r="BK15" s="534"/>
      <c r="BL15" s="522"/>
      <c r="BM15" s="297"/>
      <c r="BN15" s="297"/>
      <c r="BO15" s="297"/>
      <c r="BP15" s="297"/>
      <c r="BQ15" s="297"/>
      <c r="BR15" s="297"/>
      <c r="BS15" s="297"/>
      <c r="BT15" s="297"/>
      <c r="BU15" s="297"/>
      <c r="BV15" s="297"/>
      <c r="BW15" s="297"/>
      <c r="BX15" s="297"/>
      <c r="BY15" s="297"/>
      <c r="BZ15" s="286"/>
      <c r="CA15" s="286"/>
      <c r="CB15" s="734"/>
      <c r="CC15" s="734"/>
      <c r="CD15" s="734"/>
      <c r="CK15" s="206"/>
    </row>
    <row r="16" spans="1:89" ht="14.25" customHeight="1">
      <c r="A16" s="203"/>
      <c r="B16" s="227" t="s">
        <v>8</v>
      </c>
      <c r="C16" s="331"/>
      <c r="D16" s="296">
        <v>1083.25</v>
      </c>
      <c r="E16" s="297">
        <v>1040.4929999999999</v>
      </c>
      <c r="F16" s="297">
        <v>1030.6669999999999</v>
      </c>
      <c r="G16" s="286">
        <v>1024.2940000000001</v>
      </c>
      <c r="H16" s="296">
        <v>1028.9380000000001</v>
      </c>
      <c r="I16" s="297">
        <v>1030.1610000000001</v>
      </c>
      <c r="J16" s="297">
        <v>1046.471</v>
      </c>
      <c r="K16" s="286">
        <v>1051.242</v>
      </c>
      <c r="L16" s="296">
        <v>1065.087</v>
      </c>
      <c r="M16" s="297">
        <v>1073.8019999999999</v>
      </c>
      <c r="N16" s="297">
        <v>1090.462</v>
      </c>
      <c r="O16" s="286">
        <v>1094.2</v>
      </c>
      <c r="P16" s="296">
        <v>1108.1859999999999</v>
      </c>
      <c r="Q16" s="297">
        <v>1090.123</v>
      </c>
      <c r="R16" s="297">
        <v>1088.058</v>
      </c>
      <c r="S16" s="286">
        <v>1090.433</v>
      </c>
      <c r="T16" s="297">
        <v>1128.6690000000001</v>
      </c>
      <c r="U16" s="297">
        <v>1083.5250000000001</v>
      </c>
      <c r="V16" s="297">
        <v>983.79</v>
      </c>
      <c r="W16" s="297">
        <v>963.00400000000002</v>
      </c>
      <c r="X16" s="296">
        <v>893</v>
      </c>
      <c r="Y16" s="297">
        <v>898</v>
      </c>
      <c r="Z16" s="297">
        <v>854</v>
      </c>
      <c r="AA16" s="297">
        <v>866</v>
      </c>
      <c r="AB16" s="296">
        <v>956</v>
      </c>
      <c r="AC16" s="297">
        <v>939</v>
      </c>
      <c r="AD16" s="297">
        <v>917</v>
      </c>
      <c r="AE16" s="297">
        <v>910</v>
      </c>
      <c r="AF16" s="296">
        <v>900</v>
      </c>
      <c r="AG16" s="297">
        <v>886</v>
      </c>
      <c r="AH16" s="297">
        <v>872</v>
      </c>
      <c r="AI16" s="297">
        <v>850</v>
      </c>
      <c r="AJ16" s="296">
        <v>846</v>
      </c>
      <c r="AK16" s="297">
        <v>855</v>
      </c>
      <c r="AL16" s="297">
        <v>849</v>
      </c>
      <c r="AM16" s="297">
        <v>861</v>
      </c>
      <c r="AN16" s="296">
        <v>864</v>
      </c>
      <c r="AO16" s="297">
        <v>887</v>
      </c>
      <c r="AP16" s="297">
        <v>882</v>
      </c>
      <c r="AQ16" s="286">
        <v>892</v>
      </c>
      <c r="AR16" s="296">
        <v>908</v>
      </c>
      <c r="AS16" s="297">
        <v>904</v>
      </c>
      <c r="AT16" s="297">
        <v>905</v>
      </c>
      <c r="AU16" s="286">
        <v>937</v>
      </c>
      <c r="AV16" s="296">
        <v>949</v>
      </c>
      <c r="AW16" s="297">
        <v>969</v>
      </c>
      <c r="AX16" s="297">
        <v>996</v>
      </c>
      <c r="AY16" s="286">
        <v>1066</v>
      </c>
      <c r="AZ16" s="296">
        <v>1195</v>
      </c>
      <c r="BA16" s="225">
        <f>CFS!BA69</f>
        <v>1291.3506474785918</v>
      </c>
      <c r="BB16" s="225">
        <f>CFS!BB69</f>
        <v>1374.7627066431937</v>
      </c>
      <c r="BC16" s="282">
        <f>CFS!BC69</f>
        <v>1452.420330578952</v>
      </c>
      <c r="BD16" s="737">
        <f>CFS!BD69</f>
        <v>1516.5549649197378</v>
      </c>
      <c r="BE16" s="737">
        <f>CFS!BE69</f>
        <v>1575.6003963174153</v>
      </c>
      <c r="BF16" s="737">
        <f>CFS!BF69</f>
        <v>1628.8270575333295</v>
      </c>
      <c r="BG16" s="282">
        <f>CFS!BG69</f>
        <v>1677.8457340889545</v>
      </c>
      <c r="BH16" s="737">
        <f>CFS!BH69</f>
        <v>1718.1590701693131</v>
      </c>
      <c r="BI16" s="737">
        <f>CFS!BI69</f>
        <v>1753.2340971826479</v>
      </c>
      <c r="BJ16" s="737">
        <f>CFS!BJ69</f>
        <v>1783.3498689338562</v>
      </c>
      <c r="BK16" s="282">
        <f>CFS!BK69</f>
        <v>1806.4724126223532</v>
      </c>
      <c r="BL16" s="522"/>
      <c r="BM16" s="225">
        <f t="shared" ref="BM16:BM22" si="36">G16</f>
        <v>1024.2940000000001</v>
      </c>
      <c r="BN16" s="225">
        <f t="shared" ref="BN16:BN22" si="37">K16</f>
        <v>1051.242</v>
      </c>
      <c r="BO16" s="225">
        <f t="shared" ref="BO16:BO22" si="38">O16</f>
        <v>1094.2</v>
      </c>
      <c r="BP16" s="225">
        <f t="shared" ref="BP16:BP22" si="39">S16</f>
        <v>1090.433</v>
      </c>
      <c r="BQ16" s="225">
        <f t="shared" ref="BQ16:BQ22" si="40">W16</f>
        <v>963.00400000000002</v>
      </c>
      <c r="BR16" s="225">
        <f t="shared" ref="BR16:BR22" si="41">AA16</f>
        <v>866</v>
      </c>
      <c r="BS16" s="225">
        <f t="shared" ref="BS16:BS22" si="42">AE16</f>
        <v>910</v>
      </c>
      <c r="BT16" s="737">
        <f t="shared" ref="BT16:BT22" si="43">AI16</f>
        <v>850</v>
      </c>
      <c r="BU16" s="737">
        <f t="shared" ref="BU16:BU22" si="44">AM16</f>
        <v>861</v>
      </c>
      <c r="BV16" s="225">
        <f t="shared" ref="BV16:BV22" si="45">AQ16</f>
        <v>892</v>
      </c>
      <c r="BW16" s="225">
        <f t="shared" ref="BW16:BW22" si="46">AU16</f>
        <v>937</v>
      </c>
      <c r="BX16" s="225">
        <f t="shared" ref="BX16:BX22" si="47">AY16</f>
        <v>1066</v>
      </c>
      <c r="BY16" s="737">
        <f t="shared" ref="BY16:BY22" si="48">BC16</f>
        <v>1452.420330578952</v>
      </c>
      <c r="BZ16" s="282">
        <f t="shared" ref="BZ16:BZ22" si="49">BG16</f>
        <v>1677.8457340889545</v>
      </c>
      <c r="CA16" s="282">
        <f t="shared" ref="CA16:CA22" si="50">BK16</f>
        <v>1806.4724126223532</v>
      </c>
      <c r="CB16" s="734"/>
      <c r="CC16" s="734"/>
      <c r="CD16" s="734"/>
      <c r="CK16" s="206"/>
    </row>
    <row r="17" spans="1:89" ht="14.25" customHeight="1">
      <c r="A17" s="203"/>
      <c r="B17" s="227" t="s">
        <v>275</v>
      </c>
      <c r="C17" s="331"/>
      <c r="D17" s="296">
        <v>0</v>
      </c>
      <c r="E17" s="297">
        <v>0</v>
      </c>
      <c r="F17" s="297">
        <v>0</v>
      </c>
      <c r="G17" s="286">
        <v>0</v>
      </c>
      <c r="H17" s="296">
        <v>0</v>
      </c>
      <c r="I17" s="297">
        <v>0</v>
      </c>
      <c r="J17" s="297">
        <v>0</v>
      </c>
      <c r="K17" s="286">
        <v>0</v>
      </c>
      <c r="L17" s="296">
        <v>0</v>
      </c>
      <c r="M17" s="297">
        <v>0</v>
      </c>
      <c r="N17" s="297">
        <v>0</v>
      </c>
      <c r="O17" s="286">
        <v>0</v>
      </c>
      <c r="P17" s="296">
        <v>0</v>
      </c>
      <c r="Q17" s="297">
        <v>0</v>
      </c>
      <c r="R17" s="297">
        <v>0</v>
      </c>
      <c r="S17" s="286">
        <v>0</v>
      </c>
      <c r="T17" s="297">
        <v>0</v>
      </c>
      <c r="U17" s="297">
        <v>0</v>
      </c>
      <c r="V17" s="297">
        <v>0</v>
      </c>
      <c r="W17" s="297">
        <v>0</v>
      </c>
      <c r="X17" s="296">
        <v>0</v>
      </c>
      <c r="Y17" s="297">
        <v>0</v>
      </c>
      <c r="Z17" s="297">
        <v>0</v>
      </c>
      <c r="AA17" s="297">
        <v>0</v>
      </c>
      <c r="AB17" s="296">
        <v>0</v>
      </c>
      <c r="AC17" s="297">
        <v>0</v>
      </c>
      <c r="AD17" s="297">
        <v>0</v>
      </c>
      <c r="AE17" s="297">
        <v>0</v>
      </c>
      <c r="AF17" s="296">
        <v>0</v>
      </c>
      <c r="AG17" s="297">
        <v>0</v>
      </c>
      <c r="AH17" s="297">
        <v>0</v>
      </c>
      <c r="AI17" s="297">
        <v>0</v>
      </c>
      <c r="AJ17" s="296">
        <v>0</v>
      </c>
      <c r="AK17" s="297">
        <v>0</v>
      </c>
      <c r="AL17" s="297">
        <v>0</v>
      </c>
      <c r="AM17" s="297">
        <v>0</v>
      </c>
      <c r="AN17" s="296">
        <v>0</v>
      </c>
      <c r="AO17" s="297">
        <v>0</v>
      </c>
      <c r="AP17" s="297">
        <v>0</v>
      </c>
      <c r="AQ17" s="286">
        <v>0</v>
      </c>
      <c r="AR17" s="296">
        <v>0</v>
      </c>
      <c r="AS17" s="297">
        <v>0</v>
      </c>
      <c r="AT17" s="297">
        <v>0</v>
      </c>
      <c r="AU17" s="286">
        <v>0</v>
      </c>
      <c r="AV17" s="296">
        <v>0</v>
      </c>
      <c r="AW17" s="297">
        <v>0</v>
      </c>
      <c r="AX17" s="297">
        <v>0</v>
      </c>
      <c r="AY17" s="286">
        <v>0</v>
      </c>
      <c r="AZ17" s="296">
        <v>0</v>
      </c>
      <c r="BA17" s="225">
        <f>AZ17-CFS!BA31</f>
        <v>0</v>
      </c>
      <c r="BB17" s="225">
        <f>BA17-CFS!BB31</f>
        <v>0</v>
      </c>
      <c r="BC17" s="282">
        <f>BB17-CFS!BC31</f>
        <v>0</v>
      </c>
      <c r="BD17" s="737">
        <f>BC17-CFS!BD31</f>
        <v>0</v>
      </c>
      <c r="BE17" s="737">
        <f>BD17-CFS!BE31</f>
        <v>0</v>
      </c>
      <c r="BF17" s="737">
        <f>BE17-CFS!BF31</f>
        <v>0</v>
      </c>
      <c r="BG17" s="282">
        <f>BF17-CFS!BG31</f>
        <v>0</v>
      </c>
      <c r="BH17" s="737">
        <f>BG17-CFS!BH31</f>
        <v>0</v>
      </c>
      <c r="BI17" s="737">
        <f>BH17-CFS!BI31</f>
        <v>0</v>
      </c>
      <c r="BJ17" s="737">
        <f>BI17-CFS!BJ31</f>
        <v>0</v>
      </c>
      <c r="BK17" s="282">
        <f>BJ17-CFS!BK31</f>
        <v>0</v>
      </c>
      <c r="BL17" s="522"/>
      <c r="BM17" s="225">
        <f t="shared" si="36"/>
        <v>0</v>
      </c>
      <c r="BN17" s="225">
        <f t="shared" si="37"/>
        <v>0</v>
      </c>
      <c r="BO17" s="225">
        <f t="shared" si="38"/>
        <v>0</v>
      </c>
      <c r="BP17" s="225">
        <f t="shared" si="39"/>
        <v>0</v>
      </c>
      <c r="BQ17" s="225">
        <f t="shared" si="40"/>
        <v>0</v>
      </c>
      <c r="BR17" s="225">
        <f t="shared" si="41"/>
        <v>0</v>
      </c>
      <c r="BS17" s="225">
        <f t="shared" si="42"/>
        <v>0</v>
      </c>
      <c r="BT17" s="737">
        <f t="shared" si="43"/>
        <v>0</v>
      </c>
      <c r="BU17" s="737">
        <f t="shared" si="44"/>
        <v>0</v>
      </c>
      <c r="BV17" s="225">
        <f t="shared" si="45"/>
        <v>0</v>
      </c>
      <c r="BW17" s="225">
        <f t="shared" si="46"/>
        <v>0</v>
      </c>
      <c r="BX17" s="225">
        <f t="shared" si="47"/>
        <v>0</v>
      </c>
      <c r="BY17" s="737">
        <f t="shared" si="48"/>
        <v>0</v>
      </c>
      <c r="BZ17" s="282">
        <f t="shared" si="49"/>
        <v>0</v>
      </c>
      <c r="CA17" s="282">
        <f t="shared" si="50"/>
        <v>0</v>
      </c>
      <c r="CB17" s="734"/>
      <c r="CC17" s="734"/>
      <c r="CD17" s="734"/>
      <c r="CK17" s="206"/>
    </row>
    <row r="18" spans="1:89" ht="14.25" customHeight="1">
      <c r="A18" s="203"/>
      <c r="B18" s="227" t="s">
        <v>164</v>
      </c>
      <c r="C18" s="331"/>
      <c r="D18" s="296">
        <v>0</v>
      </c>
      <c r="E18" s="297">
        <v>2500.9720000000002</v>
      </c>
      <c r="F18" s="297">
        <v>2324.5050000000001</v>
      </c>
      <c r="G18" s="286">
        <v>1314.8610000000001</v>
      </c>
      <c r="H18" s="296">
        <v>1327.9449999999999</v>
      </c>
      <c r="I18" s="297">
        <v>1349.681</v>
      </c>
      <c r="J18" s="297">
        <v>1349.211</v>
      </c>
      <c r="K18" s="286">
        <v>1362.425</v>
      </c>
      <c r="L18" s="296">
        <v>1457.825</v>
      </c>
      <c r="M18" s="297">
        <v>1392.5039999999999</v>
      </c>
      <c r="N18" s="297">
        <v>1426.6310000000001</v>
      </c>
      <c r="O18" s="286">
        <v>1367.056</v>
      </c>
      <c r="P18" s="296">
        <v>1210.9970000000001</v>
      </c>
      <c r="Q18" s="297">
        <v>1000.705</v>
      </c>
      <c r="R18" s="297">
        <v>990.16700000000003</v>
      </c>
      <c r="S18" s="286">
        <v>1052.165</v>
      </c>
      <c r="T18" s="297">
        <v>1046.116</v>
      </c>
      <c r="U18" s="297">
        <v>1230.2139999999999</v>
      </c>
      <c r="V18" s="297">
        <v>1279.5150000000001</v>
      </c>
      <c r="W18" s="297">
        <v>1307.2829999999999</v>
      </c>
      <c r="X18" s="296">
        <v>1351</v>
      </c>
      <c r="Y18" s="297">
        <v>1269</v>
      </c>
      <c r="Z18" s="297">
        <v>1052</v>
      </c>
      <c r="AA18" s="297">
        <v>931</v>
      </c>
      <c r="AB18" s="296">
        <v>955</v>
      </c>
      <c r="AC18" s="297">
        <v>1071</v>
      </c>
      <c r="AD18" s="297">
        <v>1058</v>
      </c>
      <c r="AE18" s="297">
        <v>1055</v>
      </c>
      <c r="AF18" s="296">
        <v>1062</v>
      </c>
      <c r="AG18" s="297">
        <v>1080</v>
      </c>
      <c r="AH18" s="297">
        <v>1055</v>
      </c>
      <c r="AI18" s="297">
        <v>1005</v>
      </c>
      <c r="AJ18" s="296">
        <v>833</v>
      </c>
      <c r="AK18" s="297">
        <v>836</v>
      </c>
      <c r="AL18" s="297">
        <v>957</v>
      </c>
      <c r="AM18" s="297">
        <v>935</v>
      </c>
      <c r="AN18" s="296">
        <v>930</v>
      </c>
      <c r="AO18" s="297">
        <v>936</v>
      </c>
      <c r="AP18" s="297">
        <v>958</v>
      </c>
      <c r="AQ18" s="286">
        <v>946</v>
      </c>
      <c r="AR18" s="296">
        <v>996</v>
      </c>
      <c r="AS18" s="297">
        <v>934</v>
      </c>
      <c r="AT18" s="297">
        <v>960</v>
      </c>
      <c r="AU18" s="286">
        <v>929</v>
      </c>
      <c r="AV18" s="296">
        <v>909</v>
      </c>
      <c r="AW18" s="297">
        <v>961</v>
      </c>
      <c r="AX18" s="297">
        <v>1059</v>
      </c>
      <c r="AY18" s="286">
        <v>1143</v>
      </c>
      <c r="AZ18" s="296">
        <v>1203</v>
      </c>
      <c r="BA18" s="225">
        <f>AZ18-CFS!BA34</f>
        <v>1203</v>
      </c>
      <c r="BB18" s="225">
        <f>BA18-CFS!BB34</f>
        <v>1203</v>
      </c>
      <c r="BC18" s="282">
        <f>BB18-CFS!BC34</f>
        <v>1203</v>
      </c>
      <c r="BD18" s="737">
        <f>BC18-CFS!BD34</f>
        <v>1203</v>
      </c>
      <c r="BE18" s="737">
        <f>BD18-CFS!BE34</f>
        <v>1203</v>
      </c>
      <c r="BF18" s="737">
        <f>BE18-CFS!BF34</f>
        <v>1203</v>
      </c>
      <c r="BG18" s="282">
        <f>BF18-CFS!BG34</f>
        <v>1203</v>
      </c>
      <c r="BH18" s="737">
        <f>BG18-CFS!BH34</f>
        <v>1203</v>
      </c>
      <c r="BI18" s="737">
        <f>BH18-CFS!BI34</f>
        <v>1203</v>
      </c>
      <c r="BJ18" s="737">
        <f>BI18-CFS!BJ34</f>
        <v>1203</v>
      </c>
      <c r="BK18" s="282">
        <f>BJ18-CFS!BK34</f>
        <v>1203</v>
      </c>
      <c r="BL18" s="522"/>
      <c r="BM18" s="225">
        <f t="shared" si="36"/>
        <v>1314.8610000000001</v>
      </c>
      <c r="BN18" s="225">
        <f t="shared" si="37"/>
        <v>1362.425</v>
      </c>
      <c r="BO18" s="225">
        <f t="shared" si="38"/>
        <v>1367.056</v>
      </c>
      <c r="BP18" s="225">
        <f t="shared" si="39"/>
        <v>1052.165</v>
      </c>
      <c r="BQ18" s="225">
        <f t="shared" si="40"/>
        <v>1307.2829999999999</v>
      </c>
      <c r="BR18" s="225">
        <f t="shared" si="41"/>
        <v>931</v>
      </c>
      <c r="BS18" s="225">
        <f t="shared" si="42"/>
        <v>1055</v>
      </c>
      <c r="BT18" s="737">
        <f t="shared" si="43"/>
        <v>1005</v>
      </c>
      <c r="BU18" s="737">
        <f t="shared" si="44"/>
        <v>935</v>
      </c>
      <c r="BV18" s="225">
        <f t="shared" si="45"/>
        <v>946</v>
      </c>
      <c r="BW18" s="225">
        <f t="shared" si="46"/>
        <v>929</v>
      </c>
      <c r="BX18" s="225">
        <f t="shared" si="47"/>
        <v>1143</v>
      </c>
      <c r="BY18" s="737">
        <f t="shared" si="48"/>
        <v>1203</v>
      </c>
      <c r="BZ18" s="282">
        <f t="shared" si="49"/>
        <v>1203</v>
      </c>
      <c r="CA18" s="282">
        <f t="shared" si="50"/>
        <v>1203</v>
      </c>
      <c r="CB18" s="734"/>
      <c r="CC18" s="734"/>
      <c r="CD18" s="734"/>
      <c r="CK18" s="206"/>
    </row>
    <row r="19" spans="1:89" ht="14.25" customHeight="1">
      <c r="A19" s="203"/>
      <c r="B19" s="227" t="s">
        <v>7</v>
      </c>
      <c r="C19" s="331"/>
      <c r="D19" s="296">
        <v>0</v>
      </c>
      <c r="E19" s="297">
        <v>0</v>
      </c>
      <c r="F19" s="297">
        <v>0</v>
      </c>
      <c r="G19" s="286">
        <v>0</v>
      </c>
      <c r="H19" s="296">
        <v>0</v>
      </c>
      <c r="I19" s="297">
        <v>0</v>
      </c>
      <c r="J19" s="297">
        <v>0</v>
      </c>
      <c r="K19" s="286">
        <v>0</v>
      </c>
      <c r="L19" s="296">
        <v>0</v>
      </c>
      <c r="M19" s="297">
        <v>0</v>
      </c>
      <c r="N19" s="297">
        <v>0</v>
      </c>
      <c r="O19" s="286">
        <v>0</v>
      </c>
      <c r="P19" s="296">
        <v>0</v>
      </c>
      <c r="Q19" s="297">
        <v>0</v>
      </c>
      <c r="R19" s="297">
        <v>0</v>
      </c>
      <c r="S19" s="286">
        <v>0</v>
      </c>
      <c r="T19" s="297">
        <v>0</v>
      </c>
      <c r="U19" s="297">
        <v>0</v>
      </c>
      <c r="V19" s="297">
        <v>0</v>
      </c>
      <c r="W19" s="297">
        <v>0</v>
      </c>
      <c r="X19" s="296">
        <v>0</v>
      </c>
      <c r="Y19" s="297">
        <v>0</v>
      </c>
      <c r="Z19" s="297">
        <v>366</v>
      </c>
      <c r="AA19" s="297">
        <v>0</v>
      </c>
      <c r="AB19" s="296">
        <v>0</v>
      </c>
      <c r="AC19" s="297">
        <v>0</v>
      </c>
      <c r="AD19" s="297">
        <v>0</v>
      </c>
      <c r="AE19" s="297">
        <v>0</v>
      </c>
      <c r="AF19" s="296">
        <v>0</v>
      </c>
      <c r="AG19" s="297">
        <v>0</v>
      </c>
      <c r="AH19" s="297">
        <v>0</v>
      </c>
      <c r="AI19" s="297">
        <v>0</v>
      </c>
      <c r="AJ19" s="296">
        <v>0</v>
      </c>
      <c r="AK19" s="297">
        <v>0</v>
      </c>
      <c r="AL19" s="297">
        <v>0</v>
      </c>
      <c r="AM19" s="297">
        <v>0</v>
      </c>
      <c r="AN19" s="296">
        <v>0</v>
      </c>
      <c r="AO19" s="297">
        <v>0</v>
      </c>
      <c r="AP19" s="297">
        <v>0</v>
      </c>
      <c r="AQ19" s="286">
        <v>0</v>
      </c>
      <c r="AR19" s="296">
        <v>0</v>
      </c>
      <c r="AS19" s="297">
        <v>0</v>
      </c>
      <c r="AT19" s="297">
        <v>0</v>
      </c>
      <c r="AU19" s="286">
        <v>0</v>
      </c>
      <c r="AV19" s="296">
        <v>0</v>
      </c>
      <c r="AW19" s="297">
        <v>0</v>
      </c>
      <c r="AX19" s="297">
        <v>0</v>
      </c>
      <c r="AY19" s="286">
        <v>0</v>
      </c>
      <c r="AZ19" s="296">
        <v>0</v>
      </c>
      <c r="BA19" s="225">
        <f t="shared" ref="BA19:BC20" si="51">AZ19</f>
        <v>0</v>
      </c>
      <c r="BB19" s="225">
        <f t="shared" si="51"/>
        <v>0</v>
      </c>
      <c r="BC19" s="282">
        <f t="shared" si="51"/>
        <v>0</v>
      </c>
      <c r="BD19" s="737">
        <f t="shared" ref="BD19:BD20" si="52">BC19</f>
        <v>0</v>
      </c>
      <c r="BE19" s="737">
        <f t="shared" ref="BE19:BE20" si="53">BD19</f>
        <v>0</v>
      </c>
      <c r="BF19" s="737">
        <f t="shared" ref="BF19:BF20" si="54">BE19</f>
        <v>0</v>
      </c>
      <c r="BG19" s="282">
        <f t="shared" ref="BG19:BG20" si="55">BF19</f>
        <v>0</v>
      </c>
      <c r="BH19" s="737">
        <f t="shared" ref="BH19:BH20" si="56">BG19</f>
        <v>0</v>
      </c>
      <c r="BI19" s="737">
        <f t="shared" ref="BI19:BI20" si="57">BH19</f>
        <v>0</v>
      </c>
      <c r="BJ19" s="737">
        <f t="shared" ref="BJ19:BJ20" si="58">BI19</f>
        <v>0</v>
      </c>
      <c r="BK19" s="282">
        <f t="shared" ref="BK19:BK20" si="59">BJ19</f>
        <v>0</v>
      </c>
      <c r="BL19" s="522"/>
      <c r="BM19" s="225">
        <f t="shared" si="36"/>
        <v>0</v>
      </c>
      <c r="BN19" s="225">
        <f t="shared" si="37"/>
        <v>0</v>
      </c>
      <c r="BO19" s="225">
        <f t="shared" si="38"/>
        <v>0</v>
      </c>
      <c r="BP19" s="225">
        <f t="shared" si="39"/>
        <v>0</v>
      </c>
      <c r="BQ19" s="225">
        <f t="shared" si="40"/>
        <v>0</v>
      </c>
      <c r="BR19" s="225">
        <f t="shared" si="41"/>
        <v>0</v>
      </c>
      <c r="BS19" s="225">
        <f t="shared" si="42"/>
        <v>0</v>
      </c>
      <c r="BT19" s="737">
        <f t="shared" si="43"/>
        <v>0</v>
      </c>
      <c r="BU19" s="737">
        <f t="shared" si="44"/>
        <v>0</v>
      </c>
      <c r="BV19" s="225">
        <f t="shared" si="45"/>
        <v>0</v>
      </c>
      <c r="BW19" s="225">
        <f t="shared" si="46"/>
        <v>0</v>
      </c>
      <c r="BX19" s="225">
        <f t="shared" si="47"/>
        <v>0</v>
      </c>
      <c r="BY19" s="737">
        <f t="shared" si="48"/>
        <v>0</v>
      </c>
      <c r="BZ19" s="282">
        <f t="shared" si="49"/>
        <v>0</v>
      </c>
      <c r="CA19" s="282">
        <f t="shared" si="50"/>
        <v>0</v>
      </c>
      <c r="CB19" s="734"/>
      <c r="CC19" s="734"/>
      <c r="CD19" s="734"/>
      <c r="CK19" s="206"/>
    </row>
    <row r="20" spans="1:89" ht="14.25" customHeight="1">
      <c r="A20" s="203"/>
      <c r="B20" s="227" t="s">
        <v>9</v>
      </c>
      <c r="C20" s="331"/>
      <c r="D20" s="296">
        <v>347.04899999999998</v>
      </c>
      <c r="E20" s="297">
        <v>347.67700000000002</v>
      </c>
      <c r="F20" s="297">
        <v>548.84799999999996</v>
      </c>
      <c r="G20" s="286">
        <v>572.55799999999999</v>
      </c>
      <c r="H20" s="296">
        <v>572.55799999999999</v>
      </c>
      <c r="I20" s="297">
        <v>652.72299999999996</v>
      </c>
      <c r="J20" s="297">
        <v>652.9</v>
      </c>
      <c r="K20" s="286">
        <v>1000.176</v>
      </c>
      <c r="L20" s="296">
        <v>1017.705</v>
      </c>
      <c r="M20" s="297">
        <v>1176.1220000000001</v>
      </c>
      <c r="N20" s="297">
        <v>1175.777</v>
      </c>
      <c r="O20" s="286">
        <v>1174.673</v>
      </c>
      <c r="P20" s="296">
        <v>1171.74</v>
      </c>
      <c r="Q20" s="297">
        <v>1171.74</v>
      </c>
      <c r="R20" s="297">
        <v>1171.74</v>
      </c>
      <c r="S20" s="286">
        <v>1170.932</v>
      </c>
      <c r="T20" s="297">
        <v>1336.4259999999999</v>
      </c>
      <c r="U20" s="297">
        <v>1336.4259999999999</v>
      </c>
      <c r="V20" s="297">
        <v>1336.4259999999999</v>
      </c>
      <c r="W20" s="297">
        <v>1336.4259999999999</v>
      </c>
      <c r="X20" s="296">
        <v>1336</v>
      </c>
      <c r="Y20" s="297">
        <v>1336</v>
      </c>
      <c r="Z20" s="297">
        <v>1335</v>
      </c>
      <c r="AA20" s="297">
        <v>1335</v>
      </c>
      <c r="AB20" s="296">
        <v>3875</v>
      </c>
      <c r="AC20" s="297">
        <v>3939</v>
      </c>
      <c r="AD20" s="297">
        <v>3939</v>
      </c>
      <c r="AE20" s="297">
        <v>3518</v>
      </c>
      <c r="AF20" s="296">
        <v>3518</v>
      </c>
      <c r="AG20" s="297">
        <v>3294</v>
      </c>
      <c r="AH20" s="297">
        <v>3294</v>
      </c>
      <c r="AI20" s="297">
        <v>3294</v>
      </c>
      <c r="AJ20" s="296">
        <v>3294</v>
      </c>
      <c r="AK20" s="297">
        <v>3294</v>
      </c>
      <c r="AL20" s="297">
        <v>3294</v>
      </c>
      <c r="AM20" s="297">
        <v>3304</v>
      </c>
      <c r="AN20" s="296">
        <v>3304</v>
      </c>
      <c r="AO20" s="297">
        <v>3304</v>
      </c>
      <c r="AP20" s="297">
        <v>3304</v>
      </c>
      <c r="AQ20" s="286">
        <v>3302</v>
      </c>
      <c r="AR20" s="296">
        <v>3302</v>
      </c>
      <c r="AS20" s="297">
        <v>3304</v>
      </c>
      <c r="AT20" s="297">
        <v>3305</v>
      </c>
      <c r="AU20" s="286">
        <v>3316</v>
      </c>
      <c r="AV20" s="296">
        <v>3316</v>
      </c>
      <c r="AW20" s="297">
        <v>3330</v>
      </c>
      <c r="AX20" s="297">
        <v>3357</v>
      </c>
      <c r="AY20" s="286">
        <v>3368</v>
      </c>
      <c r="AZ20" s="296">
        <v>3368</v>
      </c>
      <c r="BA20" s="225">
        <f t="shared" si="51"/>
        <v>3368</v>
      </c>
      <c r="BB20" s="225">
        <f t="shared" si="51"/>
        <v>3368</v>
      </c>
      <c r="BC20" s="282">
        <f t="shared" si="51"/>
        <v>3368</v>
      </c>
      <c r="BD20" s="737">
        <f t="shared" si="52"/>
        <v>3368</v>
      </c>
      <c r="BE20" s="737">
        <f t="shared" si="53"/>
        <v>3368</v>
      </c>
      <c r="BF20" s="737">
        <f t="shared" si="54"/>
        <v>3368</v>
      </c>
      <c r="BG20" s="282">
        <f t="shared" si="55"/>
        <v>3368</v>
      </c>
      <c r="BH20" s="737">
        <f t="shared" si="56"/>
        <v>3368</v>
      </c>
      <c r="BI20" s="737">
        <f t="shared" si="57"/>
        <v>3368</v>
      </c>
      <c r="BJ20" s="737">
        <f t="shared" si="58"/>
        <v>3368</v>
      </c>
      <c r="BK20" s="282">
        <f t="shared" si="59"/>
        <v>3368</v>
      </c>
      <c r="BL20" s="522"/>
      <c r="BM20" s="225">
        <f t="shared" si="36"/>
        <v>572.55799999999999</v>
      </c>
      <c r="BN20" s="225">
        <f t="shared" si="37"/>
        <v>1000.176</v>
      </c>
      <c r="BO20" s="225">
        <f t="shared" si="38"/>
        <v>1174.673</v>
      </c>
      <c r="BP20" s="225">
        <f t="shared" si="39"/>
        <v>1170.932</v>
      </c>
      <c r="BQ20" s="225">
        <f t="shared" si="40"/>
        <v>1336.4259999999999</v>
      </c>
      <c r="BR20" s="225">
        <f t="shared" si="41"/>
        <v>1335</v>
      </c>
      <c r="BS20" s="225">
        <f t="shared" si="42"/>
        <v>3518</v>
      </c>
      <c r="BT20" s="737">
        <f t="shared" si="43"/>
        <v>3294</v>
      </c>
      <c r="BU20" s="737">
        <f t="shared" si="44"/>
        <v>3304</v>
      </c>
      <c r="BV20" s="225">
        <f t="shared" si="45"/>
        <v>3302</v>
      </c>
      <c r="BW20" s="225">
        <f t="shared" si="46"/>
        <v>3316</v>
      </c>
      <c r="BX20" s="225">
        <f t="shared" si="47"/>
        <v>3368</v>
      </c>
      <c r="BY20" s="737">
        <f t="shared" si="48"/>
        <v>3368</v>
      </c>
      <c r="BZ20" s="282">
        <f t="shared" si="49"/>
        <v>3368</v>
      </c>
      <c r="CA20" s="282">
        <f t="shared" si="50"/>
        <v>3368</v>
      </c>
      <c r="CB20" s="734"/>
      <c r="CC20" s="734"/>
      <c r="CD20" s="734"/>
      <c r="CK20" s="206"/>
    </row>
    <row r="21" spans="1:89" ht="14.25" customHeight="1">
      <c r="A21" s="203"/>
      <c r="B21" s="227" t="s">
        <v>10</v>
      </c>
      <c r="C21" s="331"/>
      <c r="D21" s="296">
        <v>80.840999999999994</v>
      </c>
      <c r="E21" s="297">
        <v>75.168999999999997</v>
      </c>
      <c r="F21" s="297">
        <v>210.79</v>
      </c>
      <c r="G21" s="286">
        <v>201.066</v>
      </c>
      <c r="H21" s="296">
        <v>191.64599999999999</v>
      </c>
      <c r="I21" s="297">
        <v>232.10499999999999</v>
      </c>
      <c r="J21" s="297">
        <v>221.977</v>
      </c>
      <c r="K21" s="286">
        <v>373.178</v>
      </c>
      <c r="L21" s="296">
        <v>354.45</v>
      </c>
      <c r="M21" s="297">
        <v>456.92</v>
      </c>
      <c r="N21" s="297">
        <v>419.75599999999997</v>
      </c>
      <c r="O21" s="286">
        <v>388.42899999999997</v>
      </c>
      <c r="P21" s="296">
        <v>366.98</v>
      </c>
      <c r="Q21" s="297">
        <v>347.11700000000002</v>
      </c>
      <c r="R21" s="297">
        <v>327.351</v>
      </c>
      <c r="S21" s="286">
        <v>306.416</v>
      </c>
      <c r="T21" s="297">
        <v>374</v>
      </c>
      <c r="U21" s="297">
        <v>346.22800000000001</v>
      </c>
      <c r="V21" s="297">
        <v>300.40100000000001</v>
      </c>
      <c r="W21" s="297">
        <v>286.82100000000003</v>
      </c>
      <c r="X21" s="296">
        <v>273</v>
      </c>
      <c r="Y21" s="297">
        <v>236</v>
      </c>
      <c r="Z21" s="297">
        <v>0</v>
      </c>
      <c r="AA21" s="297">
        <v>211</v>
      </c>
      <c r="AB21" s="296">
        <v>1519</v>
      </c>
      <c r="AC21" s="297">
        <v>1464</v>
      </c>
      <c r="AD21" s="297">
        <v>1410</v>
      </c>
      <c r="AE21" s="297">
        <v>1355</v>
      </c>
      <c r="AF21" s="296">
        <v>1302</v>
      </c>
      <c r="AG21" s="297">
        <v>1194</v>
      </c>
      <c r="AH21" s="297">
        <v>1148</v>
      </c>
      <c r="AI21" s="297">
        <v>1103</v>
      </c>
      <c r="AJ21" s="296">
        <v>1057</v>
      </c>
      <c r="AK21" s="297">
        <v>1018</v>
      </c>
      <c r="AL21" s="297">
        <v>979</v>
      </c>
      <c r="AM21" s="297">
        <v>951</v>
      </c>
      <c r="AN21" s="296">
        <v>905</v>
      </c>
      <c r="AO21" s="297">
        <v>860</v>
      </c>
      <c r="AP21" s="297">
        <v>811</v>
      </c>
      <c r="AQ21" s="286">
        <v>762</v>
      </c>
      <c r="AR21" s="296">
        <v>714</v>
      </c>
      <c r="AS21" s="297">
        <v>668</v>
      </c>
      <c r="AT21" s="297">
        <v>621</v>
      </c>
      <c r="AU21" s="286">
        <v>575</v>
      </c>
      <c r="AV21" s="296">
        <v>527</v>
      </c>
      <c r="AW21" s="297">
        <v>490</v>
      </c>
      <c r="AX21" s="297">
        <v>461</v>
      </c>
      <c r="AY21" s="286">
        <v>412</v>
      </c>
      <c r="AZ21" s="296">
        <v>362</v>
      </c>
      <c r="BA21" s="225">
        <f>AZ21-CFS!BA35</f>
        <v>362</v>
      </c>
      <c r="BB21" s="225">
        <f>BA21-CFS!BB35</f>
        <v>362</v>
      </c>
      <c r="BC21" s="282">
        <f>BB21-CFS!BC35</f>
        <v>362</v>
      </c>
      <c r="BD21" s="737">
        <f>BC21-CFS!BD35</f>
        <v>362</v>
      </c>
      <c r="BE21" s="737">
        <f>BD21-CFS!BE35</f>
        <v>362</v>
      </c>
      <c r="BF21" s="737">
        <f>BE21-CFS!BF35</f>
        <v>362</v>
      </c>
      <c r="BG21" s="282">
        <f>BF21-CFS!BG35</f>
        <v>362</v>
      </c>
      <c r="BH21" s="737">
        <f>BG21-CFS!BH35</f>
        <v>362</v>
      </c>
      <c r="BI21" s="737">
        <f>BH21-CFS!BI35</f>
        <v>362</v>
      </c>
      <c r="BJ21" s="737">
        <f>BI21-CFS!BJ35</f>
        <v>362</v>
      </c>
      <c r="BK21" s="282">
        <f>BJ21-CFS!BK35</f>
        <v>362</v>
      </c>
      <c r="BL21" s="522"/>
      <c r="BM21" s="225">
        <f t="shared" si="36"/>
        <v>201.066</v>
      </c>
      <c r="BN21" s="225">
        <f t="shared" si="37"/>
        <v>373.178</v>
      </c>
      <c r="BO21" s="225">
        <f t="shared" si="38"/>
        <v>388.42899999999997</v>
      </c>
      <c r="BP21" s="225">
        <f t="shared" si="39"/>
        <v>306.416</v>
      </c>
      <c r="BQ21" s="225">
        <f t="shared" si="40"/>
        <v>286.82100000000003</v>
      </c>
      <c r="BR21" s="225">
        <f t="shared" si="41"/>
        <v>211</v>
      </c>
      <c r="BS21" s="225">
        <f t="shared" si="42"/>
        <v>1355</v>
      </c>
      <c r="BT21" s="737">
        <f t="shared" si="43"/>
        <v>1103</v>
      </c>
      <c r="BU21" s="737">
        <f t="shared" si="44"/>
        <v>951</v>
      </c>
      <c r="BV21" s="225">
        <f t="shared" si="45"/>
        <v>762</v>
      </c>
      <c r="BW21" s="225">
        <f t="shared" si="46"/>
        <v>575</v>
      </c>
      <c r="BX21" s="225">
        <f t="shared" si="47"/>
        <v>412</v>
      </c>
      <c r="BY21" s="737">
        <f t="shared" si="48"/>
        <v>362</v>
      </c>
      <c r="BZ21" s="282">
        <f t="shared" si="49"/>
        <v>362</v>
      </c>
      <c r="CA21" s="282">
        <f t="shared" si="50"/>
        <v>362</v>
      </c>
      <c r="CB21" s="734"/>
      <c r="CC21" s="734"/>
      <c r="CD21" s="734"/>
      <c r="CK21" s="206"/>
    </row>
    <row r="22" spans="1:89" ht="14.25" customHeight="1">
      <c r="A22" s="203"/>
      <c r="B22" s="227" t="s">
        <v>163</v>
      </c>
      <c r="C22" s="331"/>
      <c r="D22" s="296">
        <v>157.37299999999999</v>
      </c>
      <c r="E22" s="297">
        <v>151.822</v>
      </c>
      <c r="F22" s="297">
        <v>251.36799999999999</v>
      </c>
      <c r="G22" s="286">
        <v>287.03899999999999</v>
      </c>
      <c r="H22" s="296">
        <v>281.33100000000002</v>
      </c>
      <c r="I22" s="297">
        <v>272.56100000000004</v>
      </c>
      <c r="J22" s="297">
        <v>283.38900000000001</v>
      </c>
      <c r="K22" s="286">
        <v>261.43</v>
      </c>
      <c r="L22" s="296">
        <v>265.61500000000001</v>
      </c>
      <c r="M22" s="297">
        <v>264.66399999999999</v>
      </c>
      <c r="N22" s="297">
        <v>261.94</v>
      </c>
      <c r="O22" s="286">
        <v>217.803</v>
      </c>
      <c r="P22" s="296">
        <v>290.03199999999998</v>
      </c>
      <c r="Q22" s="297">
        <v>224.608</v>
      </c>
      <c r="R22" s="297">
        <v>238.173</v>
      </c>
      <c r="S22" s="286">
        <v>265.35000000000002</v>
      </c>
      <c r="T22" s="297">
        <v>269.36399999999998</v>
      </c>
      <c r="U22" s="297">
        <v>280.06200000000001</v>
      </c>
      <c r="V22" s="297">
        <v>274.26799999999997</v>
      </c>
      <c r="W22" s="297">
        <v>284.49599999999998</v>
      </c>
      <c r="X22" s="296">
        <v>279</v>
      </c>
      <c r="Y22" s="297">
        <v>274</v>
      </c>
      <c r="Z22" s="297">
        <v>223</v>
      </c>
      <c r="AA22" s="297">
        <v>163</v>
      </c>
      <c r="AB22" s="296">
        <v>135</v>
      </c>
      <c r="AC22" s="297">
        <v>134</v>
      </c>
      <c r="AD22" s="297">
        <v>131</v>
      </c>
      <c r="AE22" s="297">
        <v>162</v>
      </c>
      <c r="AF22" s="296">
        <v>167</v>
      </c>
      <c r="AG22" s="297">
        <v>128</v>
      </c>
      <c r="AH22" s="297">
        <v>145</v>
      </c>
      <c r="AI22" s="297">
        <v>149</v>
      </c>
      <c r="AJ22" s="296">
        <v>155</v>
      </c>
      <c r="AK22" s="297">
        <v>151</v>
      </c>
      <c r="AL22" s="297">
        <v>132</v>
      </c>
      <c r="AM22" s="297">
        <v>156</v>
      </c>
      <c r="AN22" s="296">
        <v>137</v>
      </c>
      <c r="AO22" s="297">
        <v>153</v>
      </c>
      <c r="AP22" s="297">
        <v>155</v>
      </c>
      <c r="AQ22" s="286">
        <v>145</v>
      </c>
      <c r="AR22" s="296">
        <v>496</v>
      </c>
      <c r="AS22" s="297">
        <v>537</v>
      </c>
      <c r="AT22" s="297">
        <v>509</v>
      </c>
      <c r="AU22" s="286">
        <v>478</v>
      </c>
      <c r="AV22" s="296">
        <v>449</v>
      </c>
      <c r="AW22" s="297">
        <v>472</v>
      </c>
      <c r="AX22" s="297">
        <v>474</v>
      </c>
      <c r="AY22" s="286">
        <v>512</v>
      </c>
      <c r="AZ22" s="296">
        <v>506</v>
      </c>
      <c r="BA22" s="225">
        <f t="shared" ref="BA22:BC22" si="60">AZ22</f>
        <v>506</v>
      </c>
      <c r="BB22" s="225">
        <f t="shared" si="60"/>
        <v>506</v>
      </c>
      <c r="BC22" s="282">
        <f t="shared" si="60"/>
        <v>506</v>
      </c>
      <c r="BD22" s="737">
        <f t="shared" ref="BD22" si="61">BC22</f>
        <v>506</v>
      </c>
      <c r="BE22" s="737">
        <f t="shared" ref="BE22" si="62">BD22</f>
        <v>506</v>
      </c>
      <c r="BF22" s="737">
        <f t="shared" ref="BF22" si="63">BE22</f>
        <v>506</v>
      </c>
      <c r="BG22" s="282">
        <f t="shared" ref="BG22" si="64">BF22</f>
        <v>506</v>
      </c>
      <c r="BH22" s="737">
        <f t="shared" ref="BH22" si="65">BG22</f>
        <v>506</v>
      </c>
      <c r="BI22" s="737">
        <f t="shared" ref="BI22" si="66">BH22</f>
        <v>506</v>
      </c>
      <c r="BJ22" s="737">
        <f t="shared" ref="BJ22" si="67">BI22</f>
        <v>506</v>
      </c>
      <c r="BK22" s="282">
        <f t="shared" ref="BK22" si="68">BJ22</f>
        <v>506</v>
      </c>
      <c r="BL22" s="522"/>
      <c r="BM22" s="225">
        <f t="shared" si="36"/>
        <v>287.03899999999999</v>
      </c>
      <c r="BN22" s="225">
        <f t="shared" si="37"/>
        <v>261.43</v>
      </c>
      <c r="BO22" s="225">
        <f t="shared" si="38"/>
        <v>217.803</v>
      </c>
      <c r="BP22" s="225">
        <f t="shared" si="39"/>
        <v>265.35000000000002</v>
      </c>
      <c r="BQ22" s="225">
        <f t="shared" si="40"/>
        <v>284.49599999999998</v>
      </c>
      <c r="BR22" s="225">
        <f t="shared" si="41"/>
        <v>163</v>
      </c>
      <c r="BS22" s="225">
        <f t="shared" si="42"/>
        <v>162</v>
      </c>
      <c r="BT22" s="737">
        <f t="shared" si="43"/>
        <v>149</v>
      </c>
      <c r="BU22" s="737">
        <f t="shared" si="44"/>
        <v>156</v>
      </c>
      <c r="BV22" s="225">
        <f t="shared" si="45"/>
        <v>145</v>
      </c>
      <c r="BW22" s="225">
        <f t="shared" si="46"/>
        <v>478</v>
      </c>
      <c r="BX22" s="225">
        <f t="shared" si="47"/>
        <v>512</v>
      </c>
      <c r="BY22" s="737">
        <f t="shared" si="48"/>
        <v>506</v>
      </c>
      <c r="BZ22" s="282">
        <f t="shared" si="49"/>
        <v>506</v>
      </c>
      <c r="CA22" s="282">
        <f t="shared" si="50"/>
        <v>506</v>
      </c>
      <c r="CB22" s="734"/>
      <c r="CC22" s="734"/>
      <c r="CD22" s="734"/>
      <c r="CK22" s="206"/>
    </row>
    <row r="23" spans="1:89" ht="14.25" customHeight="1">
      <c r="A23" s="203"/>
      <c r="B23" s="533" t="s">
        <v>402</v>
      </c>
      <c r="C23" s="532"/>
      <c r="D23" s="477">
        <f t="shared" ref="D23:AQ23" si="69">SUM(D16:D22)+D14</f>
        <v>11209.907999999999</v>
      </c>
      <c r="E23" s="475">
        <f t="shared" si="69"/>
        <v>11451.756000000001</v>
      </c>
      <c r="F23" s="475">
        <f t="shared" si="69"/>
        <v>11773.857</v>
      </c>
      <c r="G23" s="476">
        <f t="shared" si="69"/>
        <v>9480.8369999999995</v>
      </c>
      <c r="H23" s="477">
        <f t="shared" si="69"/>
        <v>9808.0030000000006</v>
      </c>
      <c r="I23" s="475">
        <f t="shared" si="69"/>
        <v>9896.2230000000018</v>
      </c>
      <c r="J23" s="475">
        <f t="shared" si="69"/>
        <v>10365.383</v>
      </c>
      <c r="K23" s="476">
        <f t="shared" si="69"/>
        <v>10654.075000000001</v>
      </c>
      <c r="L23" s="477">
        <f t="shared" si="69"/>
        <v>10352.488000000001</v>
      </c>
      <c r="M23" s="475">
        <f t="shared" si="69"/>
        <v>10970.95</v>
      </c>
      <c r="N23" s="475">
        <f t="shared" si="69"/>
        <v>10998.441000000001</v>
      </c>
      <c r="O23" s="476">
        <f t="shared" si="69"/>
        <v>10906.317999999999</v>
      </c>
      <c r="P23" s="477">
        <f t="shared" si="69"/>
        <v>10427.602999999999</v>
      </c>
      <c r="Q23" s="475">
        <f t="shared" si="69"/>
        <v>9749.099000000002</v>
      </c>
      <c r="R23" s="475">
        <f t="shared" si="69"/>
        <v>9580.280999999999</v>
      </c>
      <c r="S23" s="476">
        <f t="shared" si="69"/>
        <v>9574.2430000000004</v>
      </c>
      <c r="T23" s="475">
        <f t="shared" si="69"/>
        <v>10003.838</v>
      </c>
      <c r="U23" s="475">
        <f t="shared" si="69"/>
        <v>10449.749</v>
      </c>
      <c r="V23" s="475">
        <f t="shared" si="69"/>
        <v>10726.148000000001</v>
      </c>
      <c r="W23" s="476">
        <f t="shared" si="69"/>
        <v>10943.344999999999</v>
      </c>
      <c r="X23" s="477">
        <f t="shared" si="69"/>
        <v>11274</v>
      </c>
      <c r="Y23" s="475">
        <f t="shared" si="69"/>
        <v>11957</v>
      </c>
      <c r="Z23" s="475">
        <f t="shared" si="69"/>
        <v>14103</v>
      </c>
      <c r="AA23" s="476">
        <f t="shared" si="69"/>
        <v>13861</v>
      </c>
      <c r="AB23" s="477">
        <f t="shared" si="69"/>
        <v>13597</v>
      </c>
      <c r="AC23" s="475">
        <f t="shared" si="69"/>
        <v>13877</v>
      </c>
      <c r="AD23" s="475">
        <f t="shared" si="69"/>
        <v>13320</v>
      </c>
      <c r="AE23" s="476">
        <f t="shared" si="69"/>
        <v>12102</v>
      </c>
      <c r="AF23" s="477">
        <f t="shared" si="69"/>
        <v>11714</v>
      </c>
      <c r="AG23" s="475">
        <f t="shared" si="69"/>
        <v>11695</v>
      </c>
      <c r="AH23" s="475">
        <f t="shared" si="69"/>
        <v>11751</v>
      </c>
      <c r="AI23" s="476">
        <f t="shared" si="69"/>
        <v>12043</v>
      </c>
      <c r="AJ23" s="477">
        <f t="shared" si="69"/>
        <v>12199</v>
      </c>
      <c r="AK23" s="475">
        <f t="shared" si="69"/>
        <v>12555</v>
      </c>
      <c r="AL23" s="475">
        <f t="shared" si="69"/>
        <v>12851</v>
      </c>
      <c r="AM23" s="476">
        <f t="shared" si="69"/>
        <v>13174</v>
      </c>
      <c r="AN23" s="477">
        <f t="shared" si="69"/>
        <v>13073</v>
      </c>
      <c r="AO23" s="475">
        <f t="shared" si="69"/>
        <v>13587</v>
      </c>
      <c r="AP23" s="475">
        <f t="shared" si="69"/>
        <v>13153</v>
      </c>
      <c r="AQ23" s="476">
        <f t="shared" si="69"/>
        <v>15308</v>
      </c>
      <c r="AR23" s="477">
        <f t="shared" ref="AR23:AW23" si="70">SUM(AR16:AR22)+AR14</f>
        <v>13326</v>
      </c>
      <c r="AS23" s="475">
        <f t="shared" si="70"/>
        <v>13075</v>
      </c>
      <c r="AT23" s="475">
        <f t="shared" si="70"/>
        <v>13699</v>
      </c>
      <c r="AU23" s="476">
        <f t="shared" si="70"/>
        <v>14588</v>
      </c>
      <c r="AV23" s="477">
        <f t="shared" si="70"/>
        <v>15244</v>
      </c>
      <c r="AW23" s="475">
        <f t="shared" si="70"/>
        <v>18240</v>
      </c>
      <c r="AX23" s="475">
        <f t="shared" ref="AX23" si="71">SUM(AX16:AX22)+AX14</f>
        <v>19078</v>
      </c>
      <c r="AY23" s="476">
        <f t="shared" ref="AY23" si="72">SUM(AY16:AY22)+AY14</f>
        <v>19419</v>
      </c>
      <c r="AZ23" s="477">
        <f t="shared" ref="AZ23" si="73">SUM(AZ16:AZ22)+AZ14</f>
        <v>19663</v>
      </c>
      <c r="BA23" s="475">
        <f t="shared" ref="BA23:BG23" si="74">SUM(BA16:BA22)+BA14</f>
        <v>20164.474569888844</v>
      </c>
      <c r="BB23" s="475">
        <f t="shared" si="74"/>
        <v>20279.090374838444</v>
      </c>
      <c r="BC23" s="476">
        <f t="shared" si="74"/>
        <v>20487.24082955053</v>
      </c>
      <c r="BD23" s="475">
        <f t="shared" si="74"/>
        <v>20479.057162136385</v>
      </c>
      <c r="BE23" s="475">
        <f t="shared" si="74"/>
        <v>20560.423527189869</v>
      </c>
      <c r="BF23" s="475">
        <f t="shared" si="74"/>
        <v>20647.551642494989</v>
      </c>
      <c r="BG23" s="476">
        <f t="shared" si="74"/>
        <v>20752.177574735091</v>
      </c>
      <c r="BH23" s="475">
        <f t="shared" ref="BH23:BK23" si="75">SUM(BH16:BH22)+BH14</f>
        <v>20805.184986941626</v>
      </c>
      <c r="BI23" s="475">
        <f t="shared" si="75"/>
        <v>20906.867123403357</v>
      </c>
      <c r="BJ23" s="475">
        <f t="shared" si="75"/>
        <v>21026.783619162466</v>
      </c>
      <c r="BK23" s="476">
        <f t="shared" si="75"/>
        <v>21125.09722860267</v>
      </c>
      <c r="BL23" s="522"/>
      <c r="BM23" s="475">
        <f t="shared" ref="BM23:BX23" si="76">SUM(BM16:BM22)+BM14</f>
        <v>9480.8369999999995</v>
      </c>
      <c r="BN23" s="475">
        <f t="shared" si="76"/>
        <v>10654.075000000001</v>
      </c>
      <c r="BO23" s="475">
        <f t="shared" si="76"/>
        <v>10906.317999999999</v>
      </c>
      <c r="BP23" s="475">
        <f t="shared" si="76"/>
        <v>9574.2430000000004</v>
      </c>
      <c r="BQ23" s="475">
        <f t="shared" si="76"/>
        <v>10943.344999999999</v>
      </c>
      <c r="BR23" s="475">
        <f t="shared" si="76"/>
        <v>13861</v>
      </c>
      <c r="BS23" s="475">
        <f t="shared" si="76"/>
        <v>12102</v>
      </c>
      <c r="BT23" s="475">
        <f t="shared" si="76"/>
        <v>12043</v>
      </c>
      <c r="BU23" s="475">
        <f t="shared" si="76"/>
        <v>13174</v>
      </c>
      <c r="BV23" s="475">
        <f t="shared" si="76"/>
        <v>15308</v>
      </c>
      <c r="BW23" s="475">
        <f t="shared" si="76"/>
        <v>14588</v>
      </c>
      <c r="BX23" s="475">
        <f t="shared" si="76"/>
        <v>19419</v>
      </c>
      <c r="BY23" s="475">
        <f>SUM(BY16:BY22)+BY14</f>
        <v>20487.24082955053</v>
      </c>
      <c r="BZ23" s="476">
        <f>SUM(BZ16:BZ22)+BZ14</f>
        <v>20752.177574735091</v>
      </c>
      <c r="CA23" s="476">
        <f>SUM(CA16:CA22)+CA14</f>
        <v>21125.09722860267</v>
      </c>
      <c r="CB23" s="734"/>
      <c r="CC23" s="734"/>
      <c r="CD23" s="734"/>
      <c r="CK23" s="206"/>
    </row>
    <row r="24" spans="1:89" ht="14.25" customHeight="1">
      <c r="A24" s="203"/>
      <c r="B24" s="217"/>
      <c r="C24" s="216"/>
      <c r="D24" s="296"/>
      <c r="E24" s="297"/>
      <c r="F24" s="297"/>
      <c r="G24" s="286"/>
      <c r="H24" s="296"/>
      <c r="I24" s="297"/>
      <c r="J24" s="297"/>
      <c r="K24" s="286"/>
      <c r="L24" s="296"/>
      <c r="M24" s="297"/>
      <c r="N24" s="297"/>
      <c r="O24" s="286"/>
      <c r="P24" s="296"/>
      <c r="Q24" s="297"/>
      <c r="R24" s="297"/>
      <c r="S24" s="286"/>
      <c r="T24" s="297"/>
      <c r="U24" s="297"/>
      <c r="V24" s="297"/>
      <c r="W24" s="297"/>
      <c r="X24" s="296"/>
      <c r="Y24" s="297"/>
      <c r="Z24" s="297"/>
      <c r="AA24" s="297"/>
      <c r="AB24" s="296"/>
      <c r="AC24" s="297"/>
      <c r="AD24" s="297"/>
      <c r="AE24" s="297"/>
      <c r="AF24" s="296"/>
      <c r="AG24" s="297"/>
      <c r="AH24" s="297"/>
      <c r="AI24" s="297"/>
      <c r="AJ24" s="310"/>
      <c r="AK24" s="312"/>
      <c r="AL24" s="312"/>
      <c r="AM24" s="489"/>
      <c r="AN24" s="310"/>
      <c r="AO24" s="312"/>
      <c r="AP24" s="312"/>
      <c r="AQ24" s="489"/>
      <c r="AR24" s="310"/>
      <c r="AS24" s="312"/>
      <c r="AT24" s="312"/>
      <c r="AU24" s="489"/>
      <c r="AV24" s="310"/>
      <c r="AW24" s="312"/>
      <c r="AX24" s="312"/>
      <c r="AY24" s="489"/>
      <c r="AZ24" s="753"/>
      <c r="BA24" s="297"/>
      <c r="BB24" s="297"/>
      <c r="BC24" s="286"/>
      <c r="BD24" s="297"/>
      <c r="BE24" s="297"/>
      <c r="BF24" s="297"/>
      <c r="BG24" s="286"/>
      <c r="BH24" s="297"/>
      <c r="BI24" s="297"/>
      <c r="BJ24" s="297"/>
      <c r="BK24" s="286"/>
      <c r="BL24" s="522"/>
      <c r="BM24" s="297"/>
      <c r="BN24" s="297"/>
      <c r="BO24" s="297"/>
      <c r="BP24" s="297"/>
      <c r="BQ24" s="297"/>
      <c r="BR24" s="297"/>
      <c r="BS24" s="297"/>
      <c r="BT24" s="297"/>
      <c r="BU24" s="297"/>
      <c r="BV24" s="297"/>
      <c r="BW24" s="297"/>
      <c r="BX24" s="297"/>
      <c r="BY24" s="297"/>
      <c r="BZ24" s="286"/>
      <c r="CA24" s="286"/>
      <c r="CB24" s="734"/>
      <c r="CC24" s="734"/>
      <c r="CD24" s="734"/>
      <c r="CK24" s="206"/>
    </row>
    <row r="25" spans="1:89" ht="14.25" customHeight="1">
      <c r="A25" s="203"/>
      <c r="B25" s="531" t="s">
        <v>401</v>
      </c>
      <c r="C25" s="530"/>
      <c r="D25" s="296"/>
      <c r="E25" s="297"/>
      <c r="F25" s="297"/>
      <c r="G25" s="286"/>
      <c r="H25" s="296"/>
      <c r="I25" s="297"/>
      <c r="J25" s="297"/>
      <c r="K25" s="286"/>
      <c r="L25" s="296"/>
      <c r="M25" s="297"/>
      <c r="N25" s="297"/>
      <c r="O25" s="286"/>
      <c r="P25" s="296"/>
      <c r="Q25" s="297"/>
      <c r="R25" s="297"/>
      <c r="S25" s="286"/>
      <c r="T25" s="297"/>
      <c r="U25" s="297"/>
      <c r="V25" s="297"/>
      <c r="W25" s="297"/>
      <c r="X25" s="296"/>
      <c r="Y25" s="297"/>
      <c r="Z25" s="297"/>
      <c r="AA25" s="297"/>
      <c r="AB25" s="296"/>
      <c r="AC25" s="297"/>
      <c r="AD25" s="297"/>
      <c r="AE25" s="297"/>
      <c r="AF25" s="296"/>
      <c r="AG25" s="297"/>
      <c r="AH25" s="297"/>
      <c r="AI25" s="297"/>
      <c r="AJ25" s="296"/>
      <c r="AK25" s="297"/>
      <c r="AL25" s="297"/>
      <c r="AM25" s="286"/>
      <c r="AN25" s="296"/>
      <c r="AO25" s="297"/>
      <c r="AP25" s="297"/>
      <c r="AQ25" s="286"/>
      <c r="AR25" s="296"/>
      <c r="AS25" s="297"/>
      <c r="AT25" s="297"/>
      <c r="AU25" s="286"/>
      <c r="AV25" s="296"/>
      <c r="AW25" s="297"/>
      <c r="AX25" s="297"/>
      <c r="AY25" s="286"/>
      <c r="AZ25" s="296"/>
      <c r="BA25" s="297"/>
      <c r="BB25" s="297"/>
      <c r="BC25" s="286"/>
      <c r="BD25" s="297"/>
      <c r="BE25" s="297"/>
      <c r="BF25" s="297"/>
      <c r="BG25" s="286"/>
      <c r="BH25" s="297"/>
      <c r="BI25" s="297"/>
      <c r="BJ25" s="297"/>
      <c r="BK25" s="286"/>
      <c r="BL25" s="522"/>
      <c r="BM25" s="297"/>
      <c r="BN25" s="297"/>
      <c r="BO25" s="297"/>
      <c r="BP25" s="297"/>
      <c r="BQ25" s="297"/>
      <c r="BR25" s="297"/>
      <c r="BS25" s="297"/>
      <c r="BT25" s="297"/>
      <c r="BU25" s="297"/>
      <c r="BV25" s="297"/>
      <c r="BW25" s="297"/>
      <c r="BX25" s="297"/>
      <c r="BY25" s="297"/>
      <c r="BZ25" s="286"/>
      <c r="CA25" s="286"/>
      <c r="CB25" s="734"/>
      <c r="CC25" s="734"/>
      <c r="CD25" s="734"/>
      <c r="CK25" s="206"/>
    </row>
    <row r="26" spans="1:89" ht="14.25" customHeight="1">
      <c r="A26" s="203"/>
      <c r="B26" s="227" t="s">
        <v>422</v>
      </c>
      <c r="C26" s="331"/>
      <c r="D26" s="296">
        <v>1603.963</v>
      </c>
      <c r="E26" s="297">
        <v>1894.239</v>
      </c>
      <c r="F26" s="297">
        <v>2189.5390000000002</v>
      </c>
      <c r="G26" s="286">
        <v>2023.6510000000001</v>
      </c>
      <c r="H26" s="296">
        <v>1910.7180000000001</v>
      </c>
      <c r="I26" s="297">
        <v>2037.1690000000001</v>
      </c>
      <c r="J26" s="297">
        <v>2203.223</v>
      </c>
      <c r="K26" s="286">
        <v>2213.3130000000001</v>
      </c>
      <c r="L26" s="296">
        <v>2174.683</v>
      </c>
      <c r="M26" s="297">
        <v>2598.8910000000001</v>
      </c>
      <c r="N26" s="297">
        <v>2790.9839999999999</v>
      </c>
      <c r="O26" s="286">
        <v>2771.09</v>
      </c>
      <c r="P26" s="296">
        <v>2387.837</v>
      </c>
      <c r="Q26" s="297">
        <v>2010.89</v>
      </c>
      <c r="R26" s="297">
        <v>1968.0169999999998</v>
      </c>
      <c r="S26" s="286">
        <v>1922.2950000000001</v>
      </c>
      <c r="T26" s="297">
        <v>2245.3879999999999</v>
      </c>
      <c r="U26" s="297">
        <v>2420.8829999999998</v>
      </c>
      <c r="V26" s="297">
        <v>2680.5439999999999</v>
      </c>
      <c r="W26" s="286">
        <v>2613.1970000000001</v>
      </c>
      <c r="X26" s="296">
        <v>2637</v>
      </c>
      <c r="Y26" s="297">
        <v>3039</v>
      </c>
      <c r="Z26" s="297">
        <v>1653</v>
      </c>
      <c r="AA26" s="286">
        <v>1520</v>
      </c>
      <c r="AB26" s="296">
        <v>1327</v>
      </c>
      <c r="AC26" s="297">
        <v>1466</v>
      </c>
      <c r="AD26" s="297">
        <v>1410</v>
      </c>
      <c r="AE26" s="286">
        <v>1436</v>
      </c>
      <c r="AF26" s="296">
        <v>1287</v>
      </c>
      <c r="AG26" s="297">
        <v>1462</v>
      </c>
      <c r="AH26" s="297">
        <v>1446</v>
      </c>
      <c r="AI26" s="286">
        <v>1649</v>
      </c>
      <c r="AJ26" s="296">
        <v>1576</v>
      </c>
      <c r="AK26" s="297">
        <v>1663</v>
      </c>
      <c r="AL26" s="297">
        <v>1689</v>
      </c>
      <c r="AM26" s="286">
        <v>1883</v>
      </c>
      <c r="AN26" s="296">
        <v>1737</v>
      </c>
      <c r="AO26" s="297">
        <v>1822</v>
      </c>
      <c r="AP26" s="297">
        <v>2162</v>
      </c>
      <c r="AQ26" s="286">
        <v>1833</v>
      </c>
      <c r="AR26" s="296">
        <v>1457</v>
      </c>
      <c r="AS26" s="297">
        <v>1630</v>
      </c>
      <c r="AT26" s="297">
        <v>1800</v>
      </c>
      <c r="AU26" s="286">
        <v>2056</v>
      </c>
      <c r="AV26" s="296">
        <v>2139</v>
      </c>
      <c r="AW26" s="297">
        <v>2310</v>
      </c>
      <c r="AX26" s="297">
        <v>2255</v>
      </c>
      <c r="AY26" s="286">
        <v>2450</v>
      </c>
      <c r="AZ26" s="296">
        <v>2381</v>
      </c>
      <c r="BA26" s="528">
        <f t="shared" ref="BA26:BC26" si="77">BA50/360*BA54*4</f>
        <v>2525.8615352045672</v>
      </c>
      <c r="BB26" s="528">
        <f t="shared" si="77"/>
        <v>2459.6411479127019</v>
      </c>
      <c r="BC26" s="529">
        <f t="shared" si="77"/>
        <v>2475.4416291497978</v>
      </c>
      <c r="BD26" s="528">
        <f t="shared" ref="BD26:BG26" si="78">BD50/360*BD54*4</f>
        <v>2408.2060459117124</v>
      </c>
      <c r="BE26" s="528">
        <f t="shared" si="78"/>
        <v>2429.8796061323269</v>
      </c>
      <c r="BF26" s="528">
        <f t="shared" si="78"/>
        <v>2466.1223847896772</v>
      </c>
      <c r="BG26" s="529">
        <f t="shared" si="78"/>
        <v>2499.6713846443336</v>
      </c>
      <c r="BH26" s="528">
        <f t="shared" ref="BH26:BK26" si="79">BH50/360*BH54*4</f>
        <v>2480.9554428383453</v>
      </c>
      <c r="BI26" s="528">
        <f t="shared" si="79"/>
        <v>2502.7728090628484</v>
      </c>
      <c r="BJ26" s="528">
        <f t="shared" si="79"/>
        <v>2528.6424617855623</v>
      </c>
      <c r="BK26" s="529">
        <f t="shared" si="79"/>
        <v>2531.2370295305041</v>
      </c>
      <c r="BL26" s="522"/>
      <c r="BM26" s="225">
        <f>G26</f>
        <v>2023.6510000000001</v>
      </c>
      <c r="BN26" s="225">
        <f>K26</f>
        <v>2213.3130000000001</v>
      </c>
      <c r="BO26" s="225">
        <f>O26</f>
        <v>2771.09</v>
      </c>
      <c r="BP26" s="225">
        <f>S26</f>
        <v>1922.2950000000001</v>
      </c>
      <c r="BQ26" s="225">
        <f>W26</f>
        <v>2613.1970000000001</v>
      </c>
      <c r="BR26" s="225">
        <f>AA26</f>
        <v>1520</v>
      </c>
      <c r="BS26" s="225">
        <f>AE26</f>
        <v>1436</v>
      </c>
      <c r="BT26" s="737">
        <f>AI26</f>
        <v>1649</v>
      </c>
      <c r="BU26" s="737">
        <f>AM26</f>
        <v>1883</v>
      </c>
      <c r="BV26" s="225">
        <f>AQ26</f>
        <v>1833</v>
      </c>
      <c r="BW26" s="225">
        <f>AU26</f>
        <v>2056</v>
      </c>
      <c r="BX26" s="225">
        <f>AY26</f>
        <v>2450</v>
      </c>
      <c r="BY26" s="737">
        <f>BC26</f>
        <v>2475.4416291497978</v>
      </c>
      <c r="BZ26" s="282">
        <f t="shared" ref="BZ26:BZ30" si="80">BG26</f>
        <v>2499.6713846443336</v>
      </c>
      <c r="CA26" s="282">
        <f t="shared" ref="CA26:CA30" si="81">BK26</f>
        <v>2531.2370295305041</v>
      </c>
      <c r="CB26" s="734"/>
      <c r="CC26" s="734"/>
      <c r="CD26" s="734"/>
      <c r="CK26" s="206"/>
    </row>
    <row r="27" spans="1:89" ht="14.25" customHeight="1">
      <c r="A27" s="203"/>
      <c r="B27" s="227" t="s">
        <v>400</v>
      </c>
      <c r="C27" s="331"/>
      <c r="D27" s="296">
        <v>0</v>
      </c>
      <c r="E27" s="297">
        <v>0</v>
      </c>
      <c r="F27" s="297">
        <v>0</v>
      </c>
      <c r="G27" s="286">
        <v>0</v>
      </c>
      <c r="H27" s="296">
        <v>0</v>
      </c>
      <c r="I27" s="297">
        <v>0</v>
      </c>
      <c r="J27" s="297">
        <v>0</v>
      </c>
      <c r="K27" s="286">
        <v>0</v>
      </c>
      <c r="L27" s="296">
        <v>0</v>
      </c>
      <c r="M27" s="297">
        <v>0</v>
      </c>
      <c r="N27" s="297">
        <v>0</v>
      </c>
      <c r="O27" s="286">
        <v>0</v>
      </c>
      <c r="P27" s="296">
        <v>0</v>
      </c>
      <c r="Q27" s="297">
        <v>0</v>
      </c>
      <c r="R27" s="297">
        <v>0</v>
      </c>
      <c r="S27" s="286">
        <v>0</v>
      </c>
      <c r="T27" s="297">
        <v>0</v>
      </c>
      <c r="U27" s="297">
        <v>0</v>
      </c>
      <c r="V27" s="297">
        <v>0</v>
      </c>
      <c r="W27" s="286">
        <v>0</v>
      </c>
      <c r="X27" s="297">
        <v>0</v>
      </c>
      <c r="Y27" s="297">
        <v>0</v>
      </c>
      <c r="Z27" s="297">
        <v>1347</v>
      </c>
      <c r="AA27" s="286">
        <v>1116</v>
      </c>
      <c r="AB27" s="297">
        <v>1014</v>
      </c>
      <c r="AC27" s="297">
        <v>1113</v>
      </c>
      <c r="AD27" s="297">
        <v>937</v>
      </c>
      <c r="AE27" s="286">
        <v>755</v>
      </c>
      <c r="AF27" s="297">
        <v>678</v>
      </c>
      <c r="AG27" s="297">
        <v>739</v>
      </c>
      <c r="AH27" s="297">
        <v>756</v>
      </c>
      <c r="AI27" s="286">
        <v>794</v>
      </c>
      <c r="AJ27" s="297">
        <v>901</v>
      </c>
      <c r="AK27" s="297">
        <v>999</v>
      </c>
      <c r="AL27" s="297">
        <v>1066</v>
      </c>
      <c r="AM27" s="286">
        <v>940</v>
      </c>
      <c r="AN27" s="297">
        <v>784</v>
      </c>
      <c r="AO27" s="297">
        <v>874</v>
      </c>
      <c r="AP27" s="297">
        <v>858</v>
      </c>
      <c r="AQ27" s="286">
        <v>765</v>
      </c>
      <c r="AR27" s="297">
        <v>850</v>
      </c>
      <c r="AS27" s="297">
        <v>981</v>
      </c>
      <c r="AT27" s="297">
        <v>1164</v>
      </c>
      <c r="AU27" s="286">
        <v>1376</v>
      </c>
      <c r="AV27" s="297">
        <v>1669</v>
      </c>
      <c r="AW27" s="297">
        <v>1787</v>
      </c>
      <c r="AX27" s="297">
        <v>2116</v>
      </c>
      <c r="AY27" s="286">
        <v>1665</v>
      </c>
      <c r="AZ27" s="297">
        <v>2018</v>
      </c>
      <c r="BA27" s="225">
        <f t="shared" ref="BA27:BC29" si="82">AZ27</f>
        <v>2018</v>
      </c>
      <c r="BB27" s="225">
        <f t="shared" si="82"/>
        <v>2018</v>
      </c>
      <c r="BC27" s="282">
        <f t="shared" si="82"/>
        <v>2018</v>
      </c>
      <c r="BD27" s="737">
        <f t="shared" ref="BD27:BD29" si="83">BC27</f>
        <v>2018</v>
      </c>
      <c r="BE27" s="737">
        <f t="shared" ref="BE27:BE29" si="84">BD27</f>
        <v>2018</v>
      </c>
      <c r="BF27" s="737">
        <f t="shared" ref="BF27:BF29" si="85">BE27</f>
        <v>2018</v>
      </c>
      <c r="BG27" s="282">
        <f t="shared" ref="BG27:BG29" si="86">BF27</f>
        <v>2018</v>
      </c>
      <c r="BH27" s="737">
        <f t="shared" ref="BH27:BH29" si="87">BG27</f>
        <v>2018</v>
      </c>
      <c r="BI27" s="737">
        <f t="shared" ref="BI27:BI29" si="88">BH27</f>
        <v>2018</v>
      </c>
      <c r="BJ27" s="737">
        <f t="shared" ref="BJ27:BJ29" si="89">BI27</f>
        <v>2018</v>
      </c>
      <c r="BK27" s="282">
        <f t="shared" ref="BK27:BK29" si="90">BJ27</f>
        <v>2018</v>
      </c>
      <c r="BL27" s="522"/>
      <c r="BM27" s="225">
        <f>G27</f>
        <v>0</v>
      </c>
      <c r="BN27" s="225">
        <f>K27</f>
        <v>0</v>
      </c>
      <c r="BO27" s="225">
        <f>O27</f>
        <v>0</v>
      </c>
      <c r="BP27" s="225">
        <f>S27</f>
        <v>0</v>
      </c>
      <c r="BQ27" s="225">
        <f>W27</f>
        <v>0</v>
      </c>
      <c r="BR27" s="225">
        <f>AA27</f>
        <v>1116</v>
      </c>
      <c r="BS27" s="225">
        <f>AE27</f>
        <v>755</v>
      </c>
      <c r="BT27" s="737">
        <f>AI27</f>
        <v>794</v>
      </c>
      <c r="BU27" s="737">
        <f>AM27</f>
        <v>940</v>
      </c>
      <c r="BV27" s="225">
        <f>AQ27</f>
        <v>765</v>
      </c>
      <c r="BW27" s="225">
        <f>AU27</f>
        <v>1376</v>
      </c>
      <c r="BX27" s="225">
        <f>AY27</f>
        <v>1665</v>
      </c>
      <c r="BY27" s="737">
        <f>BC27</f>
        <v>2018</v>
      </c>
      <c r="BZ27" s="282">
        <f t="shared" si="80"/>
        <v>2018</v>
      </c>
      <c r="CA27" s="282">
        <f t="shared" si="81"/>
        <v>2018</v>
      </c>
      <c r="CB27" s="734"/>
      <c r="CC27" s="734"/>
      <c r="CD27" s="734"/>
      <c r="CK27" s="206"/>
    </row>
    <row r="28" spans="1:89" ht="14.25" customHeight="1">
      <c r="A28" s="203"/>
      <c r="B28" s="227" t="s">
        <v>167</v>
      </c>
      <c r="C28" s="331"/>
      <c r="D28" s="296">
        <v>271.97300000000001</v>
      </c>
      <c r="E28" s="297">
        <v>290.74799999999999</v>
      </c>
      <c r="F28" s="297">
        <v>239.71799999999999</v>
      </c>
      <c r="G28" s="286">
        <v>209.85900000000001</v>
      </c>
      <c r="H28" s="296">
        <v>330.95699999999999</v>
      </c>
      <c r="I28" s="297">
        <v>218.35</v>
      </c>
      <c r="J28" s="297">
        <v>143.012</v>
      </c>
      <c r="K28" s="286">
        <v>157.54900000000001</v>
      </c>
      <c r="L28" s="296">
        <v>176.113</v>
      </c>
      <c r="M28" s="297">
        <v>105.785</v>
      </c>
      <c r="N28" s="297">
        <v>119.411</v>
      </c>
      <c r="O28" s="286">
        <v>173.39400000000001</v>
      </c>
      <c r="P28" s="296">
        <v>140.63499999999999</v>
      </c>
      <c r="Q28" s="297">
        <v>120.78700000000001</v>
      </c>
      <c r="R28" s="297">
        <v>69.763000000000005</v>
      </c>
      <c r="S28" s="286">
        <v>15.922000000000001</v>
      </c>
      <c r="T28" s="297">
        <v>30.16</v>
      </c>
      <c r="U28" s="297">
        <v>153.13399999999999</v>
      </c>
      <c r="V28" s="297">
        <v>207.08</v>
      </c>
      <c r="W28" s="286">
        <v>273.42099999999999</v>
      </c>
      <c r="X28" s="297">
        <v>276</v>
      </c>
      <c r="Y28" s="297">
        <v>211</v>
      </c>
      <c r="Z28" s="297">
        <v>278</v>
      </c>
      <c r="AA28" s="286">
        <v>158</v>
      </c>
      <c r="AB28" s="297">
        <v>151</v>
      </c>
      <c r="AC28" s="297">
        <v>86</v>
      </c>
      <c r="AD28" s="297">
        <v>61</v>
      </c>
      <c r="AE28" s="286">
        <v>74</v>
      </c>
      <c r="AF28" s="297">
        <v>0</v>
      </c>
      <c r="AG28" s="297">
        <v>0</v>
      </c>
      <c r="AH28" s="297">
        <v>0</v>
      </c>
      <c r="AI28" s="286">
        <v>0</v>
      </c>
      <c r="AJ28" s="297">
        <v>0</v>
      </c>
      <c r="AK28" s="297">
        <v>0</v>
      </c>
      <c r="AL28" s="297">
        <v>0</v>
      </c>
      <c r="AM28" s="286">
        <v>0</v>
      </c>
      <c r="AN28" s="297">
        <v>0</v>
      </c>
      <c r="AO28" s="297">
        <v>0</v>
      </c>
      <c r="AP28" s="297">
        <v>0</v>
      </c>
      <c r="AQ28" s="286">
        <v>0</v>
      </c>
      <c r="AR28" s="297">
        <v>0</v>
      </c>
      <c r="AS28" s="297">
        <v>0</v>
      </c>
      <c r="AT28" s="297">
        <v>0</v>
      </c>
      <c r="AU28" s="286">
        <v>0</v>
      </c>
      <c r="AV28" s="297">
        <v>0</v>
      </c>
      <c r="AW28" s="297">
        <v>0</v>
      </c>
      <c r="AX28" s="297">
        <v>0</v>
      </c>
      <c r="AY28" s="286">
        <v>0</v>
      </c>
      <c r="AZ28" s="297">
        <v>0</v>
      </c>
      <c r="BA28" s="225">
        <f t="shared" si="82"/>
        <v>0</v>
      </c>
      <c r="BB28" s="225">
        <f t="shared" si="82"/>
        <v>0</v>
      </c>
      <c r="BC28" s="282">
        <f t="shared" si="82"/>
        <v>0</v>
      </c>
      <c r="BD28" s="737">
        <f t="shared" si="83"/>
        <v>0</v>
      </c>
      <c r="BE28" s="737">
        <f t="shared" si="84"/>
        <v>0</v>
      </c>
      <c r="BF28" s="737">
        <f t="shared" si="85"/>
        <v>0</v>
      </c>
      <c r="BG28" s="282">
        <f t="shared" si="86"/>
        <v>0</v>
      </c>
      <c r="BH28" s="737">
        <f t="shared" si="87"/>
        <v>0</v>
      </c>
      <c r="BI28" s="737">
        <f t="shared" si="88"/>
        <v>0</v>
      </c>
      <c r="BJ28" s="737">
        <f t="shared" si="89"/>
        <v>0</v>
      </c>
      <c r="BK28" s="282">
        <f t="shared" si="90"/>
        <v>0</v>
      </c>
      <c r="BL28" s="522"/>
      <c r="BM28" s="225">
        <f>G28</f>
        <v>209.85900000000001</v>
      </c>
      <c r="BN28" s="225">
        <f>K28</f>
        <v>157.54900000000001</v>
      </c>
      <c r="BO28" s="225">
        <f>O28</f>
        <v>173.39400000000001</v>
      </c>
      <c r="BP28" s="225">
        <f>S28</f>
        <v>15.922000000000001</v>
      </c>
      <c r="BQ28" s="225">
        <f>W28</f>
        <v>273.42099999999999</v>
      </c>
      <c r="BR28" s="225">
        <f>AA28</f>
        <v>158</v>
      </c>
      <c r="BS28" s="225">
        <f>AE28</f>
        <v>74</v>
      </c>
      <c r="BT28" s="737">
        <f>AI28</f>
        <v>0</v>
      </c>
      <c r="BU28" s="737">
        <f>AM28</f>
        <v>0</v>
      </c>
      <c r="BV28" s="225">
        <f>AQ28</f>
        <v>0</v>
      </c>
      <c r="BW28" s="225">
        <f>AU28</f>
        <v>0</v>
      </c>
      <c r="BX28" s="225">
        <f>AY28</f>
        <v>0</v>
      </c>
      <c r="BY28" s="737">
        <f>BC28</f>
        <v>0</v>
      </c>
      <c r="BZ28" s="282">
        <f t="shared" si="80"/>
        <v>0</v>
      </c>
      <c r="CA28" s="282">
        <f t="shared" si="81"/>
        <v>0</v>
      </c>
      <c r="CB28" s="734"/>
      <c r="CC28" s="734"/>
      <c r="CD28" s="734"/>
      <c r="CK28" s="206"/>
    </row>
    <row r="29" spans="1:89" ht="14.25" customHeight="1">
      <c r="A29" s="203"/>
      <c r="B29" s="227" t="s">
        <v>399</v>
      </c>
      <c r="C29" s="331"/>
      <c r="D29" s="296">
        <v>0</v>
      </c>
      <c r="E29" s="297">
        <v>0</v>
      </c>
      <c r="F29" s="297">
        <v>0</v>
      </c>
      <c r="G29" s="286">
        <v>0</v>
      </c>
      <c r="H29" s="296">
        <v>0</v>
      </c>
      <c r="I29" s="297">
        <v>0</v>
      </c>
      <c r="J29" s="297">
        <v>0</v>
      </c>
      <c r="K29" s="286">
        <v>0</v>
      </c>
      <c r="L29" s="296">
        <v>0</v>
      </c>
      <c r="M29" s="297">
        <v>0</v>
      </c>
      <c r="N29" s="297">
        <v>0</v>
      </c>
      <c r="O29" s="286">
        <v>0</v>
      </c>
      <c r="P29" s="296">
        <v>0</v>
      </c>
      <c r="Q29" s="297">
        <v>0</v>
      </c>
      <c r="R29" s="297">
        <v>0</v>
      </c>
      <c r="S29" s="286">
        <v>0</v>
      </c>
      <c r="T29" s="297">
        <v>0</v>
      </c>
      <c r="U29" s="297">
        <v>0</v>
      </c>
      <c r="V29" s="297">
        <v>0</v>
      </c>
      <c r="W29" s="286">
        <v>0</v>
      </c>
      <c r="X29" s="297">
        <v>0</v>
      </c>
      <c r="Y29" s="297">
        <v>0</v>
      </c>
      <c r="Z29" s="297">
        <v>0</v>
      </c>
      <c r="AA29" s="286">
        <v>0</v>
      </c>
      <c r="AB29" s="297">
        <v>0</v>
      </c>
      <c r="AC29" s="297">
        <v>0</v>
      </c>
      <c r="AD29" s="297">
        <v>0</v>
      </c>
      <c r="AE29" s="286">
        <v>0</v>
      </c>
      <c r="AF29" s="297">
        <v>0</v>
      </c>
      <c r="AG29" s="297">
        <v>0</v>
      </c>
      <c r="AH29" s="297">
        <v>0</v>
      </c>
      <c r="AI29" s="286">
        <v>0</v>
      </c>
      <c r="AJ29" s="297">
        <v>0</v>
      </c>
      <c r="AK29" s="297">
        <v>0</v>
      </c>
      <c r="AL29" s="297">
        <v>0</v>
      </c>
      <c r="AM29" s="286">
        <v>0</v>
      </c>
      <c r="AN29" s="297">
        <v>0</v>
      </c>
      <c r="AO29" s="297">
        <v>0</v>
      </c>
      <c r="AP29" s="297">
        <v>0</v>
      </c>
      <c r="AQ29" s="286">
        <v>0</v>
      </c>
      <c r="AR29" s="297">
        <v>0</v>
      </c>
      <c r="AS29" s="297">
        <v>0</v>
      </c>
      <c r="AT29" s="297">
        <v>0</v>
      </c>
      <c r="AU29" s="286">
        <v>0</v>
      </c>
      <c r="AV29" s="297">
        <v>0</v>
      </c>
      <c r="AW29" s="297">
        <v>0</v>
      </c>
      <c r="AX29" s="297">
        <v>0</v>
      </c>
      <c r="AY29" s="286">
        <v>0</v>
      </c>
      <c r="AZ29" s="297">
        <v>0</v>
      </c>
      <c r="BA29" s="225">
        <f t="shared" si="82"/>
        <v>0</v>
      </c>
      <c r="BB29" s="225">
        <f t="shared" si="82"/>
        <v>0</v>
      </c>
      <c r="BC29" s="282">
        <f t="shared" si="82"/>
        <v>0</v>
      </c>
      <c r="BD29" s="737">
        <f t="shared" si="83"/>
        <v>0</v>
      </c>
      <c r="BE29" s="737">
        <f t="shared" si="84"/>
        <v>0</v>
      </c>
      <c r="BF29" s="737">
        <f t="shared" si="85"/>
        <v>0</v>
      </c>
      <c r="BG29" s="282">
        <f t="shared" si="86"/>
        <v>0</v>
      </c>
      <c r="BH29" s="737">
        <f t="shared" si="87"/>
        <v>0</v>
      </c>
      <c r="BI29" s="737">
        <f t="shared" si="88"/>
        <v>0</v>
      </c>
      <c r="BJ29" s="737">
        <f t="shared" si="89"/>
        <v>0</v>
      </c>
      <c r="BK29" s="282">
        <f t="shared" si="90"/>
        <v>0</v>
      </c>
      <c r="BL29" s="522"/>
      <c r="BM29" s="225">
        <f>G29</f>
        <v>0</v>
      </c>
      <c r="BN29" s="225">
        <f>K29</f>
        <v>0</v>
      </c>
      <c r="BO29" s="225">
        <f>O29</f>
        <v>0</v>
      </c>
      <c r="BP29" s="225">
        <f>S29</f>
        <v>0</v>
      </c>
      <c r="BQ29" s="225">
        <f>W29</f>
        <v>0</v>
      </c>
      <c r="BR29" s="225">
        <f>AA29</f>
        <v>0</v>
      </c>
      <c r="BS29" s="225">
        <f>AE29</f>
        <v>0</v>
      </c>
      <c r="BT29" s="737">
        <f>AI29</f>
        <v>0</v>
      </c>
      <c r="BU29" s="737">
        <f>AM29</f>
        <v>0</v>
      </c>
      <c r="BV29" s="225">
        <f>AQ29</f>
        <v>0</v>
      </c>
      <c r="BW29" s="225">
        <f>AU29</f>
        <v>0</v>
      </c>
      <c r="BX29" s="225">
        <f>AY29</f>
        <v>0</v>
      </c>
      <c r="BY29" s="737">
        <f>BC29</f>
        <v>0</v>
      </c>
      <c r="BZ29" s="282">
        <f t="shared" si="80"/>
        <v>0</v>
      </c>
      <c r="CA29" s="282">
        <f t="shared" si="81"/>
        <v>0</v>
      </c>
      <c r="CB29" s="734"/>
      <c r="CC29" s="734"/>
      <c r="CD29" s="734"/>
      <c r="CK29" s="206"/>
    </row>
    <row r="30" spans="1:89" ht="14.25" customHeight="1">
      <c r="A30" s="203"/>
      <c r="B30" s="227" t="s">
        <v>165</v>
      </c>
      <c r="C30" s="331"/>
      <c r="D30" s="296">
        <v>2.5670000000000002</v>
      </c>
      <c r="E30" s="297">
        <v>2.5419999999999998</v>
      </c>
      <c r="F30" s="297">
        <v>2.5499999999999998</v>
      </c>
      <c r="G30" s="286">
        <v>202.535</v>
      </c>
      <c r="H30" s="296">
        <v>202.52099999999999</v>
      </c>
      <c r="I30" s="297">
        <v>202.535</v>
      </c>
      <c r="J30" s="297">
        <v>202.52799999999999</v>
      </c>
      <c r="K30" s="286">
        <v>2.5609999999999999</v>
      </c>
      <c r="L30" s="296">
        <v>2.6739999999999999</v>
      </c>
      <c r="M30" s="297">
        <v>2.7490000000000001</v>
      </c>
      <c r="N30" s="297">
        <v>0.98099999999999998</v>
      </c>
      <c r="O30" s="286">
        <v>1.0680000000000001</v>
      </c>
      <c r="P30" s="296">
        <v>1.2589999999999999</v>
      </c>
      <c r="Q30" s="297">
        <v>1.1559999999999999</v>
      </c>
      <c r="R30" s="297">
        <v>1.2030000000000001</v>
      </c>
      <c r="S30" s="286">
        <v>1.24</v>
      </c>
      <c r="T30" s="297">
        <v>2.4</v>
      </c>
      <c r="U30" s="297">
        <v>1.8029999999999999</v>
      </c>
      <c r="V30" s="297">
        <v>1.8480000000000001</v>
      </c>
      <c r="W30" s="286">
        <v>1.258</v>
      </c>
      <c r="X30" s="297">
        <v>1</v>
      </c>
      <c r="Y30" s="297">
        <v>1</v>
      </c>
      <c r="Z30" s="297">
        <v>0</v>
      </c>
      <c r="AA30" s="286">
        <v>0</v>
      </c>
      <c r="AB30" s="297">
        <v>2</v>
      </c>
      <c r="AC30" s="297">
        <v>1</v>
      </c>
      <c r="AD30" s="297">
        <v>0</v>
      </c>
      <c r="AE30" s="286">
        <v>0</v>
      </c>
      <c r="AF30" s="297">
        <v>0</v>
      </c>
      <c r="AG30" s="297">
        <v>0</v>
      </c>
      <c r="AH30" s="297">
        <v>0</v>
      </c>
      <c r="AI30" s="286">
        <v>0</v>
      </c>
      <c r="AJ30" s="297">
        <v>0</v>
      </c>
      <c r="AK30" s="297">
        <v>0</v>
      </c>
      <c r="AL30" s="297">
        <v>0</v>
      </c>
      <c r="AM30" s="286">
        <v>0</v>
      </c>
      <c r="AN30" s="297">
        <v>0</v>
      </c>
      <c r="AO30" s="297">
        <v>0</v>
      </c>
      <c r="AP30" s="297">
        <v>0</v>
      </c>
      <c r="AQ30" s="286">
        <v>1200</v>
      </c>
      <c r="AR30" s="297">
        <v>0</v>
      </c>
      <c r="AS30" s="297">
        <v>0</v>
      </c>
      <c r="AT30" s="297">
        <v>0</v>
      </c>
      <c r="AU30" s="286">
        <v>200</v>
      </c>
      <c r="AV30" s="297">
        <v>0</v>
      </c>
      <c r="AW30" s="297">
        <v>0</v>
      </c>
      <c r="AX30" s="297">
        <v>0</v>
      </c>
      <c r="AY30" s="286">
        <v>0</v>
      </c>
      <c r="AZ30" s="297">
        <v>0</v>
      </c>
      <c r="BA30" s="225">
        <f>AZ30+CFS!BA43</f>
        <v>0</v>
      </c>
      <c r="BB30" s="225">
        <f>BA30+CFS!BB43</f>
        <v>0</v>
      </c>
      <c r="BC30" s="282">
        <f>BB30+CFS!BC43</f>
        <v>0</v>
      </c>
      <c r="BD30" s="737">
        <f>BC30+CFS!BD43</f>
        <v>0</v>
      </c>
      <c r="BE30" s="737">
        <f>BD30+CFS!BE43</f>
        <v>0</v>
      </c>
      <c r="BF30" s="737">
        <f>BE30+CFS!BF43</f>
        <v>0</v>
      </c>
      <c r="BG30" s="282">
        <f>BF30+CFS!BG43</f>
        <v>0</v>
      </c>
      <c r="BH30" s="737">
        <f>BG30+CFS!BH43</f>
        <v>0</v>
      </c>
      <c r="BI30" s="737">
        <f>BH30+CFS!BI43</f>
        <v>0</v>
      </c>
      <c r="BJ30" s="737">
        <f>BI30+CFS!BJ43</f>
        <v>0</v>
      </c>
      <c r="BK30" s="282">
        <f>BJ30+CFS!BK43</f>
        <v>0</v>
      </c>
      <c r="BL30" s="522"/>
      <c r="BM30" s="225">
        <f>G30</f>
        <v>202.535</v>
      </c>
      <c r="BN30" s="225">
        <f>K30</f>
        <v>2.5609999999999999</v>
      </c>
      <c r="BO30" s="225">
        <f>O30</f>
        <v>1.0680000000000001</v>
      </c>
      <c r="BP30" s="225">
        <f>S30</f>
        <v>1.24</v>
      </c>
      <c r="BQ30" s="225">
        <f>W30</f>
        <v>1.258</v>
      </c>
      <c r="BR30" s="225">
        <f>AA30</f>
        <v>0</v>
      </c>
      <c r="BS30" s="225">
        <f>AE30</f>
        <v>0</v>
      </c>
      <c r="BT30" s="737">
        <f>AI30</f>
        <v>0</v>
      </c>
      <c r="BU30" s="737">
        <f>AM30</f>
        <v>0</v>
      </c>
      <c r="BV30" s="225">
        <f>AQ30</f>
        <v>1200</v>
      </c>
      <c r="BW30" s="225">
        <f>AU30</f>
        <v>200</v>
      </c>
      <c r="BX30" s="225">
        <f>AY30</f>
        <v>0</v>
      </c>
      <c r="BY30" s="737">
        <f>BC30</f>
        <v>0</v>
      </c>
      <c r="BZ30" s="282">
        <f t="shared" si="80"/>
        <v>0</v>
      </c>
      <c r="CA30" s="282">
        <f t="shared" si="81"/>
        <v>0</v>
      </c>
      <c r="CB30" s="734"/>
      <c r="CC30" s="734"/>
      <c r="CD30" s="734"/>
      <c r="CK30" s="206"/>
    </row>
    <row r="31" spans="1:89" ht="14.25" customHeight="1">
      <c r="A31" s="203"/>
      <c r="B31" s="527" t="s">
        <v>398</v>
      </c>
      <c r="C31" s="526"/>
      <c r="D31" s="477">
        <f t="shared" ref="D31:AQ31" si="91">SUM(D26:D30)</f>
        <v>1878.5029999999999</v>
      </c>
      <c r="E31" s="475">
        <f t="shared" si="91"/>
        <v>2187.529</v>
      </c>
      <c r="F31" s="475">
        <f t="shared" si="91"/>
        <v>2431.8070000000002</v>
      </c>
      <c r="G31" s="476">
        <f t="shared" si="91"/>
        <v>2436.0450000000001</v>
      </c>
      <c r="H31" s="477">
        <f t="shared" si="91"/>
        <v>2444.1960000000004</v>
      </c>
      <c r="I31" s="475">
        <f t="shared" si="91"/>
        <v>2458.0540000000001</v>
      </c>
      <c r="J31" s="475">
        <f t="shared" si="91"/>
        <v>2548.7629999999999</v>
      </c>
      <c r="K31" s="476">
        <f t="shared" si="91"/>
        <v>2373.4230000000002</v>
      </c>
      <c r="L31" s="477">
        <f t="shared" si="91"/>
        <v>2353.4699999999998</v>
      </c>
      <c r="M31" s="475">
        <f t="shared" si="91"/>
        <v>2707.4249999999997</v>
      </c>
      <c r="N31" s="475">
        <f t="shared" si="91"/>
        <v>2911.3760000000002</v>
      </c>
      <c r="O31" s="476">
        <f t="shared" si="91"/>
        <v>2945.5520000000006</v>
      </c>
      <c r="P31" s="477">
        <f t="shared" si="91"/>
        <v>2529.7309999999998</v>
      </c>
      <c r="Q31" s="475">
        <f t="shared" si="91"/>
        <v>2132.8330000000001</v>
      </c>
      <c r="R31" s="475">
        <f t="shared" si="91"/>
        <v>2038.9829999999997</v>
      </c>
      <c r="S31" s="476">
        <f t="shared" si="91"/>
        <v>1939.4570000000001</v>
      </c>
      <c r="T31" s="475">
        <f t="shared" si="91"/>
        <v>2277.9479999999999</v>
      </c>
      <c r="U31" s="475">
        <f t="shared" si="91"/>
        <v>2575.8199999999997</v>
      </c>
      <c r="V31" s="475">
        <f t="shared" si="91"/>
        <v>2889.4719999999998</v>
      </c>
      <c r="W31" s="476">
        <f t="shared" si="91"/>
        <v>2887.8759999999997</v>
      </c>
      <c r="X31" s="477">
        <f t="shared" si="91"/>
        <v>2914</v>
      </c>
      <c r="Y31" s="475">
        <f t="shared" si="91"/>
        <v>3251</v>
      </c>
      <c r="Z31" s="475">
        <f t="shared" si="91"/>
        <v>3278</v>
      </c>
      <c r="AA31" s="476">
        <f t="shared" si="91"/>
        <v>2794</v>
      </c>
      <c r="AB31" s="477">
        <f t="shared" si="91"/>
        <v>2494</v>
      </c>
      <c r="AC31" s="475">
        <f t="shared" si="91"/>
        <v>2666</v>
      </c>
      <c r="AD31" s="475">
        <f t="shared" si="91"/>
        <v>2408</v>
      </c>
      <c r="AE31" s="476">
        <f t="shared" si="91"/>
        <v>2265</v>
      </c>
      <c r="AF31" s="477">
        <f t="shared" si="91"/>
        <v>1965</v>
      </c>
      <c r="AG31" s="475">
        <f t="shared" si="91"/>
        <v>2201</v>
      </c>
      <c r="AH31" s="475">
        <f t="shared" si="91"/>
        <v>2202</v>
      </c>
      <c r="AI31" s="476">
        <f t="shared" si="91"/>
        <v>2443</v>
      </c>
      <c r="AJ31" s="477">
        <f t="shared" si="91"/>
        <v>2477</v>
      </c>
      <c r="AK31" s="475">
        <f t="shared" si="91"/>
        <v>2662</v>
      </c>
      <c r="AL31" s="475">
        <f t="shared" si="91"/>
        <v>2755</v>
      </c>
      <c r="AM31" s="476">
        <f t="shared" si="91"/>
        <v>2823</v>
      </c>
      <c r="AN31" s="477">
        <f t="shared" si="91"/>
        <v>2521</v>
      </c>
      <c r="AO31" s="475">
        <f t="shared" si="91"/>
        <v>2696</v>
      </c>
      <c r="AP31" s="475">
        <f t="shared" si="91"/>
        <v>3020</v>
      </c>
      <c r="AQ31" s="476">
        <f t="shared" si="91"/>
        <v>3798</v>
      </c>
      <c r="AR31" s="477">
        <f t="shared" ref="AR31:AW31" si="92">SUM(AR26:AR30)</f>
        <v>2307</v>
      </c>
      <c r="AS31" s="475">
        <f t="shared" si="92"/>
        <v>2611</v>
      </c>
      <c r="AT31" s="475">
        <f t="shared" si="92"/>
        <v>2964</v>
      </c>
      <c r="AU31" s="476">
        <f t="shared" si="92"/>
        <v>3632</v>
      </c>
      <c r="AV31" s="477">
        <f t="shared" si="92"/>
        <v>3808</v>
      </c>
      <c r="AW31" s="475">
        <f t="shared" si="92"/>
        <v>4097</v>
      </c>
      <c r="AX31" s="475">
        <f t="shared" ref="AX31:AZ31" si="93">SUM(AX26:AX30)</f>
        <v>4371</v>
      </c>
      <c r="AY31" s="476">
        <f t="shared" si="93"/>
        <v>4115</v>
      </c>
      <c r="AZ31" s="477">
        <f t="shared" si="93"/>
        <v>4399</v>
      </c>
      <c r="BA31" s="475">
        <f t="shared" ref="BA31:BG31" si="94">SUM(BA26:BA30)</f>
        <v>4543.8615352045672</v>
      </c>
      <c r="BB31" s="475">
        <f t="shared" si="94"/>
        <v>4477.6411479127019</v>
      </c>
      <c r="BC31" s="476">
        <f t="shared" si="94"/>
        <v>4493.4416291497982</v>
      </c>
      <c r="BD31" s="475">
        <f t="shared" si="94"/>
        <v>4426.2060459117129</v>
      </c>
      <c r="BE31" s="475">
        <f t="shared" si="94"/>
        <v>4447.8796061323264</v>
      </c>
      <c r="BF31" s="475">
        <f t="shared" si="94"/>
        <v>4484.1223847896772</v>
      </c>
      <c r="BG31" s="476">
        <f t="shared" si="94"/>
        <v>4517.6713846443336</v>
      </c>
      <c r="BH31" s="475">
        <f t="shared" ref="BH31:BK31" si="95">SUM(BH26:BH30)</f>
        <v>4498.9554428383453</v>
      </c>
      <c r="BI31" s="475">
        <f t="shared" si="95"/>
        <v>4520.772809062848</v>
      </c>
      <c r="BJ31" s="475">
        <f t="shared" si="95"/>
        <v>4546.6424617855628</v>
      </c>
      <c r="BK31" s="476">
        <f t="shared" si="95"/>
        <v>4549.2370295305045</v>
      </c>
      <c r="BL31" s="522"/>
      <c r="BM31" s="475">
        <f t="shared" ref="BM31:BX31" si="96">SUM(BM26:BM30)</f>
        <v>2436.0450000000001</v>
      </c>
      <c r="BN31" s="475">
        <f t="shared" si="96"/>
        <v>2373.4230000000002</v>
      </c>
      <c r="BO31" s="475">
        <f t="shared" si="96"/>
        <v>2945.5520000000006</v>
      </c>
      <c r="BP31" s="475">
        <f t="shared" si="96"/>
        <v>1939.4570000000001</v>
      </c>
      <c r="BQ31" s="475">
        <f t="shared" si="96"/>
        <v>2887.8759999999997</v>
      </c>
      <c r="BR31" s="475">
        <f t="shared" si="96"/>
        <v>2794</v>
      </c>
      <c r="BS31" s="475">
        <f t="shared" si="96"/>
        <v>2265</v>
      </c>
      <c r="BT31" s="475">
        <f t="shared" si="96"/>
        <v>2443</v>
      </c>
      <c r="BU31" s="475">
        <f t="shared" si="96"/>
        <v>2823</v>
      </c>
      <c r="BV31" s="475">
        <f t="shared" si="96"/>
        <v>3798</v>
      </c>
      <c r="BW31" s="475">
        <f t="shared" si="96"/>
        <v>3632</v>
      </c>
      <c r="BX31" s="475">
        <f t="shared" si="96"/>
        <v>4115</v>
      </c>
      <c r="BY31" s="475">
        <f>SUM(BY26:BY30)</f>
        <v>4493.4416291497982</v>
      </c>
      <c r="BZ31" s="476">
        <f>SUM(BZ26:BZ30)</f>
        <v>4517.6713846443336</v>
      </c>
      <c r="CA31" s="476">
        <f>SUM(CA26:CA30)</f>
        <v>4549.2370295305045</v>
      </c>
      <c r="CB31" s="734"/>
      <c r="CC31" s="734"/>
      <c r="CD31" s="734"/>
      <c r="CK31" s="203"/>
    </row>
    <row r="32" spans="1:89" ht="14.25" customHeight="1">
      <c r="A32" s="203"/>
      <c r="B32" s="217"/>
      <c r="C32" s="216"/>
      <c r="D32" s="296"/>
      <c r="E32" s="297"/>
      <c r="F32" s="297"/>
      <c r="G32" s="286"/>
      <c r="H32" s="296"/>
      <c r="I32" s="297"/>
      <c r="J32" s="297"/>
      <c r="K32" s="286"/>
      <c r="L32" s="296"/>
      <c r="M32" s="297"/>
      <c r="N32" s="297"/>
      <c r="O32" s="286"/>
      <c r="P32" s="296"/>
      <c r="Q32" s="297"/>
      <c r="R32" s="297"/>
      <c r="S32" s="286"/>
      <c r="T32" s="297"/>
      <c r="U32" s="297"/>
      <c r="V32" s="297"/>
      <c r="W32" s="297"/>
      <c r="X32" s="296"/>
      <c r="Y32" s="297"/>
      <c r="Z32" s="297"/>
      <c r="AA32" s="297"/>
      <c r="AB32" s="296"/>
      <c r="AC32" s="297"/>
      <c r="AD32" s="297"/>
      <c r="AE32" s="297"/>
      <c r="AF32" s="296"/>
      <c r="AG32" s="297"/>
      <c r="AH32" s="297"/>
      <c r="AI32" s="297"/>
      <c r="AJ32" s="296"/>
      <c r="AK32" s="297"/>
      <c r="AL32" s="297"/>
      <c r="AM32" s="297"/>
      <c r="AN32" s="296"/>
      <c r="AO32" s="297"/>
      <c r="AP32" s="297"/>
      <c r="AQ32" s="286"/>
      <c r="AR32" s="296"/>
      <c r="AS32" s="297"/>
      <c r="AT32" s="297"/>
      <c r="AU32" s="286"/>
      <c r="AV32" s="296"/>
      <c r="AW32" s="297"/>
      <c r="AX32" s="297"/>
      <c r="AY32" s="286"/>
      <c r="AZ32" s="296"/>
      <c r="BA32" s="297"/>
      <c r="BB32" s="297"/>
      <c r="BC32" s="286"/>
      <c r="BD32" s="297"/>
      <c r="BE32" s="297"/>
      <c r="BF32" s="297"/>
      <c r="BG32" s="286"/>
      <c r="BH32" s="297"/>
      <c r="BI32" s="297"/>
      <c r="BJ32" s="297"/>
      <c r="BK32" s="286"/>
      <c r="BL32" s="522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86"/>
      <c r="CA32" s="286"/>
      <c r="CB32" s="734"/>
      <c r="CC32" s="734"/>
      <c r="CD32" s="734"/>
      <c r="CK32" s="203"/>
    </row>
    <row r="33" spans="1:89" ht="14.25" customHeight="1">
      <c r="A33" s="203"/>
      <c r="B33" s="227" t="s">
        <v>12</v>
      </c>
      <c r="C33" s="331"/>
      <c r="D33" s="296">
        <v>407.38</v>
      </c>
      <c r="E33" s="297">
        <v>406.90499999999997</v>
      </c>
      <c r="F33" s="297">
        <v>406.97</v>
      </c>
      <c r="G33" s="286">
        <v>204.708</v>
      </c>
      <c r="H33" s="296">
        <v>204.69200000000001</v>
      </c>
      <c r="I33" s="297">
        <v>204.34100000000001</v>
      </c>
      <c r="J33" s="297">
        <v>204.35400000000001</v>
      </c>
      <c r="K33" s="286">
        <v>202.28100000000001</v>
      </c>
      <c r="L33" s="296">
        <v>202.476</v>
      </c>
      <c r="M33" s="297">
        <v>202</v>
      </c>
      <c r="N33" s="297">
        <v>201.92599999999999</v>
      </c>
      <c r="O33" s="286">
        <v>201.57599999999999</v>
      </c>
      <c r="P33" s="296">
        <v>201.89500000000001</v>
      </c>
      <c r="Q33" s="297">
        <v>201.16499999999999</v>
      </c>
      <c r="R33" s="297">
        <v>201.2</v>
      </c>
      <c r="S33" s="286">
        <v>200.654</v>
      </c>
      <c r="T33" s="297">
        <v>210.547</v>
      </c>
      <c r="U33" s="297">
        <v>204.84700000000001</v>
      </c>
      <c r="V33" s="297">
        <v>204.43799999999999</v>
      </c>
      <c r="W33" s="286">
        <v>204.27099999999999</v>
      </c>
      <c r="X33" s="297">
        <v>204</v>
      </c>
      <c r="Y33" s="297">
        <v>204</v>
      </c>
      <c r="Z33" s="297">
        <v>1947</v>
      </c>
      <c r="AA33" s="286">
        <v>1947</v>
      </c>
      <c r="AB33" s="297">
        <v>1947</v>
      </c>
      <c r="AC33" s="297">
        <v>1946</v>
      </c>
      <c r="AD33" s="297">
        <v>1946</v>
      </c>
      <c r="AE33" s="286">
        <v>1946</v>
      </c>
      <c r="AF33" s="297">
        <v>1946</v>
      </c>
      <c r="AG33" s="297">
        <v>1946</v>
      </c>
      <c r="AH33" s="297">
        <v>1946</v>
      </c>
      <c r="AI33" s="286">
        <v>1946</v>
      </c>
      <c r="AJ33" s="297">
        <v>1946</v>
      </c>
      <c r="AK33" s="297">
        <v>1947</v>
      </c>
      <c r="AL33" s="297">
        <v>1947</v>
      </c>
      <c r="AM33" s="286">
        <v>1947</v>
      </c>
      <c r="AN33" s="297">
        <v>1947</v>
      </c>
      <c r="AO33" s="297">
        <v>1947</v>
      </c>
      <c r="AP33" s="297">
        <v>1547</v>
      </c>
      <c r="AQ33" s="286">
        <v>3342</v>
      </c>
      <c r="AR33" s="297">
        <v>3343</v>
      </c>
      <c r="AS33" s="297">
        <v>3343</v>
      </c>
      <c r="AT33" s="297">
        <v>3343</v>
      </c>
      <c r="AU33" s="286">
        <v>3143</v>
      </c>
      <c r="AV33" s="297">
        <v>3125</v>
      </c>
      <c r="AW33" s="297">
        <v>5302</v>
      </c>
      <c r="AX33" s="297">
        <v>5303</v>
      </c>
      <c r="AY33" s="286">
        <v>5304</v>
      </c>
      <c r="AZ33" s="297">
        <v>5305</v>
      </c>
      <c r="BA33" s="225">
        <f>AZ33+CFS!BA41</f>
        <v>5305</v>
      </c>
      <c r="BB33" s="225">
        <f>BA33+CFS!BB41</f>
        <v>5305</v>
      </c>
      <c r="BC33" s="282">
        <f>BB33+CFS!BC41</f>
        <v>5305</v>
      </c>
      <c r="BD33" s="737">
        <f>BC33+CFS!BD41</f>
        <v>5305</v>
      </c>
      <c r="BE33" s="737">
        <f>BD33+CFS!BE41</f>
        <v>5305</v>
      </c>
      <c r="BF33" s="737">
        <f>BE33+CFS!BF41</f>
        <v>5305</v>
      </c>
      <c r="BG33" s="282">
        <f>BF33+CFS!BG41</f>
        <v>5305</v>
      </c>
      <c r="BH33" s="737">
        <f>BG33+CFS!BH41</f>
        <v>5305</v>
      </c>
      <c r="BI33" s="737">
        <f>BH33+CFS!BI41</f>
        <v>5305</v>
      </c>
      <c r="BJ33" s="737">
        <f>BI33+CFS!BJ41</f>
        <v>5305</v>
      </c>
      <c r="BK33" s="282">
        <f>BJ33+CFS!BK41</f>
        <v>5305</v>
      </c>
      <c r="BL33" s="522"/>
      <c r="BM33" s="225">
        <f>G33</f>
        <v>204.708</v>
      </c>
      <c r="BN33" s="225">
        <f>K33</f>
        <v>202.28100000000001</v>
      </c>
      <c r="BO33" s="225">
        <f>O33</f>
        <v>201.57599999999999</v>
      </c>
      <c r="BP33" s="225">
        <f>S33</f>
        <v>200.654</v>
      </c>
      <c r="BQ33" s="225">
        <f>W33</f>
        <v>204.27099999999999</v>
      </c>
      <c r="BR33" s="225">
        <f>AA33</f>
        <v>1947</v>
      </c>
      <c r="BS33" s="225">
        <f>AE33</f>
        <v>1946</v>
      </c>
      <c r="BT33" s="737">
        <f>AI33</f>
        <v>1946</v>
      </c>
      <c r="BU33" s="737">
        <f>AM33</f>
        <v>1947</v>
      </c>
      <c r="BV33" s="225">
        <f>AQ33</f>
        <v>3342</v>
      </c>
      <c r="BW33" s="225">
        <f t="shared" ref="BW33:BW39" si="97">AU33</f>
        <v>3143</v>
      </c>
      <c r="BX33" s="225">
        <f t="shared" ref="BX33:BX39" si="98">AY33</f>
        <v>5304</v>
      </c>
      <c r="BY33" s="737">
        <f t="shared" ref="BY33:BY39" si="99">BC33</f>
        <v>5305</v>
      </c>
      <c r="BZ33" s="282">
        <f t="shared" ref="BZ33:BZ39" si="100">BG33</f>
        <v>5305</v>
      </c>
      <c r="CA33" s="282">
        <f t="shared" ref="CA33:CA39" si="101">BK33</f>
        <v>5305</v>
      </c>
      <c r="CB33" s="734"/>
      <c r="CC33" s="734"/>
      <c r="CD33" s="734"/>
      <c r="CK33" s="206"/>
    </row>
    <row r="34" spans="1:89" ht="14.25" customHeight="1">
      <c r="A34" s="203"/>
      <c r="B34" s="227" t="s">
        <v>397</v>
      </c>
      <c r="C34" s="331"/>
      <c r="D34" s="296">
        <v>0</v>
      </c>
      <c r="E34" s="297">
        <v>0</v>
      </c>
      <c r="F34" s="297">
        <v>0</v>
      </c>
      <c r="G34" s="286">
        <v>0</v>
      </c>
      <c r="H34" s="296">
        <v>0</v>
      </c>
      <c r="I34" s="297">
        <v>0</v>
      </c>
      <c r="J34" s="297">
        <v>0</v>
      </c>
      <c r="K34" s="286">
        <v>0</v>
      </c>
      <c r="L34" s="296">
        <v>0</v>
      </c>
      <c r="M34" s="297">
        <v>0</v>
      </c>
      <c r="N34" s="297">
        <v>0</v>
      </c>
      <c r="O34" s="286">
        <v>0</v>
      </c>
      <c r="P34" s="296">
        <v>0</v>
      </c>
      <c r="Q34" s="297">
        <v>0</v>
      </c>
      <c r="R34" s="297">
        <v>0</v>
      </c>
      <c r="S34" s="286">
        <v>0</v>
      </c>
      <c r="T34" s="297">
        <v>0</v>
      </c>
      <c r="U34" s="297">
        <v>0</v>
      </c>
      <c r="V34" s="297">
        <v>0</v>
      </c>
      <c r="W34" s="286">
        <v>0</v>
      </c>
      <c r="X34" s="297">
        <v>0</v>
      </c>
      <c r="Y34" s="297">
        <v>0</v>
      </c>
      <c r="Z34" s="297">
        <v>0</v>
      </c>
      <c r="AA34" s="286">
        <v>0</v>
      </c>
      <c r="AB34" s="297">
        <v>0</v>
      </c>
      <c r="AC34" s="297">
        <v>0</v>
      </c>
      <c r="AD34" s="297">
        <v>386</v>
      </c>
      <c r="AE34" s="286">
        <v>0</v>
      </c>
      <c r="AF34" s="297">
        <v>0</v>
      </c>
      <c r="AG34" s="297">
        <v>0</v>
      </c>
      <c r="AH34" s="297">
        <v>0</v>
      </c>
      <c r="AI34" s="286">
        <v>0</v>
      </c>
      <c r="AJ34" s="297">
        <v>0</v>
      </c>
      <c r="AK34" s="297">
        <v>0</v>
      </c>
      <c r="AL34" s="297">
        <v>0</v>
      </c>
      <c r="AM34" s="286">
        <v>0</v>
      </c>
      <c r="AN34" s="297">
        <v>0</v>
      </c>
      <c r="AO34" s="297">
        <v>0</v>
      </c>
      <c r="AP34" s="297">
        <v>0</v>
      </c>
      <c r="AQ34" s="286">
        <v>0</v>
      </c>
      <c r="AR34" s="297">
        <v>0</v>
      </c>
      <c r="AS34" s="297">
        <v>0</v>
      </c>
      <c r="AT34" s="297">
        <v>0</v>
      </c>
      <c r="AU34" s="286">
        <v>0</v>
      </c>
      <c r="AV34" s="297">
        <v>0</v>
      </c>
      <c r="AW34" s="297">
        <v>0</v>
      </c>
      <c r="AX34" s="297">
        <v>0</v>
      </c>
      <c r="AY34" s="286">
        <v>0</v>
      </c>
      <c r="AZ34" s="297">
        <v>0</v>
      </c>
      <c r="BA34" s="225">
        <f t="shared" ref="BA34:BC37" si="102">AZ34</f>
        <v>0</v>
      </c>
      <c r="BB34" s="225">
        <f t="shared" si="102"/>
        <v>0</v>
      </c>
      <c r="BC34" s="282">
        <f t="shared" si="102"/>
        <v>0</v>
      </c>
      <c r="BD34" s="737">
        <f t="shared" ref="BD34:BD37" si="103">BC34</f>
        <v>0</v>
      </c>
      <c r="BE34" s="737">
        <f t="shared" ref="BE34:BE37" si="104">BD34</f>
        <v>0</v>
      </c>
      <c r="BF34" s="737">
        <f t="shared" ref="BF34:BF37" si="105">BE34</f>
        <v>0</v>
      </c>
      <c r="BG34" s="282">
        <f t="shared" ref="BG34:BG37" si="106">BF34</f>
        <v>0</v>
      </c>
      <c r="BH34" s="737">
        <f t="shared" ref="BH34:BH37" si="107">BG34</f>
        <v>0</v>
      </c>
      <c r="BI34" s="737">
        <f t="shared" ref="BI34:BI37" si="108">BH34</f>
        <v>0</v>
      </c>
      <c r="BJ34" s="737">
        <f t="shared" ref="BJ34:BJ37" si="109">BI34</f>
        <v>0</v>
      </c>
      <c r="BK34" s="282">
        <f t="shared" ref="BK34:BK37" si="110">BJ34</f>
        <v>0</v>
      </c>
      <c r="BL34" s="522"/>
      <c r="BM34" s="225">
        <f>G34</f>
        <v>0</v>
      </c>
      <c r="BN34" s="225">
        <f>K34</f>
        <v>0</v>
      </c>
      <c r="BO34" s="225">
        <f>O34</f>
        <v>0</v>
      </c>
      <c r="BP34" s="225">
        <f>S34</f>
        <v>0</v>
      </c>
      <c r="BQ34" s="225">
        <f>W34</f>
        <v>0</v>
      </c>
      <c r="BR34" s="225">
        <f>AA34</f>
        <v>0</v>
      </c>
      <c r="BS34" s="225">
        <f>AE34</f>
        <v>0</v>
      </c>
      <c r="BT34" s="737">
        <f>AI34</f>
        <v>0</v>
      </c>
      <c r="BU34" s="737">
        <f>AM34</f>
        <v>0</v>
      </c>
      <c r="BV34" s="225">
        <f>AQ34</f>
        <v>0</v>
      </c>
      <c r="BW34" s="225">
        <f t="shared" si="97"/>
        <v>0</v>
      </c>
      <c r="BX34" s="225">
        <f t="shared" si="98"/>
        <v>0</v>
      </c>
      <c r="BY34" s="737">
        <f t="shared" si="99"/>
        <v>0</v>
      </c>
      <c r="BZ34" s="282">
        <f t="shared" si="100"/>
        <v>0</v>
      </c>
      <c r="CA34" s="282">
        <f t="shared" si="101"/>
        <v>0</v>
      </c>
      <c r="CB34" s="734"/>
      <c r="CC34" s="734"/>
      <c r="CD34" s="734"/>
      <c r="CK34" s="206"/>
    </row>
    <row r="35" spans="1:89" ht="14.25" customHeight="1">
      <c r="A35" s="203"/>
      <c r="B35" s="227" t="s">
        <v>167</v>
      </c>
      <c r="C35" s="331"/>
      <c r="D35" s="296">
        <v>0</v>
      </c>
      <c r="E35" s="297">
        <v>0</v>
      </c>
      <c r="F35" s="297">
        <v>0</v>
      </c>
      <c r="G35" s="286">
        <v>0</v>
      </c>
      <c r="H35" s="296">
        <v>0</v>
      </c>
      <c r="I35" s="297">
        <v>0</v>
      </c>
      <c r="J35" s="297">
        <v>0</v>
      </c>
      <c r="K35" s="286">
        <v>0</v>
      </c>
      <c r="L35" s="296">
        <v>0</v>
      </c>
      <c r="M35" s="297">
        <v>0</v>
      </c>
      <c r="N35" s="297">
        <v>0</v>
      </c>
      <c r="O35" s="286">
        <v>0</v>
      </c>
      <c r="P35" s="296">
        <v>0</v>
      </c>
      <c r="Q35" s="297">
        <v>0</v>
      </c>
      <c r="R35" s="297">
        <v>0</v>
      </c>
      <c r="S35" s="286">
        <v>0</v>
      </c>
      <c r="T35" s="297">
        <v>0</v>
      </c>
      <c r="U35" s="297">
        <v>0</v>
      </c>
      <c r="V35" s="297">
        <v>0</v>
      </c>
      <c r="W35" s="286">
        <v>0</v>
      </c>
      <c r="X35" s="297">
        <v>0</v>
      </c>
      <c r="Y35" s="297">
        <v>0</v>
      </c>
      <c r="Z35" s="297">
        <v>0</v>
      </c>
      <c r="AA35" s="286">
        <v>0</v>
      </c>
      <c r="AB35" s="297">
        <v>0</v>
      </c>
      <c r="AC35" s="297">
        <v>0</v>
      </c>
      <c r="AD35" s="297">
        <v>0</v>
      </c>
      <c r="AE35" s="286">
        <v>341</v>
      </c>
      <c r="AF35" s="297">
        <v>301</v>
      </c>
      <c r="AG35" s="297">
        <v>299</v>
      </c>
      <c r="AH35" s="297">
        <v>299</v>
      </c>
      <c r="AI35" s="286">
        <v>0</v>
      </c>
      <c r="AJ35" s="297">
        <v>0</v>
      </c>
      <c r="AK35" s="297">
        <v>0</v>
      </c>
      <c r="AL35" s="297">
        <v>0</v>
      </c>
      <c r="AM35" s="286">
        <v>0</v>
      </c>
      <c r="AN35" s="297">
        <v>0</v>
      </c>
      <c r="AO35" s="297">
        <v>0</v>
      </c>
      <c r="AP35" s="297">
        <v>0</v>
      </c>
      <c r="AQ35" s="286">
        <v>0</v>
      </c>
      <c r="AR35" s="297">
        <v>0</v>
      </c>
      <c r="AS35" s="297">
        <v>0</v>
      </c>
      <c r="AT35" s="297">
        <v>0</v>
      </c>
      <c r="AU35" s="286">
        <v>0</v>
      </c>
      <c r="AV35" s="297">
        <v>0</v>
      </c>
      <c r="AW35" s="297">
        <v>0</v>
      </c>
      <c r="AX35" s="297">
        <v>0</v>
      </c>
      <c r="AY35" s="286">
        <v>0</v>
      </c>
      <c r="AZ35" s="297">
        <v>1158</v>
      </c>
      <c r="BA35" s="225">
        <f t="shared" si="102"/>
        <v>1158</v>
      </c>
      <c r="BB35" s="225">
        <f t="shared" si="102"/>
        <v>1158</v>
      </c>
      <c r="BC35" s="282">
        <f t="shared" si="102"/>
        <v>1158</v>
      </c>
      <c r="BD35" s="737">
        <f t="shared" si="103"/>
        <v>1158</v>
      </c>
      <c r="BE35" s="737">
        <f t="shared" si="104"/>
        <v>1158</v>
      </c>
      <c r="BF35" s="737">
        <f t="shared" si="105"/>
        <v>1158</v>
      </c>
      <c r="BG35" s="282">
        <f t="shared" si="106"/>
        <v>1158</v>
      </c>
      <c r="BH35" s="737">
        <f t="shared" si="107"/>
        <v>1158</v>
      </c>
      <c r="BI35" s="737">
        <f t="shared" si="108"/>
        <v>1158</v>
      </c>
      <c r="BJ35" s="737">
        <f t="shared" si="109"/>
        <v>1158</v>
      </c>
      <c r="BK35" s="282">
        <f t="shared" si="110"/>
        <v>1158</v>
      </c>
      <c r="BL35" s="522"/>
      <c r="BM35" s="225">
        <f>G35</f>
        <v>0</v>
      </c>
      <c r="BN35" s="225">
        <f>K35</f>
        <v>0</v>
      </c>
      <c r="BO35" s="225">
        <f>O35</f>
        <v>0</v>
      </c>
      <c r="BP35" s="225">
        <f>S35</f>
        <v>0</v>
      </c>
      <c r="BQ35" s="225">
        <f>W35</f>
        <v>0</v>
      </c>
      <c r="BR35" s="225">
        <f>AA35</f>
        <v>0</v>
      </c>
      <c r="BS35" s="225">
        <f>AE35</f>
        <v>341</v>
      </c>
      <c r="BT35" s="737">
        <f>AI35</f>
        <v>0</v>
      </c>
      <c r="BU35" s="737">
        <f>AM35</f>
        <v>0</v>
      </c>
      <c r="BV35" s="225">
        <f>AQ35</f>
        <v>0</v>
      </c>
      <c r="BW35" s="225">
        <f t="shared" si="97"/>
        <v>0</v>
      </c>
      <c r="BX35" s="225">
        <f t="shared" si="98"/>
        <v>0</v>
      </c>
      <c r="BY35" s="737">
        <f t="shared" si="99"/>
        <v>1158</v>
      </c>
      <c r="BZ35" s="282">
        <f t="shared" si="100"/>
        <v>1158</v>
      </c>
      <c r="CA35" s="282">
        <f t="shared" si="101"/>
        <v>1158</v>
      </c>
      <c r="CB35" s="734"/>
      <c r="CC35" s="734"/>
      <c r="CD35" s="734"/>
      <c r="CK35" s="206"/>
    </row>
    <row r="36" spans="1:89" ht="14.25" customHeight="1">
      <c r="A36" s="203"/>
      <c r="B36" s="227" t="s">
        <v>284</v>
      </c>
      <c r="C36" s="331"/>
      <c r="D36" s="296">
        <v>256.44600000000003</v>
      </c>
      <c r="E36" s="297">
        <v>238.65199999999999</v>
      </c>
      <c r="F36" s="297">
        <v>269.13600000000002</v>
      </c>
      <c r="G36" s="286">
        <v>188.684</v>
      </c>
      <c r="H36" s="296">
        <v>192.404</v>
      </c>
      <c r="I36" s="297">
        <v>196.08799999999999</v>
      </c>
      <c r="J36" s="297">
        <v>224.12899999999999</v>
      </c>
      <c r="K36" s="286">
        <v>256.96199999999999</v>
      </c>
      <c r="L36" s="296">
        <v>337.81099999999998</v>
      </c>
      <c r="M36" s="297">
        <v>350.721</v>
      </c>
      <c r="N36" s="297">
        <v>344.34399999999999</v>
      </c>
      <c r="O36" s="286">
        <v>310.23200000000003</v>
      </c>
      <c r="P36" s="296">
        <v>339.30599999999998</v>
      </c>
      <c r="Q36" s="297">
        <v>319.202</v>
      </c>
      <c r="R36" s="297">
        <v>326.48899999999998</v>
      </c>
      <c r="S36" s="286">
        <v>339.524</v>
      </c>
      <c r="T36" s="297">
        <v>367.2</v>
      </c>
      <c r="U36" s="297">
        <v>348.00099999999998</v>
      </c>
      <c r="V36" s="297">
        <v>354.09899999999999</v>
      </c>
      <c r="W36" s="286">
        <v>315.08499999999998</v>
      </c>
      <c r="X36" s="297">
        <v>317</v>
      </c>
      <c r="Y36" s="297">
        <v>320</v>
      </c>
      <c r="Z36" s="297">
        <v>327</v>
      </c>
      <c r="AA36" s="286">
        <v>320</v>
      </c>
      <c r="AB36" s="297">
        <v>506</v>
      </c>
      <c r="AC36" s="297">
        <v>562</v>
      </c>
      <c r="AD36" s="297">
        <v>241</v>
      </c>
      <c r="AE36" s="286">
        <v>315</v>
      </c>
      <c r="AF36" s="297">
        <v>361</v>
      </c>
      <c r="AG36" s="297">
        <v>351</v>
      </c>
      <c r="AH36" s="297">
        <v>350</v>
      </c>
      <c r="AI36" s="286">
        <v>566</v>
      </c>
      <c r="AJ36" s="297">
        <v>535</v>
      </c>
      <c r="AK36" s="297">
        <v>471</v>
      </c>
      <c r="AL36" s="297">
        <v>465</v>
      </c>
      <c r="AM36" s="286">
        <v>502</v>
      </c>
      <c r="AN36" s="297">
        <v>533</v>
      </c>
      <c r="AO36" s="297">
        <v>593</v>
      </c>
      <c r="AP36" s="297">
        <v>609</v>
      </c>
      <c r="AQ36" s="286">
        <v>555</v>
      </c>
      <c r="AR36" s="297">
        <v>508</v>
      </c>
      <c r="AS36" s="297">
        <v>556</v>
      </c>
      <c r="AT36" s="297">
        <v>573</v>
      </c>
      <c r="AU36" s="286">
        <v>596</v>
      </c>
      <c r="AV36" s="297">
        <v>624</v>
      </c>
      <c r="AW36" s="297">
        <v>629</v>
      </c>
      <c r="AX36" s="297">
        <v>688</v>
      </c>
      <c r="AY36" s="286">
        <v>651</v>
      </c>
      <c r="AZ36" s="297">
        <v>295</v>
      </c>
      <c r="BA36" s="225">
        <f t="shared" si="102"/>
        <v>295</v>
      </c>
      <c r="BB36" s="225">
        <f t="shared" si="102"/>
        <v>295</v>
      </c>
      <c r="BC36" s="282">
        <f t="shared" si="102"/>
        <v>295</v>
      </c>
      <c r="BD36" s="737">
        <f t="shared" si="103"/>
        <v>295</v>
      </c>
      <c r="BE36" s="737">
        <f t="shared" si="104"/>
        <v>295</v>
      </c>
      <c r="BF36" s="737">
        <f t="shared" si="105"/>
        <v>295</v>
      </c>
      <c r="BG36" s="282">
        <f t="shared" si="106"/>
        <v>295</v>
      </c>
      <c r="BH36" s="737">
        <f t="shared" si="107"/>
        <v>295</v>
      </c>
      <c r="BI36" s="737">
        <f t="shared" si="108"/>
        <v>295</v>
      </c>
      <c r="BJ36" s="737">
        <f t="shared" si="109"/>
        <v>295</v>
      </c>
      <c r="BK36" s="282">
        <f t="shared" si="110"/>
        <v>295</v>
      </c>
      <c r="BL36" s="522"/>
      <c r="BM36" s="225">
        <f>G36</f>
        <v>188.684</v>
      </c>
      <c r="BN36" s="225">
        <f>K36</f>
        <v>256.96199999999999</v>
      </c>
      <c r="BO36" s="225">
        <f>O36</f>
        <v>310.23200000000003</v>
      </c>
      <c r="BP36" s="225">
        <f>S36</f>
        <v>339.524</v>
      </c>
      <c r="BQ36" s="225">
        <f>W36</f>
        <v>315.08499999999998</v>
      </c>
      <c r="BR36" s="225">
        <f>AA36</f>
        <v>320</v>
      </c>
      <c r="BS36" s="225">
        <f>AE36</f>
        <v>315</v>
      </c>
      <c r="BT36" s="737">
        <f>AI36</f>
        <v>566</v>
      </c>
      <c r="BU36" s="737">
        <f>AM36</f>
        <v>502</v>
      </c>
      <c r="BV36" s="225">
        <f>AQ36</f>
        <v>555</v>
      </c>
      <c r="BW36" s="225">
        <f t="shared" si="97"/>
        <v>596</v>
      </c>
      <c r="BX36" s="225">
        <f t="shared" si="98"/>
        <v>651</v>
      </c>
      <c r="BY36" s="737">
        <f t="shared" si="99"/>
        <v>295</v>
      </c>
      <c r="BZ36" s="282">
        <f t="shared" si="100"/>
        <v>295</v>
      </c>
      <c r="CA36" s="282">
        <f t="shared" si="101"/>
        <v>295</v>
      </c>
      <c r="CB36" s="734"/>
      <c r="CC36" s="734"/>
      <c r="CD36" s="734"/>
      <c r="CK36" s="206"/>
    </row>
    <row r="37" spans="1:89" ht="14.25" customHeight="1">
      <c r="A37" s="203"/>
      <c r="B37" s="227" t="s">
        <v>283</v>
      </c>
      <c r="C37" s="331"/>
      <c r="D37" s="296">
        <v>0</v>
      </c>
      <c r="E37" s="297">
        <v>0</v>
      </c>
      <c r="F37" s="297">
        <v>0</v>
      </c>
      <c r="G37" s="286">
        <v>0</v>
      </c>
      <c r="H37" s="296">
        <v>0</v>
      </c>
      <c r="I37" s="297">
        <v>0</v>
      </c>
      <c r="J37" s="297">
        <v>0</v>
      </c>
      <c r="K37" s="286">
        <v>0</v>
      </c>
      <c r="L37" s="296">
        <v>0</v>
      </c>
      <c r="M37" s="297">
        <v>0</v>
      </c>
      <c r="N37" s="297">
        <v>0</v>
      </c>
      <c r="O37" s="286">
        <v>0</v>
      </c>
      <c r="P37" s="296">
        <v>0</v>
      </c>
      <c r="Q37" s="297">
        <v>0</v>
      </c>
      <c r="R37" s="297">
        <v>0</v>
      </c>
      <c r="S37" s="286">
        <v>0</v>
      </c>
      <c r="T37" s="297">
        <v>0</v>
      </c>
      <c r="U37" s="297">
        <v>0</v>
      </c>
      <c r="V37" s="297">
        <v>0</v>
      </c>
      <c r="W37" s="286">
        <v>0</v>
      </c>
      <c r="X37" s="297">
        <v>0</v>
      </c>
      <c r="Y37" s="297">
        <v>0</v>
      </c>
      <c r="Z37" s="297">
        <v>0</v>
      </c>
      <c r="AA37" s="286">
        <v>0</v>
      </c>
      <c r="AB37" s="297">
        <v>0</v>
      </c>
      <c r="AC37" s="297">
        <v>0</v>
      </c>
      <c r="AD37" s="297">
        <v>0</v>
      </c>
      <c r="AE37" s="286">
        <v>0</v>
      </c>
      <c r="AF37" s="297">
        <v>0</v>
      </c>
      <c r="AG37" s="297">
        <v>0</v>
      </c>
      <c r="AH37" s="297">
        <v>0</v>
      </c>
      <c r="AI37" s="286">
        <v>0</v>
      </c>
      <c r="AJ37" s="297">
        <v>0</v>
      </c>
      <c r="AK37" s="297">
        <v>0</v>
      </c>
      <c r="AL37" s="297">
        <v>0</v>
      </c>
      <c r="AM37" s="286">
        <v>0</v>
      </c>
      <c r="AN37" s="297">
        <v>0</v>
      </c>
      <c r="AO37" s="297">
        <v>0</v>
      </c>
      <c r="AP37" s="297">
        <v>0</v>
      </c>
      <c r="AQ37" s="286">
        <v>0</v>
      </c>
      <c r="AR37" s="297">
        <v>0</v>
      </c>
      <c r="AS37" s="297">
        <v>0</v>
      </c>
      <c r="AT37" s="297">
        <v>0</v>
      </c>
      <c r="AU37" s="286">
        <v>0</v>
      </c>
      <c r="AV37" s="297">
        <v>0</v>
      </c>
      <c r="AW37" s="297">
        <v>0</v>
      </c>
      <c r="AX37" s="297">
        <v>0</v>
      </c>
      <c r="AY37" s="286">
        <v>0</v>
      </c>
      <c r="AZ37" s="297">
        <v>0</v>
      </c>
      <c r="BA37" s="225">
        <f t="shared" si="102"/>
        <v>0</v>
      </c>
      <c r="BB37" s="225">
        <f t="shared" si="102"/>
        <v>0</v>
      </c>
      <c r="BC37" s="282">
        <f t="shared" si="102"/>
        <v>0</v>
      </c>
      <c r="BD37" s="737">
        <f t="shared" si="103"/>
        <v>0</v>
      </c>
      <c r="BE37" s="737">
        <f t="shared" si="104"/>
        <v>0</v>
      </c>
      <c r="BF37" s="737">
        <f t="shared" si="105"/>
        <v>0</v>
      </c>
      <c r="BG37" s="282">
        <f t="shared" si="106"/>
        <v>0</v>
      </c>
      <c r="BH37" s="737">
        <f t="shared" si="107"/>
        <v>0</v>
      </c>
      <c r="BI37" s="737">
        <f t="shared" si="108"/>
        <v>0</v>
      </c>
      <c r="BJ37" s="737">
        <f t="shared" si="109"/>
        <v>0</v>
      </c>
      <c r="BK37" s="282">
        <f t="shared" si="110"/>
        <v>0</v>
      </c>
      <c r="BL37" s="522"/>
      <c r="BM37" s="225">
        <f>G37</f>
        <v>0</v>
      </c>
      <c r="BN37" s="225">
        <f>K37</f>
        <v>0</v>
      </c>
      <c r="BO37" s="225">
        <f>O37</f>
        <v>0</v>
      </c>
      <c r="BP37" s="225">
        <f>S37</f>
        <v>0</v>
      </c>
      <c r="BQ37" s="225">
        <f>W37</f>
        <v>0</v>
      </c>
      <c r="BR37" s="225">
        <f>AA37</f>
        <v>0</v>
      </c>
      <c r="BS37" s="225">
        <f>AE37</f>
        <v>0</v>
      </c>
      <c r="BT37" s="737">
        <f>AI37</f>
        <v>0</v>
      </c>
      <c r="BU37" s="737">
        <f>AM37</f>
        <v>0</v>
      </c>
      <c r="BV37" s="225">
        <f>AQ37</f>
        <v>0</v>
      </c>
      <c r="BW37" s="225">
        <f t="shared" si="97"/>
        <v>0</v>
      </c>
      <c r="BX37" s="225">
        <f t="shared" si="98"/>
        <v>0</v>
      </c>
      <c r="BY37" s="737">
        <f t="shared" si="99"/>
        <v>0</v>
      </c>
      <c r="BZ37" s="282">
        <f t="shared" si="100"/>
        <v>0</v>
      </c>
      <c r="CA37" s="282">
        <f t="shared" si="101"/>
        <v>0</v>
      </c>
      <c r="CB37" s="734"/>
      <c r="CC37" s="734"/>
      <c r="CD37" s="734"/>
      <c r="CK37" s="206"/>
    </row>
    <row r="38" spans="1:89" ht="14.25" customHeight="1">
      <c r="A38" s="203"/>
      <c r="B38" s="217"/>
      <c r="C38" s="216"/>
      <c r="D38" s="296"/>
      <c r="E38" s="297"/>
      <c r="F38" s="297"/>
      <c r="G38" s="286"/>
      <c r="H38" s="296"/>
      <c r="I38" s="297"/>
      <c r="J38" s="297"/>
      <c r="K38" s="286"/>
      <c r="L38" s="296"/>
      <c r="M38" s="297"/>
      <c r="N38" s="297"/>
      <c r="O38" s="286"/>
      <c r="P38" s="296"/>
      <c r="Q38" s="297"/>
      <c r="R38" s="297"/>
      <c r="S38" s="286"/>
      <c r="T38" s="297"/>
      <c r="U38" s="297"/>
      <c r="V38" s="297"/>
      <c r="W38" s="297"/>
      <c r="X38" s="296"/>
      <c r="Y38" s="297"/>
      <c r="Z38" s="297"/>
      <c r="AA38" s="297"/>
      <c r="AB38" s="296"/>
      <c r="AC38" s="297"/>
      <c r="AD38" s="297"/>
      <c r="AE38" s="297"/>
      <c r="AF38" s="296"/>
      <c r="AG38" s="297"/>
      <c r="AH38" s="297"/>
      <c r="AI38" s="297"/>
      <c r="AJ38" s="296"/>
      <c r="AK38" s="297"/>
      <c r="AL38" s="297"/>
      <c r="AM38" s="297"/>
      <c r="AN38" s="296"/>
      <c r="AO38" s="297"/>
      <c r="AP38" s="297"/>
      <c r="AQ38" s="286"/>
      <c r="AR38" s="296"/>
      <c r="AS38" s="297"/>
      <c r="AT38" s="297"/>
      <c r="AU38" s="286"/>
      <c r="AV38" s="296"/>
      <c r="AW38" s="297"/>
      <c r="AX38" s="297"/>
      <c r="AY38" s="286"/>
      <c r="AZ38" s="296"/>
      <c r="BA38" s="297"/>
      <c r="BB38" s="297"/>
      <c r="BC38" s="286"/>
      <c r="BD38" s="297"/>
      <c r="BE38" s="297"/>
      <c r="BF38" s="297"/>
      <c r="BG38" s="286"/>
      <c r="BH38" s="297"/>
      <c r="BI38" s="297"/>
      <c r="BJ38" s="297"/>
      <c r="BK38" s="286"/>
      <c r="BL38" s="385"/>
      <c r="BM38" s="297"/>
      <c r="BN38" s="297"/>
      <c r="BO38" s="297"/>
      <c r="BP38" s="297"/>
      <c r="BQ38" s="297"/>
      <c r="BR38" s="297"/>
      <c r="BS38" s="297"/>
      <c r="BT38" s="297"/>
      <c r="BU38" s="297"/>
      <c r="BV38" s="297"/>
      <c r="BW38" s="297">
        <f t="shared" si="97"/>
        <v>0</v>
      </c>
      <c r="BX38" s="297">
        <f t="shared" si="98"/>
        <v>0</v>
      </c>
      <c r="BY38" s="297">
        <f t="shared" si="99"/>
        <v>0</v>
      </c>
      <c r="BZ38" s="286">
        <f t="shared" si="100"/>
        <v>0</v>
      </c>
      <c r="CA38" s="286">
        <f t="shared" si="101"/>
        <v>0</v>
      </c>
      <c r="CB38" s="734"/>
      <c r="CC38" s="734"/>
      <c r="CD38" s="734"/>
      <c r="CK38" s="203"/>
    </row>
    <row r="39" spans="1:89" ht="14.25" customHeight="1">
      <c r="A39" s="203"/>
      <c r="B39" s="521" t="s">
        <v>381</v>
      </c>
      <c r="C39" s="520"/>
      <c r="D39" s="517">
        <v>8667.5789999999979</v>
      </c>
      <c r="E39" s="519">
        <v>8618.67</v>
      </c>
      <c r="F39" s="519">
        <v>8665.9439999999995</v>
      </c>
      <c r="G39" s="518">
        <v>6651.4</v>
      </c>
      <c r="H39" s="517">
        <v>6966.7109999999993</v>
      </c>
      <c r="I39" s="519">
        <v>7037.74</v>
      </c>
      <c r="J39" s="519">
        <v>7388.1370000000015</v>
      </c>
      <c r="K39" s="518">
        <v>7821.4089999999997</v>
      </c>
      <c r="L39" s="517">
        <v>7458.7310000000007</v>
      </c>
      <c r="M39" s="519">
        <v>7710.8039999999983</v>
      </c>
      <c r="N39" s="519">
        <v>7540.795000000001</v>
      </c>
      <c r="O39" s="518">
        <v>7448.9580000000024</v>
      </c>
      <c r="P39" s="517">
        <v>7356.6709999999975</v>
      </c>
      <c r="Q39" s="519">
        <v>7095.8989999999994</v>
      </c>
      <c r="R39" s="519">
        <v>7013.6089999999967</v>
      </c>
      <c r="S39" s="518">
        <v>7094.6080000000002</v>
      </c>
      <c r="T39" s="519">
        <v>7148.143</v>
      </c>
      <c r="U39" s="519">
        <v>7321.081000000001</v>
      </c>
      <c r="V39" s="519">
        <v>7278.1390000000029</v>
      </c>
      <c r="W39" s="519">
        <v>7536.1130000000021</v>
      </c>
      <c r="X39" s="517">
        <v>7839</v>
      </c>
      <c r="Y39" s="519">
        <v>8182</v>
      </c>
      <c r="Z39" s="519">
        <v>8551</v>
      </c>
      <c r="AA39" s="519">
        <v>8800</v>
      </c>
      <c r="AB39" s="517">
        <v>8650</v>
      </c>
      <c r="AC39" s="519">
        <v>8703</v>
      </c>
      <c r="AD39" s="519">
        <v>8339</v>
      </c>
      <c r="AE39" s="519">
        <v>7235</v>
      </c>
      <c r="AF39" s="517">
        <v>7141</v>
      </c>
      <c r="AG39" s="519">
        <v>6898</v>
      </c>
      <c r="AH39" s="519">
        <v>6954</v>
      </c>
      <c r="AI39" s="519">
        <v>7088</v>
      </c>
      <c r="AJ39" s="517">
        <v>7241</v>
      </c>
      <c r="AK39" s="519">
        <v>7475</v>
      </c>
      <c r="AL39" s="519">
        <v>7684</v>
      </c>
      <c r="AM39" s="519">
        <v>7902</v>
      </c>
      <c r="AN39" s="517">
        <v>8072</v>
      </c>
      <c r="AO39" s="519">
        <v>8351</v>
      </c>
      <c r="AP39" s="519">
        <v>7977</v>
      </c>
      <c r="AQ39" s="518">
        <v>7613</v>
      </c>
      <c r="AR39" s="517">
        <v>7168</v>
      </c>
      <c r="AS39" s="519">
        <v>6565</v>
      </c>
      <c r="AT39" s="519">
        <v>6819</v>
      </c>
      <c r="AU39" s="518">
        <v>7217</v>
      </c>
      <c r="AV39" s="517">
        <v>7687</v>
      </c>
      <c r="AW39" s="519">
        <v>8212</v>
      </c>
      <c r="AX39" s="519">
        <v>8716</v>
      </c>
      <c r="AY39" s="518">
        <v>9349</v>
      </c>
      <c r="AZ39" s="517">
        <v>8506</v>
      </c>
      <c r="BA39" s="516">
        <f t="shared" ref="BA39:BC39" si="111">BA68</f>
        <v>8862.6130346842729</v>
      </c>
      <c r="BB39" s="516">
        <f t="shared" si="111"/>
        <v>9043.4492269257462</v>
      </c>
      <c r="BC39" s="515">
        <f t="shared" si="111"/>
        <v>9235.7992004007356</v>
      </c>
      <c r="BD39" s="516">
        <f t="shared" ref="BD39:BG39" si="112">BD68</f>
        <v>9294.8511162246687</v>
      </c>
      <c r="BE39" s="516">
        <f t="shared" si="112"/>
        <v>9354.5439210575387</v>
      </c>
      <c r="BF39" s="516">
        <f t="shared" si="112"/>
        <v>9405.4292577053056</v>
      </c>
      <c r="BG39" s="515">
        <f t="shared" si="112"/>
        <v>9476.5061900907531</v>
      </c>
      <c r="BH39" s="516">
        <f t="shared" ref="BH39:BK39" si="113">BH68</f>
        <v>9548.2295441032766</v>
      </c>
      <c r="BI39" s="516">
        <f t="shared" si="113"/>
        <v>9628.094314340502</v>
      </c>
      <c r="BJ39" s="516">
        <f t="shared" si="113"/>
        <v>9722.1411573769001</v>
      </c>
      <c r="BK39" s="515">
        <f t="shared" si="113"/>
        <v>9817.8601990721654</v>
      </c>
      <c r="BL39" s="385"/>
      <c r="BM39" s="225">
        <f>G39</f>
        <v>6651.4</v>
      </c>
      <c r="BN39" s="225">
        <f>K39</f>
        <v>7821.4089999999997</v>
      </c>
      <c r="BO39" s="225">
        <f>O39</f>
        <v>7448.9580000000024</v>
      </c>
      <c r="BP39" s="225">
        <f>S39</f>
        <v>7094.6080000000002</v>
      </c>
      <c r="BQ39" s="225">
        <f>W39</f>
        <v>7536.1130000000021</v>
      </c>
      <c r="BR39" s="225">
        <f>AA39</f>
        <v>8800</v>
      </c>
      <c r="BS39" s="225">
        <f>AE39</f>
        <v>7235</v>
      </c>
      <c r="BT39" s="737">
        <f>AI39</f>
        <v>7088</v>
      </c>
      <c r="BU39" s="737">
        <f>AM39</f>
        <v>7902</v>
      </c>
      <c r="BV39" s="225">
        <f>AQ39</f>
        <v>7613</v>
      </c>
      <c r="BW39" s="225">
        <f t="shared" si="97"/>
        <v>7217</v>
      </c>
      <c r="BX39" s="225">
        <f t="shared" si="98"/>
        <v>9349</v>
      </c>
      <c r="BY39" s="737">
        <f t="shared" si="99"/>
        <v>9235.7992004007356</v>
      </c>
      <c r="BZ39" s="282">
        <f t="shared" si="100"/>
        <v>9476.5061900907531</v>
      </c>
      <c r="CA39" s="282">
        <f t="shared" si="101"/>
        <v>9817.8601990721654</v>
      </c>
      <c r="CB39" s="734"/>
      <c r="CC39" s="734"/>
      <c r="CD39" s="734"/>
      <c r="CK39" s="203"/>
    </row>
    <row r="40" spans="1:89" ht="14.25" customHeight="1">
      <c r="A40" s="203"/>
      <c r="B40" s="438"/>
      <c r="C40" s="216"/>
      <c r="D40" s="296"/>
      <c r="E40" s="297"/>
      <c r="F40" s="297"/>
      <c r="G40" s="297" t="s">
        <v>396</v>
      </c>
      <c r="H40" s="296"/>
      <c r="I40" s="297"/>
      <c r="J40" s="297"/>
      <c r="K40" s="297"/>
      <c r="L40" s="296"/>
      <c r="M40" s="297"/>
      <c r="N40" s="297"/>
      <c r="O40" s="297"/>
      <c r="P40" s="296"/>
      <c r="Q40" s="297"/>
      <c r="R40" s="297"/>
      <c r="S40" s="297"/>
      <c r="T40" s="296"/>
      <c r="U40" s="297"/>
      <c r="V40" s="297"/>
      <c r="W40" s="297"/>
      <c r="X40" s="296"/>
      <c r="Y40" s="297"/>
      <c r="Z40" s="297"/>
      <c r="AA40" s="297"/>
      <c r="AB40" s="296"/>
      <c r="AC40" s="297"/>
      <c r="AD40" s="297"/>
      <c r="AE40" s="297"/>
      <c r="AF40" s="296"/>
      <c r="AG40" s="297"/>
      <c r="AH40" s="297"/>
      <c r="AI40" s="297"/>
      <c r="AJ40" s="296"/>
      <c r="AK40" s="297"/>
      <c r="AL40" s="297"/>
      <c r="AM40" s="297"/>
      <c r="AN40" s="296"/>
      <c r="AO40" s="297"/>
      <c r="AP40" s="297"/>
      <c r="AQ40" s="483"/>
      <c r="AR40" s="296"/>
      <c r="AS40" s="297"/>
      <c r="AT40" s="297"/>
      <c r="AU40" s="483"/>
      <c r="AV40" s="296"/>
      <c r="AW40" s="297"/>
      <c r="AX40" s="297"/>
      <c r="AY40" s="483"/>
      <c r="AZ40" s="297"/>
      <c r="BA40" s="297"/>
      <c r="BB40" s="297"/>
      <c r="BC40" s="286"/>
      <c r="BD40" s="297"/>
      <c r="BE40" s="297"/>
      <c r="BF40" s="297"/>
      <c r="BG40" s="286"/>
      <c r="BH40" s="297"/>
      <c r="BI40" s="297"/>
      <c r="BJ40" s="297"/>
      <c r="BK40" s="286"/>
      <c r="BL40" s="385"/>
      <c r="BM40" s="297"/>
      <c r="BN40" s="297"/>
      <c r="BO40" s="297"/>
      <c r="BP40" s="297"/>
      <c r="BQ40" s="297"/>
      <c r="BR40" s="297"/>
      <c r="BS40" s="297"/>
      <c r="BT40" s="297"/>
      <c r="BU40" s="297"/>
      <c r="BV40" s="297"/>
      <c r="BW40" s="297"/>
      <c r="BX40" s="297"/>
      <c r="BY40" s="297"/>
      <c r="BZ40" s="286"/>
      <c r="CA40" s="286"/>
      <c r="CB40" s="734"/>
      <c r="CC40" s="734"/>
      <c r="CD40" s="734"/>
      <c r="CK40" s="203"/>
    </row>
    <row r="41" spans="1:89" ht="14.25" customHeight="1">
      <c r="A41" s="203"/>
      <c r="B41" s="481" t="s">
        <v>395</v>
      </c>
      <c r="C41" s="480"/>
      <c r="D41" s="477">
        <f t="shared" ref="D41:AQ41" si="114">D39+D31+SUM(D33:D37)</f>
        <v>11209.907999999999</v>
      </c>
      <c r="E41" s="475">
        <f t="shared" si="114"/>
        <v>11451.756000000001</v>
      </c>
      <c r="F41" s="475">
        <f t="shared" si="114"/>
        <v>11773.857</v>
      </c>
      <c r="G41" s="476">
        <f t="shared" si="114"/>
        <v>9480.8369999999995</v>
      </c>
      <c r="H41" s="477">
        <f t="shared" si="114"/>
        <v>9808.0029999999988</v>
      </c>
      <c r="I41" s="475">
        <f t="shared" si="114"/>
        <v>9896.223</v>
      </c>
      <c r="J41" s="475">
        <f t="shared" si="114"/>
        <v>10365.383000000002</v>
      </c>
      <c r="K41" s="476">
        <f t="shared" si="114"/>
        <v>10654.075000000001</v>
      </c>
      <c r="L41" s="477">
        <f t="shared" si="114"/>
        <v>10352.488000000001</v>
      </c>
      <c r="M41" s="475">
        <f t="shared" si="114"/>
        <v>10970.949999999997</v>
      </c>
      <c r="N41" s="475">
        <f t="shared" si="114"/>
        <v>10998.441000000003</v>
      </c>
      <c r="O41" s="476">
        <f t="shared" si="114"/>
        <v>10906.318000000003</v>
      </c>
      <c r="P41" s="477">
        <f t="shared" si="114"/>
        <v>10427.602999999999</v>
      </c>
      <c r="Q41" s="475">
        <f t="shared" si="114"/>
        <v>9749.0990000000002</v>
      </c>
      <c r="R41" s="475">
        <f t="shared" si="114"/>
        <v>9580.2809999999972</v>
      </c>
      <c r="S41" s="476">
        <f t="shared" si="114"/>
        <v>9574.2430000000004</v>
      </c>
      <c r="T41" s="475">
        <f t="shared" si="114"/>
        <v>10003.838</v>
      </c>
      <c r="U41" s="475">
        <f t="shared" si="114"/>
        <v>10449.749000000002</v>
      </c>
      <c r="V41" s="475">
        <f t="shared" si="114"/>
        <v>10726.148000000003</v>
      </c>
      <c r="W41" s="476">
        <f t="shared" si="114"/>
        <v>10943.345000000001</v>
      </c>
      <c r="X41" s="477">
        <f t="shared" si="114"/>
        <v>11274</v>
      </c>
      <c r="Y41" s="475">
        <f t="shared" si="114"/>
        <v>11957</v>
      </c>
      <c r="Z41" s="475">
        <f t="shared" si="114"/>
        <v>14103</v>
      </c>
      <c r="AA41" s="476">
        <f t="shared" si="114"/>
        <v>13861</v>
      </c>
      <c r="AB41" s="477">
        <f t="shared" si="114"/>
        <v>13597</v>
      </c>
      <c r="AC41" s="475">
        <f t="shared" si="114"/>
        <v>13877</v>
      </c>
      <c r="AD41" s="475">
        <f t="shared" si="114"/>
        <v>13320</v>
      </c>
      <c r="AE41" s="476">
        <f t="shared" si="114"/>
        <v>12102</v>
      </c>
      <c r="AF41" s="477">
        <f t="shared" si="114"/>
        <v>11714</v>
      </c>
      <c r="AG41" s="475">
        <f t="shared" si="114"/>
        <v>11695</v>
      </c>
      <c r="AH41" s="475">
        <f t="shared" si="114"/>
        <v>11751</v>
      </c>
      <c r="AI41" s="476">
        <f t="shared" si="114"/>
        <v>12043</v>
      </c>
      <c r="AJ41" s="477">
        <f t="shared" si="114"/>
        <v>12199</v>
      </c>
      <c r="AK41" s="475">
        <f t="shared" si="114"/>
        <v>12555</v>
      </c>
      <c r="AL41" s="475">
        <f t="shared" si="114"/>
        <v>12851</v>
      </c>
      <c r="AM41" s="476">
        <f t="shared" si="114"/>
        <v>13174</v>
      </c>
      <c r="AN41" s="477">
        <f t="shared" si="114"/>
        <v>13073</v>
      </c>
      <c r="AO41" s="475">
        <f t="shared" si="114"/>
        <v>13587</v>
      </c>
      <c r="AP41" s="475">
        <f t="shared" si="114"/>
        <v>13153</v>
      </c>
      <c r="AQ41" s="476">
        <f t="shared" si="114"/>
        <v>15308</v>
      </c>
      <c r="AR41" s="477">
        <f t="shared" ref="AR41:AW41" si="115">AR39+AR31+SUM(AR33:AR37)</f>
        <v>13326</v>
      </c>
      <c r="AS41" s="475">
        <f t="shared" si="115"/>
        <v>13075</v>
      </c>
      <c r="AT41" s="475">
        <f t="shared" si="115"/>
        <v>13699</v>
      </c>
      <c r="AU41" s="476">
        <f t="shared" si="115"/>
        <v>14588</v>
      </c>
      <c r="AV41" s="477">
        <f t="shared" si="115"/>
        <v>15244</v>
      </c>
      <c r="AW41" s="475">
        <f t="shared" si="115"/>
        <v>18240</v>
      </c>
      <c r="AX41" s="475">
        <f t="shared" ref="AX41" si="116">AX39+AX31+SUM(AX33:AX37)</f>
        <v>19078</v>
      </c>
      <c r="AY41" s="476">
        <f t="shared" ref="AY41" si="117">AY39+AY31+SUM(AY33:AY37)</f>
        <v>19419</v>
      </c>
      <c r="AZ41" s="475">
        <f t="shared" ref="AZ41:BG41" si="118">AZ39+AZ31+SUM(AZ33:AZ37)</f>
        <v>19663</v>
      </c>
      <c r="BA41" s="475">
        <f t="shared" si="118"/>
        <v>20164.47456988884</v>
      </c>
      <c r="BB41" s="475">
        <f t="shared" si="118"/>
        <v>20279.090374838448</v>
      </c>
      <c r="BC41" s="476">
        <f t="shared" si="118"/>
        <v>20487.240829550534</v>
      </c>
      <c r="BD41" s="475">
        <f t="shared" si="118"/>
        <v>20479.057162136382</v>
      </c>
      <c r="BE41" s="475">
        <f t="shared" si="118"/>
        <v>20560.423527189865</v>
      </c>
      <c r="BF41" s="475">
        <f t="shared" si="118"/>
        <v>20647.551642494982</v>
      </c>
      <c r="BG41" s="476">
        <f t="shared" si="118"/>
        <v>20752.177574735088</v>
      </c>
      <c r="BH41" s="475">
        <f t="shared" ref="BH41:BK41" si="119">BH39+BH31+SUM(BH33:BH37)</f>
        <v>20805.184986941622</v>
      </c>
      <c r="BI41" s="475">
        <f t="shared" si="119"/>
        <v>20906.86712340335</v>
      </c>
      <c r="BJ41" s="475">
        <f t="shared" si="119"/>
        <v>21026.783619162463</v>
      </c>
      <c r="BK41" s="476">
        <f t="shared" si="119"/>
        <v>21125.09722860267</v>
      </c>
      <c r="BL41" s="385"/>
      <c r="BM41" s="475">
        <f t="shared" ref="BM41:BX41" si="120">BM39+BM31+SUM(BM33:BM37)</f>
        <v>9480.8369999999995</v>
      </c>
      <c r="BN41" s="475">
        <f t="shared" si="120"/>
        <v>10654.075000000001</v>
      </c>
      <c r="BO41" s="475">
        <f t="shared" si="120"/>
        <v>10906.318000000003</v>
      </c>
      <c r="BP41" s="475">
        <f t="shared" si="120"/>
        <v>9574.2430000000004</v>
      </c>
      <c r="BQ41" s="475">
        <f t="shared" si="120"/>
        <v>10943.345000000001</v>
      </c>
      <c r="BR41" s="475">
        <f t="shared" si="120"/>
        <v>13861</v>
      </c>
      <c r="BS41" s="475">
        <f t="shared" si="120"/>
        <v>12102</v>
      </c>
      <c r="BT41" s="475">
        <f t="shared" si="120"/>
        <v>12043</v>
      </c>
      <c r="BU41" s="475">
        <f t="shared" si="120"/>
        <v>13174</v>
      </c>
      <c r="BV41" s="475">
        <f t="shared" si="120"/>
        <v>15308</v>
      </c>
      <c r="BW41" s="475">
        <f t="shared" si="120"/>
        <v>14588</v>
      </c>
      <c r="BX41" s="475">
        <f t="shared" si="120"/>
        <v>19419</v>
      </c>
      <c r="BY41" s="475">
        <f>BY39+BY31+SUM(BY33:BY37)</f>
        <v>20487.240829550534</v>
      </c>
      <c r="BZ41" s="476">
        <f>BZ39+BZ31+SUM(BZ33:BZ37)</f>
        <v>20752.177574735088</v>
      </c>
      <c r="CA41" s="476">
        <f>CA39+CA31+SUM(CA33:CA37)</f>
        <v>21125.09722860267</v>
      </c>
      <c r="CB41" s="734"/>
      <c r="CC41" s="734"/>
      <c r="CD41" s="734"/>
      <c r="CK41" s="203"/>
    </row>
    <row r="42" spans="1:89" ht="14.25" customHeight="1">
      <c r="A42" s="203"/>
      <c r="B42" s="514"/>
      <c r="C42" s="209"/>
      <c r="D42" s="500"/>
      <c r="E42" s="500"/>
      <c r="F42" s="500"/>
      <c r="G42" s="500"/>
      <c r="H42" s="500"/>
      <c r="I42" s="500"/>
      <c r="J42" s="500"/>
      <c r="K42" s="500"/>
      <c r="L42" s="500"/>
      <c r="M42" s="500"/>
      <c r="N42" s="500"/>
      <c r="O42" s="500"/>
      <c r="P42" s="500"/>
      <c r="Q42" s="500"/>
      <c r="R42" s="500"/>
      <c r="S42" s="500"/>
      <c r="T42" s="508"/>
      <c r="U42" s="500"/>
      <c r="V42" s="508"/>
      <c r="W42" s="508"/>
      <c r="X42" s="513"/>
      <c r="Y42" s="500"/>
      <c r="Z42" s="508"/>
      <c r="AA42" s="508"/>
      <c r="AB42" s="513"/>
      <c r="AC42" s="500"/>
      <c r="AD42" s="508"/>
      <c r="AE42" s="508"/>
      <c r="AF42" s="513"/>
      <c r="AG42" s="500"/>
      <c r="AH42" s="508"/>
      <c r="AI42" s="508"/>
      <c r="AJ42" s="513"/>
      <c r="AK42" s="500"/>
      <c r="AL42" s="508"/>
      <c r="AM42" s="508"/>
      <c r="AN42" s="513"/>
      <c r="AO42" s="500"/>
      <c r="AP42" s="508"/>
      <c r="AQ42" s="513"/>
      <c r="AR42" s="513"/>
      <c r="AS42" s="500"/>
      <c r="AT42" s="508"/>
      <c r="AU42" s="513"/>
      <c r="AV42" s="513"/>
      <c r="AW42" s="500"/>
      <c r="AX42" s="508"/>
      <c r="AY42" s="513"/>
      <c r="AZ42" s="513"/>
      <c r="BA42" s="513"/>
      <c r="BB42" s="513"/>
      <c r="BC42" s="513"/>
      <c r="BD42" s="513"/>
      <c r="BE42" s="513"/>
      <c r="BF42" s="513"/>
      <c r="BG42" s="513"/>
      <c r="BH42" s="513"/>
      <c r="BI42" s="513"/>
      <c r="BJ42" s="513"/>
      <c r="BK42" s="513"/>
      <c r="BL42" s="204"/>
      <c r="BM42" s="500"/>
      <c r="BN42" s="500"/>
      <c r="BO42" s="500"/>
      <c r="BP42" s="500"/>
      <c r="BQ42" s="500"/>
      <c r="BR42" s="500"/>
      <c r="BS42" s="500"/>
      <c r="BT42" s="500"/>
      <c r="BU42" s="500"/>
      <c r="BV42" s="500"/>
      <c r="BW42" s="500"/>
      <c r="BX42" s="506"/>
      <c r="BY42" s="506"/>
      <c r="BZ42" s="500"/>
      <c r="CA42" s="500"/>
      <c r="CB42" s="734"/>
      <c r="CC42" s="734"/>
      <c r="CD42" s="734"/>
      <c r="CK42" s="203"/>
    </row>
    <row r="43" spans="1:89" ht="14.25" customHeight="1">
      <c r="A43" s="203"/>
      <c r="B43" s="466" t="s">
        <v>65</v>
      </c>
      <c r="C43" s="465"/>
      <c r="D43" s="462">
        <f t="shared" ref="D43:AQ43" si="121">IF(ROUND(D41,4)=ROUND(D23,4),0,D41-D23)</f>
        <v>0</v>
      </c>
      <c r="E43" s="460">
        <f t="shared" si="121"/>
        <v>0</v>
      </c>
      <c r="F43" s="460">
        <f t="shared" si="121"/>
        <v>0</v>
      </c>
      <c r="G43" s="461">
        <f t="shared" si="121"/>
        <v>0</v>
      </c>
      <c r="H43" s="462">
        <f t="shared" si="121"/>
        <v>0</v>
      </c>
      <c r="I43" s="460">
        <f t="shared" si="121"/>
        <v>0</v>
      </c>
      <c r="J43" s="460">
        <f t="shared" si="121"/>
        <v>0</v>
      </c>
      <c r="K43" s="461">
        <f t="shared" si="121"/>
        <v>0</v>
      </c>
      <c r="L43" s="462">
        <f t="shared" si="121"/>
        <v>0</v>
      </c>
      <c r="M43" s="460">
        <f t="shared" si="121"/>
        <v>0</v>
      </c>
      <c r="N43" s="460">
        <f t="shared" si="121"/>
        <v>0</v>
      </c>
      <c r="O43" s="461">
        <f t="shared" si="121"/>
        <v>0</v>
      </c>
      <c r="P43" s="462">
        <f t="shared" si="121"/>
        <v>0</v>
      </c>
      <c r="Q43" s="460">
        <f t="shared" si="121"/>
        <v>0</v>
      </c>
      <c r="R43" s="460">
        <f t="shared" si="121"/>
        <v>0</v>
      </c>
      <c r="S43" s="461">
        <f t="shared" si="121"/>
        <v>0</v>
      </c>
      <c r="T43" s="460">
        <f t="shared" si="121"/>
        <v>0</v>
      </c>
      <c r="U43" s="460">
        <f t="shared" si="121"/>
        <v>0</v>
      </c>
      <c r="V43" s="460">
        <f t="shared" si="121"/>
        <v>0</v>
      </c>
      <c r="W43" s="460">
        <f t="shared" si="121"/>
        <v>0</v>
      </c>
      <c r="X43" s="462">
        <f t="shared" si="121"/>
        <v>0</v>
      </c>
      <c r="Y43" s="460">
        <f t="shared" si="121"/>
        <v>0</v>
      </c>
      <c r="Z43" s="460">
        <f t="shared" si="121"/>
        <v>0</v>
      </c>
      <c r="AA43" s="460">
        <f t="shared" si="121"/>
        <v>0</v>
      </c>
      <c r="AB43" s="462">
        <f t="shared" si="121"/>
        <v>0</v>
      </c>
      <c r="AC43" s="460">
        <f t="shared" si="121"/>
        <v>0</v>
      </c>
      <c r="AD43" s="460">
        <f t="shared" si="121"/>
        <v>0</v>
      </c>
      <c r="AE43" s="460">
        <f t="shared" si="121"/>
        <v>0</v>
      </c>
      <c r="AF43" s="462">
        <f t="shared" si="121"/>
        <v>0</v>
      </c>
      <c r="AG43" s="460">
        <f t="shared" si="121"/>
        <v>0</v>
      </c>
      <c r="AH43" s="460">
        <f t="shared" si="121"/>
        <v>0</v>
      </c>
      <c r="AI43" s="460">
        <f t="shared" si="121"/>
        <v>0</v>
      </c>
      <c r="AJ43" s="462">
        <f t="shared" si="121"/>
        <v>0</v>
      </c>
      <c r="AK43" s="460">
        <f t="shared" si="121"/>
        <v>0</v>
      </c>
      <c r="AL43" s="460">
        <f t="shared" si="121"/>
        <v>0</v>
      </c>
      <c r="AM43" s="460">
        <f t="shared" si="121"/>
        <v>0</v>
      </c>
      <c r="AN43" s="462">
        <f t="shared" si="121"/>
        <v>0</v>
      </c>
      <c r="AO43" s="460">
        <f t="shared" si="121"/>
        <v>0</v>
      </c>
      <c r="AP43" s="460">
        <f t="shared" si="121"/>
        <v>0</v>
      </c>
      <c r="AQ43" s="461">
        <f t="shared" si="121"/>
        <v>0</v>
      </c>
      <c r="AR43" s="462">
        <f t="shared" ref="AR43:AW43" si="122">IF(ROUND(AR41,4)=ROUND(AR23,4),0,AR41-AR23)</f>
        <v>0</v>
      </c>
      <c r="AS43" s="460">
        <f t="shared" si="122"/>
        <v>0</v>
      </c>
      <c r="AT43" s="460">
        <f t="shared" si="122"/>
        <v>0</v>
      </c>
      <c r="AU43" s="461">
        <f t="shared" si="122"/>
        <v>0</v>
      </c>
      <c r="AV43" s="462">
        <f t="shared" si="122"/>
        <v>0</v>
      </c>
      <c r="AW43" s="460">
        <f t="shared" si="122"/>
        <v>0</v>
      </c>
      <c r="AX43" s="460">
        <f t="shared" ref="AX43:AY43" si="123">IF(ROUND(AX41,4)=ROUND(AX23,4),0,AX41-AX23)</f>
        <v>0</v>
      </c>
      <c r="AY43" s="461">
        <f t="shared" si="123"/>
        <v>0</v>
      </c>
      <c r="AZ43" s="460">
        <f t="shared" ref="AZ43:BG43" si="124">IF(ROUND(AZ41,4)=ROUND(AZ23,4),0,AZ41-AZ23)</f>
        <v>0</v>
      </c>
      <c r="BA43" s="460">
        <f t="shared" si="124"/>
        <v>0</v>
      </c>
      <c r="BB43" s="460">
        <f t="shared" si="124"/>
        <v>0</v>
      </c>
      <c r="BC43" s="461">
        <f t="shared" si="124"/>
        <v>0</v>
      </c>
      <c r="BD43" s="460">
        <f t="shared" si="124"/>
        <v>0</v>
      </c>
      <c r="BE43" s="460">
        <f t="shared" si="124"/>
        <v>0</v>
      </c>
      <c r="BF43" s="460">
        <f t="shared" si="124"/>
        <v>0</v>
      </c>
      <c r="BG43" s="461">
        <f t="shared" si="124"/>
        <v>0</v>
      </c>
      <c r="BH43" s="460">
        <f t="shared" ref="BH43:BK43" si="125">IF(ROUND(BH41,4)=ROUND(BH23,4),0,BH41-BH23)</f>
        <v>0</v>
      </c>
      <c r="BI43" s="460">
        <f t="shared" si="125"/>
        <v>0</v>
      </c>
      <c r="BJ43" s="460">
        <f t="shared" si="125"/>
        <v>0</v>
      </c>
      <c r="BK43" s="461">
        <f t="shared" si="125"/>
        <v>0</v>
      </c>
      <c r="BL43" s="215"/>
      <c r="BM43" s="460">
        <f t="shared" ref="BM43:BZ43" si="126">IF(ROUND(BM41,4)=ROUND(BM23,4),0,BM41-BM23)</f>
        <v>0</v>
      </c>
      <c r="BN43" s="460">
        <f t="shared" si="126"/>
        <v>0</v>
      </c>
      <c r="BO43" s="460">
        <f t="shared" si="126"/>
        <v>0</v>
      </c>
      <c r="BP43" s="460">
        <f t="shared" si="126"/>
        <v>0</v>
      </c>
      <c r="BQ43" s="460">
        <f t="shared" si="126"/>
        <v>0</v>
      </c>
      <c r="BR43" s="460">
        <f t="shared" si="126"/>
        <v>0</v>
      </c>
      <c r="BS43" s="460">
        <f t="shared" si="126"/>
        <v>0</v>
      </c>
      <c r="BT43" s="460">
        <f t="shared" si="126"/>
        <v>0</v>
      </c>
      <c r="BU43" s="460">
        <f t="shared" si="126"/>
        <v>0</v>
      </c>
      <c r="BV43" s="460">
        <f t="shared" si="126"/>
        <v>0</v>
      </c>
      <c r="BW43" s="460">
        <f t="shared" si="126"/>
        <v>0</v>
      </c>
      <c r="BX43" s="460">
        <f t="shared" si="126"/>
        <v>0</v>
      </c>
      <c r="BY43" s="460">
        <f>IF(ROUND(BY41,4)=ROUND(BY23,4),0,BY41-BY23)</f>
        <v>0</v>
      </c>
      <c r="BZ43" s="461">
        <f t="shared" si="126"/>
        <v>0</v>
      </c>
      <c r="CA43" s="792">
        <f t="shared" ref="CA43" si="127">IF(ROUND(CA41,4)=ROUND(CA23,4),0,CA41-CA23)</f>
        <v>0</v>
      </c>
      <c r="CB43" s="734"/>
      <c r="CC43" s="734"/>
      <c r="CD43" s="734"/>
      <c r="CK43" s="203"/>
    </row>
    <row r="44" spans="1:89" ht="14.25" customHeight="1">
      <c r="A44" s="203"/>
      <c r="B44" s="230"/>
      <c r="C44" s="209"/>
      <c r="D44" s="508"/>
      <c r="E44" s="508"/>
      <c r="F44" s="508"/>
      <c r="G44" s="508"/>
      <c r="H44" s="508"/>
      <c r="I44" s="508"/>
      <c r="J44" s="508"/>
      <c r="K44" s="508"/>
      <c r="L44" s="508"/>
      <c r="M44" s="508"/>
      <c r="N44" s="508"/>
      <c r="O44" s="508"/>
      <c r="P44" s="508"/>
      <c r="Q44" s="508"/>
      <c r="R44" s="508"/>
      <c r="S44" s="508"/>
      <c r="T44" s="508"/>
      <c r="U44" s="508"/>
      <c r="V44" s="509"/>
      <c r="W44" s="509"/>
      <c r="X44" s="509"/>
      <c r="Y44" s="508"/>
      <c r="Z44" s="509"/>
      <c r="AA44" s="509"/>
      <c r="AB44" s="509"/>
      <c r="AC44" s="508"/>
      <c r="AD44" s="509"/>
      <c r="AE44" s="509"/>
      <c r="AF44" s="509"/>
      <c r="AG44" s="508"/>
      <c r="AH44" s="509"/>
      <c r="AI44" s="509"/>
      <c r="AJ44" s="509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09"/>
      <c r="AV44" s="509"/>
      <c r="AW44" s="509"/>
      <c r="AX44" s="509"/>
      <c r="AY44" s="512"/>
      <c r="AZ44" s="509"/>
      <c r="BA44" s="509"/>
      <c r="BB44" s="509"/>
      <c r="BC44" s="512"/>
      <c r="BD44" s="509"/>
      <c r="BE44" s="509"/>
      <c r="BF44" s="509"/>
      <c r="BG44" s="512"/>
      <c r="BH44" s="509"/>
      <c r="BI44" s="509"/>
      <c r="BJ44" s="509"/>
      <c r="BK44" s="512"/>
      <c r="BL44" s="204"/>
      <c r="BM44" s="500"/>
      <c r="BN44" s="500"/>
      <c r="BO44" s="500"/>
      <c r="BP44" s="500"/>
      <c r="BQ44" s="500"/>
      <c r="BR44" s="511"/>
      <c r="BS44" s="510"/>
      <c r="BT44" s="510"/>
      <c r="BU44" s="510"/>
      <c r="BV44" s="511"/>
      <c r="BW44" s="511"/>
      <c r="BX44" s="511"/>
      <c r="BY44" s="511"/>
      <c r="BZ44" s="510"/>
      <c r="CA44" s="510"/>
      <c r="CB44" s="734"/>
      <c r="CC44" s="734"/>
      <c r="CD44" s="734"/>
      <c r="CK44" s="203"/>
    </row>
    <row r="45" spans="1:89" ht="14.25" customHeight="1">
      <c r="A45" s="203"/>
      <c r="B45" s="314"/>
      <c r="C45" s="209"/>
      <c r="D45" s="508"/>
      <c r="E45" s="508"/>
      <c r="F45" s="508"/>
      <c r="G45" s="508"/>
      <c r="H45" s="508"/>
      <c r="I45" s="508"/>
      <c r="J45" s="508"/>
      <c r="K45" s="508"/>
      <c r="L45" s="508"/>
      <c r="M45" s="508"/>
      <c r="N45" s="508"/>
      <c r="O45" s="508"/>
      <c r="P45" s="508"/>
      <c r="Q45" s="508"/>
      <c r="R45" s="508"/>
      <c r="S45" s="508"/>
      <c r="T45" s="508"/>
      <c r="U45" s="508"/>
      <c r="V45" s="508"/>
      <c r="W45" s="509"/>
      <c r="X45" s="509"/>
      <c r="Y45" s="508"/>
      <c r="Z45" s="508"/>
      <c r="AA45" s="509"/>
      <c r="AB45" s="509"/>
      <c r="AC45" s="508"/>
      <c r="AD45" s="508"/>
      <c r="AE45" s="509"/>
      <c r="AF45" s="509"/>
      <c r="AG45" s="508"/>
      <c r="AH45" s="508"/>
      <c r="AI45" s="507"/>
      <c r="AJ45" s="508"/>
      <c r="AK45" s="508"/>
      <c r="AL45" s="508"/>
      <c r="AM45" s="507"/>
      <c r="AN45" s="508"/>
      <c r="AO45" s="508"/>
      <c r="AP45" s="508"/>
      <c r="AQ45" s="508"/>
      <c r="AR45" s="508"/>
      <c r="AS45" s="508"/>
      <c r="AT45" s="508"/>
      <c r="AU45" s="508"/>
      <c r="AV45" s="508"/>
      <c r="AW45" s="508"/>
      <c r="AX45" s="508"/>
      <c r="AY45" s="507"/>
      <c r="AZ45" s="508"/>
      <c r="BA45" s="508"/>
      <c r="BB45" s="508"/>
      <c r="BC45" s="507"/>
      <c r="BD45" s="508"/>
      <c r="BE45" s="508"/>
      <c r="BF45" s="508"/>
      <c r="BG45" s="507"/>
      <c r="BH45" s="508"/>
      <c r="BI45" s="508"/>
      <c r="BJ45" s="508"/>
      <c r="BK45" s="507"/>
      <c r="BL45" s="204"/>
      <c r="BM45" s="500"/>
      <c r="BN45" s="500"/>
      <c r="BO45" s="500"/>
      <c r="BP45" s="500"/>
      <c r="BQ45" s="500"/>
      <c r="BR45" s="500"/>
      <c r="BS45" s="506"/>
      <c r="BT45" s="506"/>
      <c r="BU45" s="506"/>
      <c r="BV45" s="506"/>
      <c r="BW45" s="506"/>
      <c r="BX45" s="506"/>
      <c r="BY45" s="506"/>
      <c r="BZ45" s="506"/>
      <c r="CA45" s="506"/>
      <c r="CB45" s="734"/>
      <c r="CC45" s="734"/>
      <c r="CD45" s="734"/>
      <c r="CK45" s="203"/>
    </row>
    <row r="46" spans="1:89" ht="14.25" customHeight="1">
      <c r="A46" s="203"/>
      <c r="B46" s="458" t="s">
        <v>80</v>
      </c>
      <c r="C46" s="457"/>
      <c r="D46" s="397" t="str">
        <f t="shared" ref="D46:AY46" si="128">D6</f>
        <v>1Q06</v>
      </c>
      <c r="E46" s="396" t="str">
        <f t="shared" si="128"/>
        <v>2Q06</v>
      </c>
      <c r="F46" s="396" t="str">
        <f t="shared" si="128"/>
        <v>3Q06</v>
      </c>
      <c r="G46" s="398" t="str">
        <f t="shared" si="128"/>
        <v>4Q06</v>
      </c>
      <c r="H46" s="397" t="str">
        <f t="shared" si="128"/>
        <v>1Q07</v>
      </c>
      <c r="I46" s="396" t="str">
        <f t="shared" si="128"/>
        <v>2Q07</v>
      </c>
      <c r="J46" s="396" t="str">
        <f t="shared" si="128"/>
        <v>3Q07</v>
      </c>
      <c r="K46" s="398" t="str">
        <f t="shared" si="128"/>
        <v>4Q07</v>
      </c>
      <c r="L46" s="397" t="str">
        <f t="shared" si="128"/>
        <v>1Q08</v>
      </c>
      <c r="M46" s="396" t="str">
        <f t="shared" si="128"/>
        <v>2Q08</v>
      </c>
      <c r="N46" s="396" t="str">
        <f t="shared" si="128"/>
        <v>3Q08</v>
      </c>
      <c r="O46" s="398" t="str">
        <f t="shared" si="128"/>
        <v>4Q08</v>
      </c>
      <c r="P46" s="397" t="str">
        <f t="shared" si="128"/>
        <v>1Q09</v>
      </c>
      <c r="Q46" s="396" t="str">
        <f t="shared" si="128"/>
        <v>2Q09</v>
      </c>
      <c r="R46" s="396" t="str">
        <f t="shared" si="128"/>
        <v>3Q09</v>
      </c>
      <c r="S46" s="398" t="str">
        <f t="shared" si="128"/>
        <v>4Q09</v>
      </c>
      <c r="T46" s="397" t="str">
        <f t="shared" si="128"/>
        <v>1Q10</v>
      </c>
      <c r="U46" s="396" t="str">
        <f t="shared" si="128"/>
        <v>2Q10</v>
      </c>
      <c r="V46" s="396" t="str">
        <f t="shared" si="128"/>
        <v>3Q10</v>
      </c>
      <c r="W46" s="398" t="str">
        <f t="shared" si="128"/>
        <v>4Q10</v>
      </c>
      <c r="X46" s="397" t="str">
        <f t="shared" si="128"/>
        <v>1Q11</v>
      </c>
      <c r="Y46" s="396" t="str">
        <f t="shared" si="128"/>
        <v>2Q11</v>
      </c>
      <c r="Z46" s="396" t="str">
        <f t="shared" si="128"/>
        <v>3Q11</v>
      </c>
      <c r="AA46" s="398" t="str">
        <f t="shared" si="128"/>
        <v>4Q11</v>
      </c>
      <c r="AB46" s="397" t="str">
        <f t="shared" si="128"/>
        <v>1Q12</v>
      </c>
      <c r="AC46" s="396" t="str">
        <f t="shared" si="128"/>
        <v>2Q12</v>
      </c>
      <c r="AD46" s="396" t="str">
        <f t="shared" si="128"/>
        <v>3Q12</v>
      </c>
      <c r="AE46" s="398" t="str">
        <f t="shared" si="128"/>
        <v>4Q12</v>
      </c>
      <c r="AF46" s="397" t="str">
        <f t="shared" si="128"/>
        <v>1Q13</v>
      </c>
      <c r="AG46" s="396" t="str">
        <f t="shared" si="128"/>
        <v>2Q13</v>
      </c>
      <c r="AH46" s="396" t="str">
        <f t="shared" si="128"/>
        <v>3Q13</v>
      </c>
      <c r="AI46" s="398" t="str">
        <f t="shared" si="128"/>
        <v>4Q13</v>
      </c>
      <c r="AJ46" s="397" t="str">
        <f t="shared" si="128"/>
        <v>1Q14</v>
      </c>
      <c r="AK46" s="396" t="str">
        <f t="shared" si="128"/>
        <v>2Q14</v>
      </c>
      <c r="AL46" s="396" t="str">
        <f t="shared" si="128"/>
        <v>3Q14</v>
      </c>
      <c r="AM46" s="398" t="str">
        <f t="shared" si="128"/>
        <v>4Q14</v>
      </c>
      <c r="AN46" s="397" t="str">
        <f t="shared" si="128"/>
        <v>1Q15</v>
      </c>
      <c r="AO46" s="396" t="str">
        <f t="shared" si="128"/>
        <v>2Q15</v>
      </c>
      <c r="AP46" s="396" t="str">
        <f t="shared" si="128"/>
        <v>3Q15</v>
      </c>
      <c r="AQ46" s="398" t="str">
        <f t="shared" si="128"/>
        <v>4Q15</v>
      </c>
      <c r="AR46" s="397" t="str">
        <f>AR6</f>
        <v>1Q16</v>
      </c>
      <c r="AS46" s="396" t="str">
        <f>AS6</f>
        <v>2Q16</v>
      </c>
      <c r="AT46" s="396" t="str">
        <f t="shared" si="128"/>
        <v>3Q16</v>
      </c>
      <c r="AU46" s="398" t="str">
        <f>AU6</f>
        <v>4Q16</v>
      </c>
      <c r="AV46" s="397" t="str">
        <f>AV6</f>
        <v>1Q17</v>
      </c>
      <c r="AW46" s="396" t="str">
        <f t="shared" si="128"/>
        <v>2Q17</v>
      </c>
      <c r="AX46" s="396" t="str">
        <f t="shared" si="128"/>
        <v>3Q17</v>
      </c>
      <c r="AY46" s="398" t="str">
        <f t="shared" si="128"/>
        <v>4Q17</v>
      </c>
      <c r="AZ46" s="396" t="str">
        <f t="shared" ref="AZ46:BG46" si="129">AZ6</f>
        <v>1Q18</v>
      </c>
      <c r="BA46" s="396" t="str">
        <f t="shared" si="129"/>
        <v>2Q18e</v>
      </c>
      <c r="BB46" s="396" t="str">
        <f t="shared" si="129"/>
        <v>3Q18e</v>
      </c>
      <c r="BC46" s="398" t="str">
        <f t="shared" si="129"/>
        <v>4Q18e</v>
      </c>
      <c r="BD46" s="396" t="str">
        <f t="shared" si="129"/>
        <v>1Q19e</v>
      </c>
      <c r="BE46" s="396" t="str">
        <f t="shared" si="129"/>
        <v>2Q19e</v>
      </c>
      <c r="BF46" s="396" t="str">
        <f t="shared" si="129"/>
        <v>3Q19e</v>
      </c>
      <c r="BG46" s="398" t="str">
        <f t="shared" si="129"/>
        <v>4Q19e</v>
      </c>
      <c r="BH46" s="396" t="str">
        <f t="shared" ref="BH46:BK46" si="130">BH6</f>
        <v>1Q20e</v>
      </c>
      <c r="BI46" s="396" t="str">
        <f t="shared" si="130"/>
        <v>2Q20e</v>
      </c>
      <c r="BJ46" s="396" t="str">
        <f t="shared" si="130"/>
        <v>3Q20e</v>
      </c>
      <c r="BK46" s="398" t="str">
        <f t="shared" si="130"/>
        <v>4Q20e</v>
      </c>
      <c r="BL46" s="215"/>
      <c r="BM46" s="395" t="str">
        <f t="shared" ref="BM46:BZ46" si="131">BM6</f>
        <v>FY2006A</v>
      </c>
      <c r="BN46" s="395" t="str">
        <f t="shared" si="131"/>
        <v>FY2007A</v>
      </c>
      <c r="BO46" s="395" t="str">
        <f t="shared" si="131"/>
        <v>FY2008A</v>
      </c>
      <c r="BP46" s="395" t="str">
        <f t="shared" si="131"/>
        <v>FY2009A</v>
      </c>
      <c r="BQ46" s="395" t="str">
        <f t="shared" si="131"/>
        <v>FY2010A</v>
      </c>
      <c r="BR46" s="395" t="str">
        <f t="shared" si="131"/>
        <v>FY2011A</v>
      </c>
      <c r="BS46" s="395" t="str">
        <f t="shared" si="131"/>
        <v>FY2012A</v>
      </c>
      <c r="BT46" s="395" t="str">
        <f t="shared" si="131"/>
        <v>FY2013A</v>
      </c>
      <c r="BU46" s="395" t="str">
        <f t="shared" si="131"/>
        <v>FY2014A</v>
      </c>
      <c r="BV46" s="395" t="str">
        <f t="shared" si="131"/>
        <v>FY2015A</v>
      </c>
      <c r="BW46" s="395" t="str">
        <f t="shared" si="131"/>
        <v>FY2016A</v>
      </c>
      <c r="BX46" s="395" t="str">
        <f t="shared" si="131"/>
        <v>FY2017A</v>
      </c>
      <c r="BY46" s="395" t="str">
        <f>BY6</f>
        <v>FY2018E</v>
      </c>
      <c r="BZ46" s="723" t="str">
        <f t="shared" si="131"/>
        <v>FY2019E</v>
      </c>
      <c r="CA46" s="398" t="str">
        <f t="shared" ref="CA46" si="132">CA6</f>
        <v>FY2020E</v>
      </c>
      <c r="CB46" s="734"/>
      <c r="CC46" s="734"/>
      <c r="CD46" s="734"/>
      <c r="CK46" s="203"/>
    </row>
    <row r="47" spans="1:89" ht="14.25" customHeight="1">
      <c r="A47" s="203"/>
      <c r="B47" s="217" t="s">
        <v>394</v>
      </c>
      <c r="C47" s="216"/>
      <c r="D47" s="224">
        <f t="shared" ref="D47:AQ47" si="133">D10/(D53*4)*360</f>
        <v>85.007391289368172</v>
      </c>
      <c r="E47" s="225">
        <f t="shared" si="133"/>
        <v>78.035174842037534</v>
      </c>
      <c r="F47" s="225">
        <f t="shared" si="133"/>
        <v>81.184685483417553</v>
      </c>
      <c r="G47" s="282">
        <f t="shared" si="133"/>
        <v>72.413301391061324</v>
      </c>
      <c r="H47" s="224">
        <f t="shared" si="133"/>
        <v>81.081638648432545</v>
      </c>
      <c r="I47" s="225">
        <f t="shared" si="133"/>
        <v>75.492755462311436</v>
      </c>
      <c r="J47" s="225">
        <f t="shared" si="133"/>
        <v>78.729933494313116</v>
      </c>
      <c r="K47" s="282">
        <f t="shared" si="133"/>
        <v>77.923532473414113</v>
      </c>
      <c r="L47" s="224">
        <f t="shared" si="133"/>
        <v>86.857023364506134</v>
      </c>
      <c r="M47" s="225">
        <f t="shared" si="133"/>
        <v>72.39719757878845</v>
      </c>
      <c r="N47" s="225">
        <f t="shared" si="133"/>
        <v>77.000126611866463</v>
      </c>
      <c r="O47" s="282">
        <f t="shared" si="133"/>
        <v>74.469904001464045</v>
      </c>
      <c r="P47" s="224">
        <f t="shared" si="133"/>
        <v>86.048533218938715</v>
      </c>
      <c r="Q47" s="225">
        <f t="shared" si="133"/>
        <v>80.675556845218551</v>
      </c>
      <c r="R47" s="225">
        <f t="shared" si="133"/>
        <v>66.854137632966982</v>
      </c>
      <c r="S47" s="282">
        <f t="shared" si="133"/>
        <v>61.409144690034147</v>
      </c>
      <c r="T47" s="224">
        <f t="shared" si="133"/>
        <v>61.694351566497311</v>
      </c>
      <c r="U47" s="225">
        <f t="shared" si="133"/>
        <v>56.368932800125464</v>
      </c>
      <c r="V47" s="225">
        <f t="shared" si="133"/>
        <v>61.535966065478064</v>
      </c>
      <c r="W47" s="282">
        <f t="shared" si="133"/>
        <v>57.091373961305223</v>
      </c>
      <c r="X47" s="224">
        <f t="shared" si="133"/>
        <v>65.20476545048399</v>
      </c>
      <c r="Y47" s="225">
        <f t="shared" si="133"/>
        <v>60.25157232704403</v>
      </c>
      <c r="Z47" s="225">
        <f t="shared" si="133"/>
        <v>58.514531754574804</v>
      </c>
      <c r="AA47" s="282">
        <f t="shared" si="133"/>
        <v>63.189734188817596</v>
      </c>
      <c r="AB47" s="224">
        <f t="shared" si="133"/>
        <v>64.796710826861585</v>
      </c>
      <c r="AC47" s="225">
        <f t="shared" si="133"/>
        <v>63.223140495867767</v>
      </c>
      <c r="AD47" s="225">
        <f t="shared" si="133"/>
        <v>58.962868117797697</v>
      </c>
      <c r="AE47" s="282">
        <f t="shared" si="133"/>
        <v>66.707168894289183</v>
      </c>
      <c r="AF47" s="224">
        <f t="shared" si="133"/>
        <v>63.452002542911629</v>
      </c>
      <c r="AG47" s="225">
        <f t="shared" si="133"/>
        <v>58.160162189559045</v>
      </c>
      <c r="AH47" s="225">
        <f t="shared" si="133"/>
        <v>53.316455696202539</v>
      </c>
      <c r="AI47" s="282">
        <f t="shared" si="133"/>
        <v>73.928571428571431</v>
      </c>
      <c r="AJ47" s="452">
        <f t="shared" si="133"/>
        <v>62.054794520547944</v>
      </c>
      <c r="AK47" s="450">
        <f t="shared" si="133"/>
        <v>61.772205694857632</v>
      </c>
      <c r="AL47" s="450">
        <f t="shared" si="133"/>
        <v>64.450331125827816</v>
      </c>
      <c r="AM47" s="451">
        <f t="shared" si="133"/>
        <v>66.386925795053003</v>
      </c>
      <c r="AN47" s="452">
        <f t="shared" si="133"/>
        <v>60.279779567613396</v>
      </c>
      <c r="AO47" s="450">
        <f t="shared" si="133"/>
        <v>66.265356265356274</v>
      </c>
      <c r="AP47" s="450">
        <f t="shared" si="133"/>
        <v>71.963855421686745</v>
      </c>
      <c r="AQ47" s="451">
        <f t="shared" si="133"/>
        <v>66.09375</v>
      </c>
      <c r="AR47" s="452">
        <f t="shared" ref="AR47:AW47" si="134">AR10/(AR53*4)*360</f>
        <v>64.79840496233939</v>
      </c>
      <c r="AS47" s="450">
        <f t="shared" si="134"/>
        <v>70.2734693877551</v>
      </c>
      <c r="AT47" s="450">
        <f t="shared" si="134"/>
        <v>59.085430698333923</v>
      </c>
      <c r="AU47" s="451">
        <f t="shared" si="134"/>
        <v>62.21110100090992</v>
      </c>
      <c r="AV47" s="452">
        <f t="shared" si="134"/>
        <v>65.04270896888346</v>
      </c>
      <c r="AW47" s="450">
        <f t="shared" si="134"/>
        <v>60.431472081218267</v>
      </c>
      <c r="AX47" s="450">
        <f t="shared" ref="AX47:AZ47" si="135">AX10/(AX53*4)*360</f>
        <v>54.278846153846153</v>
      </c>
      <c r="AY47" s="451">
        <f t="shared" si="135"/>
        <v>53.015873015873012</v>
      </c>
      <c r="AZ47" s="452">
        <f t="shared" si="135"/>
        <v>46.712654614652706</v>
      </c>
      <c r="BA47" s="505">
        <v>65.5</v>
      </c>
      <c r="BB47" s="505">
        <v>65.5</v>
      </c>
      <c r="BC47" s="504">
        <v>65.5</v>
      </c>
      <c r="BD47" s="505">
        <v>65.5</v>
      </c>
      <c r="BE47" s="505">
        <v>65.5</v>
      </c>
      <c r="BF47" s="505">
        <v>65.5</v>
      </c>
      <c r="BG47" s="504">
        <v>65.5</v>
      </c>
      <c r="BH47" s="505">
        <v>65.5</v>
      </c>
      <c r="BI47" s="505">
        <v>65.5</v>
      </c>
      <c r="BJ47" s="505">
        <v>65.5</v>
      </c>
      <c r="BK47" s="504">
        <v>65.5</v>
      </c>
      <c r="BL47" s="385"/>
      <c r="BM47" s="450">
        <f t="shared" ref="BM47:BX47" si="136">BM10/BM53*360</f>
        <v>79.571345696646688</v>
      </c>
      <c r="BN47" s="450">
        <f t="shared" si="136"/>
        <v>75.788868371550649</v>
      </c>
      <c r="BO47" s="450">
        <f t="shared" si="136"/>
        <v>74.886424807239067</v>
      </c>
      <c r="BP47" s="450">
        <f t="shared" si="136"/>
        <v>74.784122489058277</v>
      </c>
      <c r="BQ47" s="450">
        <f t="shared" si="136"/>
        <v>69.031851252117178</v>
      </c>
      <c r="BR47" s="450">
        <f t="shared" si="136"/>
        <v>52.4408101169535</v>
      </c>
      <c r="BS47" s="450">
        <f t="shared" si="136"/>
        <v>50.372749168482621</v>
      </c>
      <c r="BT47" s="450">
        <f t="shared" si="136"/>
        <v>78.290051937674789</v>
      </c>
      <c r="BU47" s="450">
        <f t="shared" si="136"/>
        <v>66.269841269841265</v>
      </c>
      <c r="BV47" s="450">
        <f t="shared" si="136"/>
        <v>64.814162956827829</v>
      </c>
      <c r="BW47" s="450">
        <f t="shared" si="136"/>
        <v>75.791224018475745</v>
      </c>
      <c r="BX47" s="450">
        <f t="shared" si="136"/>
        <v>57.899153883194607</v>
      </c>
      <c r="BY47" s="450">
        <f>BY10/BY53*360</f>
        <v>65.898128079110364</v>
      </c>
      <c r="BZ47" s="451">
        <f>BZ10/BZ53*360</f>
        <v>66.500431054554412</v>
      </c>
      <c r="CA47" s="451">
        <f>CA10/CA53*360</f>
        <v>66.030466212189495</v>
      </c>
      <c r="CB47" s="734"/>
      <c r="CC47" s="734"/>
      <c r="CD47" s="734"/>
      <c r="CK47" s="203"/>
    </row>
    <row r="48" spans="1:89" ht="14.25" customHeight="1">
      <c r="A48" s="203"/>
      <c r="B48" s="217" t="s">
        <v>393</v>
      </c>
      <c r="C48" s="216"/>
      <c r="D48" s="224">
        <f t="shared" ref="D48:BK48" si="137">360/D49</f>
        <v>3.9871693503066439</v>
      </c>
      <c r="E48" s="225">
        <f t="shared" si="137"/>
        <v>4.4419128424954666</v>
      </c>
      <c r="F48" s="225">
        <f t="shared" si="137"/>
        <v>3.9349319406998049</v>
      </c>
      <c r="G48" s="225">
        <f t="shared" si="137"/>
        <v>3.7878611890868279</v>
      </c>
      <c r="H48" s="224">
        <f t="shared" si="137"/>
        <v>3.1990082178865773</v>
      </c>
      <c r="I48" s="225">
        <f t="shared" si="137"/>
        <v>3.7887938332695268</v>
      </c>
      <c r="J48" s="225">
        <f t="shared" si="137"/>
        <v>3.9492435061955029</v>
      </c>
      <c r="K48" s="225">
        <f t="shared" si="137"/>
        <v>3.9296456009082896</v>
      </c>
      <c r="L48" s="224">
        <f t="shared" si="137"/>
        <v>3.3222516273733129</v>
      </c>
      <c r="M48" s="225">
        <f t="shared" si="137"/>
        <v>2.9101995463151482</v>
      </c>
      <c r="N48" s="225">
        <f t="shared" si="137"/>
        <v>2.3867575739916993</v>
      </c>
      <c r="O48" s="225">
        <f t="shared" si="137"/>
        <v>2.506213082223252</v>
      </c>
      <c r="P48" s="224">
        <f t="shared" si="137"/>
        <v>1.7677697631073646</v>
      </c>
      <c r="Q48" s="225">
        <f t="shared" si="137"/>
        <v>1.8191416836399754</v>
      </c>
      <c r="R48" s="225">
        <f t="shared" si="137"/>
        <v>1.8504152399733029</v>
      </c>
      <c r="S48" s="225">
        <f t="shared" si="137"/>
        <v>2.3780855653943545</v>
      </c>
      <c r="T48" s="224">
        <f t="shared" si="137"/>
        <v>2.7344569898255635</v>
      </c>
      <c r="U48" s="225">
        <f t="shared" si="137"/>
        <v>3.2385507957963733</v>
      </c>
      <c r="V48" s="225">
        <f t="shared" si="137"/>
        <v>4.1700824878683216</v>
      </c>
      <c r="W48" s="225">
        <f t="shared" si="137"/>
        <v>4.3160417170206617</v>
      </c>
      <c r="X48" s="224">
        <f t="shared" si="137"/>
        <v>3.7644201578627809</v>
      </c>
      <c r="Y48" s="225">
        <f t="shared" si="137"/>
        <v>3.7302118171683394</v>
      </c>
      <c r="Z48" s="225">
        <f t="shared" si="137"/>
        <v>3.4678204434829643</v>
      </c>
      <c r="AA48" s="225">
        <f t="shared" si="137"/>
        <v>3.1275720164609053</v>
      </c>
      <c r="AB48" s="224">
        <f t="shared" si="137"/>
        <v>3.1670428893905189</v>
      </c>
      <c r="AC48" s="225">
        <f t="shared" si="137"/>
        <v>3.8393977415307403</v>
      </c>
      <c r="AD48" s="225">
        <f t="shared" si="137"/>
        <v>4.0956521739130434</v>
      </c>
      <c r="AE48" s="225">
        <f t="shared" si="137"/>
        <v>3.3333333333333335</v>
      </c>
      <c r="AF48" s="224">
        <f t="shared" si="137"/>
        <v>3.1017214397496087</v>
      </c>
      <c r="AG48" s="225">
        <f t="shared" si="137"/>
        <v>3.535660091047041</v>
      </c>
      <c r="AH48" s="225">
        <f t="shared" si="137"/>
        <v>3.4432989690721647</v>
      </c>
      <c r="AI48" s="225">
        <f t="shared" si="137"/>
        <v>3.3772116065109699</v>
      </c>
      <c r="AJ48" s="224">
        <f t="shared" si="137"/>
        <v>3.3894324853228963</v>
      </c>
      <c r="AK48" s="225">
        <f t="shared" si="137"/>
        <v>3.4578005115089514</v>
      </c>
      <c r="AL48" s="225">
        <f t="shared" si="137"/>
        <v>3.2915319974143507</v>
      </c>
      <c r="AM48" s="282">
        <f t="shared" si="137"/>
        <v>3.3312061263560944</v>
      </c>
      <c r="AN48" s="224">
        <f t="shared" si="137"/>
        <v>3.4125533211456429</v>
      </c>
      <c r="AO48" s="225">
        <f t="shared" si="137"/>
        <v>3.3298307063631052</v>
      </c>
      <c r="AP48" s="225">
        <f t="shared" si="137"/>
        <v>3.3858539390454285</v>
      </c>
      <c r="AQ48" s="282">
        <f t="shared" si="137"/>
        <v>3.0747408619749046</v>
      </c>
      <c r="AR48" s="224">
        <f t="shared" si="137"/>
        <v>2.9231607629427794</v>
      </c>
      <c r="AS48" s="225">
        <f t="shared" si="137"/>
        <v>3.0062370062370061</v>
      </c>
      <c r="AT48" s="225">
        <f t="shared" si="137"/>
        <v>3.2161895360315897</v>
      </c>
      <c r="AU48" s="282">
        <f t="shared" si="137"/>
        <v>3.7034146341463416</v>
      </c>
      <c r="AV48" s="685">
        <f t="shared" si="137"/>
        <v>3.2143796580447175</v>
      </c>
      <c r="AW48" s="686">
        <f t="shared" si="137"/>
        <v>2.9835185894978919</v>
      </c>
      <c r="AX48" s="686">
        <f t="shared" si="137"/>
        <v>2.842837273991655</v>
      </c>
      <c r="AY48" s="282">
        <f t="shared" si="137"/>
        <v>2.9788395904436862</v>
      </c>
      <c r="AZ48" s="736">
        <f t="shared" si="137"/>
        <v>2.9235199999999999</v>
      </c>
      <c r="BA48" s="225">
        <f t="shared" si="137"/>
        <v>2.9235199999999999</v>
      </c>
      <c r="BB48" s="225">
        <f t="shared" si="137"/>
        <v>2.9235199999999999</v>
      </c>
      <c r="BC48" s="282">
        <f t="shared" si="137"/>
        <v>2.9235199999999999</v>
      </c>
      <c r="BD48" s="737">
        <f t="shared" si="137"/>
        <v>2.9235199999999999</v>
      </c>
      <c r="BE48" s="737">
        <f t="shared" si="137"/>
        <v>2.9235199999999999</v>
      </c>
      <c r="BF48" s="737">
        <f t="shared" si="137"/>
        <v>2.9235199999999999</v>
      </c>
      <c r="BG48" s="282">
        <f t="shared" si="137"/>
        <v>2.9235199999999999</v>
      </c>
      <c r="BH48" s="737">
        <f t="shared" si="137"/>
        <v>2.9235199999999999</v>
      </c>
      <c r="BI48" s="737">
        <f t="shared" si="137"/>
        <v>2.9235199999999999</v>
      </c>
      <c r="BJ48" s="737">
        <f t="shared" si="137"/>
        <v>2.9235199999999999</v>
      </c>
      <c r="BK48" s="282">
        <f t="shared" si="137"/>
        <v>2.9235199999999999</v>
      </c>
      <c r="BL48" s="385"/>
      <c r="BM48" s="225">
        <f t="shared" ref="BM48:CA48" si="138">360/BM49</f>
        <v>3.4655186998365766</v>
      </c>
      <c r="BN48" s="225">
        <f t="shared" si="138"/>
        <v>3.9919778379683182</v>
      </c>
      <c r="BO48" s="225">
        <f t="shared" si="138"/>
        <v>2.3585163086173901</v>
      </c>
      <c r="BP48" s="225">
        <f t="shared" si="138"/>
        <v>2.2014726041916926</v>
      </c>
      <c r="BQ48" s="225">
        <f t="shared" si="138"/>
        <v>3.7700322739498691</v>
      </c>
      <c r="BR48" s="225">
        <f t="shared" si="138"/>
        <v>3.6190476190476186</v>
      </c>
      <c r="BS48" s="225">
        <f t="shared" si="138"/>
        <v>4.25</v>
      </c>
      <c r="BT48" s="737">
        <f t="shared" si="138"/>
        <v>3.1974522292993632</v>
      </c>
      <c r="BU48" s="737">
        <f t="shared" si="138"/>
        <v>3.33694958519464</v>
      </c>
      <c r="BV48" s="225">
        <f t="shared" si="138"/>
        <v>3.1134751773049643</v>
      </c>
      <c r="BW48" s="225">
        <f t="shared" si="138"/>
        <v>3.08</v>
      </c>
      <c r="BX48" s="225">
        <f t="shared" si="138"/>
        <v>2.7320819112627985</v>
      </c>
      <c r="BY48" s="737">
        <f t="shared" si="138"/>
        <v>2.9058573525808886</v>
      </c>
      <c r="BZ48" s="282">
        <f t="shared" si="138"/>
        <v>2.8665605549544733</v>
      </c>
      <c r="CA48" s="282">
        <f t="shared" si="138"/>
        <v>2.9000334388771898</v>
      </c>
      <c r="CB48" s="734"/>
      <c r="CC48" s="734"/>
      <c r="CD48" s="734"/>
      <c r="CK48" s="203"/>
    </row>
    <row r="49" spans="1:89" ht="14.25" customHeight="1">
      <c r="A49" s="203"/>
      <c r="B49" s="217" t="s">
        <v>392</v>
      </c>
      <c r="C49" s="216"/>
      <c r="D49" s="224">
        <f t="shared" ref="D49:AQ49" si="139">(D11/D54)*90</f>
        <v>90.289618616854895</v>
      </c>
      <c r="E49" s="225">
        <f t="shared" si="139"/>
        <v>81.04616474143873</v>
      </c>
      <c r="F49" s="225">
        <f t="shared" si="139"/>
        <v>91.488240565598218</v>
      </c>
      <c r="G49" s="282">
        <f t="shared" si="139"/>
        <v>95.040441565597149</v>
      </c>
      <c r="H49" s="224">
        <f t="shared" si="139"/>
        <v>112.53487814977662</v>
      </c>
      <c r="I49" s="225">
        <f t="shared" si="139"/>
        <v>95.017046543632915</v>
      </c>
      <c r="J49" s="225">
        <f t="shared" si="139"/>
        <v>91.15669860195716</v>
      </c>
      <c r="K49" s="282">
        <f t="shared" si="139"/>
        <v>91.611314749806041</v>
      </c>
      <c r="L49" s="224">
        <f t="shared" si="139"/>
        <v>108.3602449115597</v>
      </c>
      <c r="M49" s="225">
        <f t="shared" si="139"/>
        <v>123.70285757752478</v>
      </c>
      <c r="N49" s="225">
        <f t="shared" si="139"/>
        <v>150.83224367773684</v>
      </c>
      <c r="O49" s="282">
        <f t="shared" si="139"/>
        <v>143.6430136581385</v>
      </c>
      <c r="P49" s="224">
        <f t="shared" si="139"/>
        <v>203.64642925399758</v>
      </c>
      <c r="Q49" s="225">
        <f t="shared" si="139"/>
        <v>197.89552580625011</v>
      </c>
      <c r="R49" s="225">
        <f t="shared" si="139"/>
        <v>194.55092685314997</v>
      </c>
      <c r="S49" s="282">
        <f t="shared" si="139"/>
        <v>151.38227372415918</v>
      </c>
      <c r="T49" s="224">
        <f t="shared" si="139"/>
        <v>131.65319525576635</v>
      </c>
      <c r="U49" s="225">
        <f t="shared" si="139"/>
        <v>111.16083171129465</v>
      </c>
      <c r="V49" s="225">
        <f t="shared" si="139"/>
        <v>86.32922755061044</v>
      </c>
      <c r="W49" s="282">
        <f t="shared" si="139"/>
        <v>83.40975912728338</v>
      </c>
      <c r="X49" s="224">
        <f t="shared" si="139"/>
        <v>95.632258064516122</v>
      </c>
      <c r="Y49" s="225">
        <f t="shared" si="139"/>
        <v>96.509264793783615</v>
      </c>
      <c r="Z49" s="225">
        <f t="shared" si="139"/>
        <v>103.81160324391765</v>
      </c>
      <c r="AA49" s="282">
        <f t="shared" si="139"/>
        <v>115.10526315789474</v>
      </c>
      <c r="AB49" s="224">
        <f t="shared" si="139"/>
        <v>113.67070563079118</v>
      </c>
      <c r="AC49" s="225">
        <f t="shared" si="139"/>
        <v>93.764705882352942</v>
      </c>
      <c r="AD49" s="225">
        <f t="shared" si="139"/>
        <v>87.898089171974519</v>
      </c>
      <c r="AE49" s="282">
        <f t="shared" si="139"/>
        <v>108</v>
      </c>
      <c r="AF49" s="224">
        <f t="shared" si="139"/>
        <v>116.06458123107971</v>
      </c>
      <c r="AG49" s="225">
        <f t="shared" si="139"/>
        <v>101.81974248927038</v>
      </c>
      <c r="AH49" s="225">
        <f t="shared" si="139"/>
        <v>104.55089820359282</v>
      </c>
      <c r="AI49" s="282">
        <f t="shared" si="139"/>
        <v>106.59681475272421</v>
      </c>
      <c r="AJ49" s="224">
        <f t="shared" si="139"/>
        <v>106.21247113163972</v>
      </c>
      <c r="AK49" s="225">
        <f t="shared" si="139"/>
        <v>104.11242603550296</v>
      </c>
      <c r="AL49" s="225">
        <f t="shared" si="139"/>
        <v>109.37156323644932</v>
      </c>
      <c r="AM49" s="282">
        <f t="shared" si="139"/>
        <v>108.06896551724138</v>
      </c>
      <c r="AN49" s="224">
        <f t="shared" si="139"/>
        <v>105.49285714285715</v>
      </c>
      <c r="AO49" s="225">
        <f t="shared" si="139"/>
        <v>108.11360448807855</v>
      </c>
      <c r="AP49" s="225">
        <f t="shared" si="139"/>
        <v>106.32472826086956</v>
      </c>
      <c r="AQ49" s="282">
        <f t="shared" si="139"/>
        <v>117.08303761533001</v>
      </c>
      <c r="AR49" s="224">
        <f t="shared" ref="AR49:AW49" si="140">(AR11/AR54)*90</f>
        <v>123.15436241610738</v>
      </c>
      <c r="AS49" s="225">
        <f t="shared" si="140"/>
        <v>119.75103734439834</v>
      </c>
      <c r="AT49" s="225">
        <f t="shared" si="140"/>
        <v>111.93370165745856</v>
      </c>
      <c r="AU49" s="282">
        <f t="shared" si="140"/>
        <v>97.207586933614323</v>
      </c>
      <c r="AV49" s="685">
        <f t="shared" si="140"/>
        <v>111.99672667757774</v>
      </c>
      <c r="AW49" s="686">
        <f t="shared" si="140"/>
        <v>120.66289825282631</v>
      </c>
      <c r="AX49" s="686">
        <f t="shared" ref="AX49:AZ49" si="141">(AX11/AX54)*90</f>
        <v>126.63405088062622</v>
      </c>
      <c r="AY49" s="282">
        <f t="shared" si="141"/>
        <v>120.85242896425298</v>
      </c>
      <c r="AZ49" s="736">
        <f t="shared" si="141"/>
        <v>123.13922942206656</v>
      </c>
      <c r="BA49" s="505">
        <f t="shared" ref="BA49:BC50" si="142">AZ49</f>
        <v>123.13922942206656</v>
      </c>
      <c r="BB49" s="505">
        <f t="shared" si="142"/>
        <v>123.13922942206656</v>
      </c>
      <c r="BC49" s="504">
        <f t="shared" si="142"/>
        <v>123.13922942206656</v>
      </c>
      <c r="BD49" s="505">
        <f t="shared" ref="BD49:BD50" si="143">BC49</f>
        <v>123.13922942206656</v>
      </c>
      <c r="BE49" s="505">
        <f t="shared" ref="BE49:BE50" si="144">BD49</f>
        <v>123.13922942206656</v>
      </c>
      <c r="BF49" s="505">
        <f t="shared" ref="BF49:BF50" si="145">BE49</f>
        <v>123.13922942206656</v>
      </c>
      <c r="BG49" s="504">
        <f t="shared" ref="BG49:BG50" si="146">BF49</f>
        <v>123.13922942206656</v>
      </c>
      <c r="BH49" s="505">
        <f t="shared" ref="BH49:BH50" si="147">BG49</f>
        <v>123.13922942206656</v>
      </c>
      <c r="BI49" s="505">
        <f t="shared" ref="BI49:BI50" si="148">BH49</f>
        <v>123.13922942206656</v>
      </c>
      <c r="BJ49" s="505">
        <f t="shared" ref="BJ49:BJ50" si="149">BI49</f>
        <v>123.13922942206656</v>
      </c>
      <c r="BK49" s="504">
        <f t="shared" ref="BK49:BK50" si="150">BJ49</f>
        <v>123.13922942206656</v>
      </c>
      <c r="BL49" s="385"/>
      <c r="BM49" s="225">
        <f t="shared" ref="BM49:BX49" si="151">(BM11/BM54)*360</f>
        <v>103.88055329696432</v>
      </c>
      <c r="BN49" s="225">
        <f t="shared" si="151"/>
        <v>90.180861370517732</v>
      </c>
      <c r="BO49" s="225">
        <f t="shared" si="151"/>
        <v>152.63833397490444</v>
      </c>
      <c r="BP49" s="225">
        <f t="shared" si="151"/>
        <v>163.52690436144673</v>
      </c>
      <c r="BQ49" s="225">
        <f t="shared" si="151"/>
        <v>95.489898717187216</v>
      </c>
      <c r="BR49" s="225">
        <f t="shared" si="151"/>
        <v>99.473684210526329</v>
      </c>
      <c r="BS49" s="225">
        <f t="shared" si="151"/>
        <v>84.705882352941174</v>
      </c>
      <c r="BT49" s="737">
        <f t="shared" si="151"/>
        <v>112.58964143426294</v>
      </c>
      <c r="BU49" s="737">
        <f t="shared" si="151"/>
        <v>107.88296041308088</v>
      </c>
      <c r="BV49" s="225">
        <f t="shared" si="151"/>
        <v>115.62642369020502</v>
      </c>
      <c r="BW49" s="225">
        <f t="shared" si="151"/>
        <v>116.88311688311688</v>
      </c>
      <c r="BX49" s="225">
        <f t="shared" si="151"/>
        <v>131.76764522173642</v>
      </c>
      <c r="BY49" s="737">
        <f>(BY11/BY54)*360</f>
        <v>123.88770552699692</v>
      </c>
      <c r="BZ49" s="282">
        <f>(BZ11/BZ54)*360</f>
        <v>125.58604400586874</v>
      </c>
      <c r="CA49" s="282">
        <f>(CA11/CA54)*360</f>
        <v>124.13649966028727</v>
      </c>
      <c r="CB49" s="734"/>
      <c r="CC49" s="734"/>
      <c r="CD49" s="734"/>
      <c r="CK49" s="203"/>
    </row>
    <row r="50" spans="1:89" ht="14.25" customHeight="1">
      <c r="A50" s="203"/>
      <c r="B50" s="217" t="s">
        <v>391</v>
      </c>
      <c r="C50" s="216"/>
      <c r="D50" s="224">
        <f t="shared" ref="D50:AQ50" si="152">(D26/D54)*90</f>
        <v>141.54099498672898</v>
      </c>
      <c r="E50" s="225">
        <f t="shared" si="152"/>
        <v>141.70645544988992</v>
      </c>
      <c r="F50" s="225">
        <f t="shared" si="152"/>
        <v>149.27668513259337</v>
      </c>
      <c r="G50" s="282">
        <f t="shared" si="152"/>
        <v>136.71582959819662</v>
      </c>
      <c r="H50" s="224">
        <f t="shared" si="152"/>
        <v>141.56624234705848</v>
      </c>
      <c r="I50" s="225">
        <f t="shared" si="152"/>
        <v>131.62358905661435</v>
      </c>
      <c r="J50" s="225">
        <f t="shared" si="152"/>
        <v>147.47207707307928</v>
      </c>
      <c r="K50" s="282">
        <f t="shared" si="152"/>
        <v>154.40054908812152</v>
      </c>
      <c r="L50" s="224">
        <f t="shared" si="152"/>
        <v>169.83577978785439</v>
      </c>
      <c r="M50" s="225">
        <f t="shared" si="152"/>
        <v>197.68941910291844</v>
      </c>
      <c r="N50" s="225">
        <f t="shared" si="152"/>
        <v>227.14441508553568</v>
      </c>
      <c r="O50" s="282">
        <f t="shared" si="152"/>
        <v>200.32426432080402</v>
      </c>
      <c r="P50" s="224">
        <f t="shared" si="152"/>
        <v>228.18089443842769</v>
      </c>
      <c r="Q50" s="225">
        <f t="shared" si="152"/>
        <v>209.33251441777185</v>
      </c>
      <c r="R50" s="225">
        <f t="shared" si="152"/>
        <v>218.9751207245699</v>
      </c>
      <c r="S50" s="282">
        <f t="shared" si="152"/>
        <v>178.80742033035744</v>
      </c>
      <c r="T50" s="224">
        <f t="shared" si="152"/>
        <v>177.62303136629637</v>
      </c>
      <c r="U50" s="225">
        <f t="shared" si="152"/>
        <v>159.19321111052659</v>
      </c>
      <c r="V50" s="225">
        <f t="shared" si="152"/>
        <v>145.53567615110919</v>
      </c>
      <c r="W50" s="282">
        <f t="shared" si="152"/>
        <v>140.86159446634213</v>
      </c>
      <c r="X50" s="224">
        <f t="shared" si="152"/>
        <v>153.11612903225804</v>
      </c>
      <c r="Y50" s="225">
        <f t="shared" si="152"/>
        <v>163.48475791990438</v>
      </c>
      <c r="Z50" s="225">
        <f t="shared" si="152"/>
        <v>92.807236431690583</v>
      </c>
      <c r="AA50" s="282">
        <f t="shared" si="152"/>
        <v>102.85714285714285</v>
      </c>
      <c r="AB50" s="224">
        <f t="shared" si="152"/>
        <v>85.124732715609412</v>
      </c>
      <c r="AC50" s="225">
        <f t="shared" si="152"/>
        <v>86.235294117647058</v>
      </c>
      <c r="AD50" s="225">
        <f t="shared" si="152"/>
        <v>89.808917197452232</v>
      </c>
      <c r="AE50" s="282">
        <f t="shared" si="152"/>
        <v>121.92452830188678</v>
      </c>
      <c r="AF50" s="224">
        <f t="shared" si="152"/>
        <v>116.88193743693239</v>
      </c>
      <c r="AG50" s="225">
        <f t="shared" si="152"/>
        <v>112.94420600858368</v>
      </c>
      <c r="AH50" s="225">
        <f t="shared" si="152"/>
        <v>111.32591958939265</v>
      </c>
      <c r="AI50" s="282">
        <f t="shared" si="152"/>
        <v>124.40067057837385</v>
      </c>
      <c r="AJ50" s="224">
        <f t="shared" si="152"/>
        <v>109.19168591224019</v>
      </c>
      <c r="AK50" s="225">
        <f t="shared" si="152"/>
        <v>110.70266272189349</v>
      </c>
      <c r="AL50" s="225">
        <f t="shared" si="152"/>
        <v>119.41084053417126</v>
      </c>
      <c r="AM50" s="282">
        <f t="shared" si="152"/>
        <v>129.86206896551724</v>
      </c>
      <c r="AN50" s="224">
        <f t="shared" si="152"/>
        <v>111.66428571428571</v>
      </c>
      <c r="AO50" s="225">
        <f t="shared" si="152"/>
        <v>114.99298737727909</v>
      </c>
      <c r="AP50" s="225">
        <f t="shared" si="152"/>
        <v>132.1875</v>
      </c>
      <c r="AQ50" s="282">
        <f t="shared" si="152"/>
        <v>117.08303761533001</v>
      </c>
      <c r="AR50" s="224">
        <f t="shared" ref="AR50:AW50" si="153">(AR26/AR54)*90</f>
        <v>97.785234899328856</v>
      </c>
      <c r="AS50" s="225">
        <f t="shared" si="153"/>
        <v>101.45228215767635</v>
      </c>
      <c r="AT50" s="225">
        <f t="shared" si="153"/>
        <v>99.447513812154696</v>
      </c>
      <c r="AU50" s="282">
        <f t="shared" si="153"/>
        <v>97.49209694415174</v>
      </c>
      <c r="AV50" s="685">
        <f t="shared" si="153"/>
        <v>105.02454991816694</v>
      </c>
      <c r="AW50" s="686">
        <f t="shared" si="153"/>
        <v>106.83453237410072</v>
      </c>
      <c r="AX50" s="686">
        <f t="shared" ref="AX50:AZ50" si="154">(AX26/AX54)*90</f>
        <v>99.290606653620344</v>
      </c>
      <c r="AY50" s="282">
        <f t="shared" si="154"/>
        <v>101.05407882676442</v>
      </c>
      <c r="AZ50" s="736">
        <f t="shared" si="154"/>
        <v>93.822241681260948</v>
      </c>
      <c r="BA50" s="505">
        <f t="shared" si="142"/>
        <v>93.822241681260948</v>
      </c>
      <c r="BB50" s="505">
        <f t="shared" si="142"/>
        <v>93.822241681260948</v>
      </c>
      <c r="BC50" s="504">
        <f t="shared" si="142"/>
        <v>93.822241681260948</v>
      </c>
      <c r="BD50" s="505">
        <f t="shared" si="143"/>
        <v>93.822241681260948</v>
      </c>
      <c r="BE50" s="505">
        <f t="shared" si="144"/>
        <v>93.822241681260948</v>
      </c>
      <c r="BF50" s="505">
        <f t="shared" si="145"/>
        <v>93.822241681260948</v>
      </c>
      <c r="BG50" s="504">
        <f t="shared" si="146"/>
        <v>93.822241681260948</v>
      </c>
      <c r="BH50" s="505">
        <f t="shared" si="147"/>
        <v>93.822241681260948</v>
      </c>
      <c r="BI50" s="505">
        <f t="shared" si="148"/>
        <v>93.822241681260948</v>
      </c>
      <c r="BJ50" s="505">
        <f t="shared" si="149"/>
        <v>93.822241681260948</v>
      </c>
      <c r="BK50" s="504">
        <f t="shared" si="150"/>
        <v>93.822241681260948</v>
      </c>
      <c r="BL50" s="385"/>
      <c r="BM50" s="225">
        <f t="shared" ref="BM50:BX50" si="155">(BM26/BM54)*360</f>
        <v>149.43234468572857</v>
      </c>
      <c r="BN50" s="225">
        <f t="shared" si="155"/>
        <v>151.98968108769759</v>
      </c>
      <c r="BO50" s="225">
        <f t="shared" si="155"/>
        <v>212.86912034195882</v>
      </c>
      <c r="BP50" s="225">
        <f t="shared" si="155"/>
        <v>193.15223113082999</v>
      </c>
      <c r="BQ50" s="225">
        <f t="shared" si="155"/>
        <v>161.26241736541266</v>
      </c>
      <c r="BR50" s="225">
        <f t="shared" si="155"/>
        <v>88.888888888888886</v>
      </c>
      <c r="BS50" s="225">
        <f t="shared" si="155"/>
        <v>95.627081021087676</v>
      </c>
      <c r="BT50" s="737">
        <f t="shared" si="155"/>
        <v>131.39442231075699</v>
      </c>
      <c r="BU50" s="737">
        <f t="shared" si="155"/>
        <v>129.63855421686748</v>
      </c>
      <c r="BV50" s="225">
        <f t="shared" si="155"/>
        <v>115.62642369020502</v>
      </c>
      <c r="BW50" s="225">
        <f t="shared" si="155"/>
        <v>117.22521381057966</v>
      </c>
      <c r="BX50" s="225">
        <f t="shared" si="155"/>
        <v>110.18113678950655</v>
      </c>
      <c r="BY50" s="737">
        <f>(BY26/BY54)*360</f>
        <v>94.392520595129483</v>
      </c>
      <c r="BZ50" s="282">
        <f>(BZ26/BZ54)*360</f>
        <v>95.686518648951505</v>
      </c>
      <c r="CA50" s="282">
        <f>(CA26/CA54)*360</f>
        <v>94.582081821166085</v>
      </c>
      <c r="CB50" s="734"/>
      <c r="CC50" s="734"/>
      <c r="CD50" s="734"/>
      <c r="CK50" s="203"/>
    </row>
    <row r="51" spans="1:89" ht="14.25" customHeight="1">
      <c r="A51" s="203"/>
      <c r="B51" s="382" t="s">
        <v>390</v>
      </c>
      <c r="C51" s="216"/>
      <c r="D51" s="270">
        <f t="shared" ref="D51:AQ51" si="156">D13/D53</f>
        <v>0.1549888242412758</v>
      </c>
      <c r="E51" s="270">
        <f t="shared" si="156"/>
        <v>0.14492371265381374</v>
      </c>
      <c r="F51" s="270">
        <f t="shared" si="156"/>
        <v>0.12892366764264029</v>
      </c>
      <c r="G51" s="281">
        <f t="shared" si="156"/>
        <v>0.1172349682900282</v>
      </c>
      <c r="H51" s="270">
        <f t="shared" si="156"/>
        <v>0.12784403409876841</v>
      </c>
      <c r="I51" s="270">
        <f t="shared" si="156"/>
        <v>0.10890941155402063</v>
      </c>
      <c r="J51" s="270">
        <f t="shared" si="156"/>
        <v>0.12507497118295155</v>
      </c>
      <c r="K51" s="281">
        <f t="shared" si="156"/>
        <v>0.18963694802462483</v>
      </c>
      <c r="L51" s="270">
        <f t="shared" si="156"/>
        <v>0.22729935896238235</v>
      </c>
      <c r="M51" s="270">
        <f t="shared" si="156"/>
        <v>0.16077642862923591</v>
      </c>
      <c r="N51" s="270">
        <f t="shared" si="156"/>
        <v>0.24538029010349707</v>
      </c>
      <c r="O51" s="281">
        <f t="shared" si="156"/>
        <v>0.24301198281333108</v>
      </c>
      <c r="P51" s="270">
        <f t="shared" si="156"/>
        <v>0.41518873612940194</v>
      </c>
      <c r="Q51" s="270">
        <f t="shared" si="156"/>
        <v>0.63230520833231219</v>
      </c>
      <c r="R51" s="270">
        <f t="shared" si="156"/>
        <v>0.6445498968017358</v>
      </c>
      <c r="S51" s="281">
        <f t="shared" si="156"/>
        <v>0.29411082590733451</v>
      </c>
      <c r="T51" s="270">
        <f t="shared" si="156"/>
        <v>0.18682601890202941</v>
      </c>
      <c r="U51" s="270">
        <f t="shared" si="156"/>
        <v>0.12088920254057868</v>
      </c>
      <c r="V51" s="270">
        <f t="shared" si="156"/>
        <v>0.12495958757481761</v>
      </c>
      <c r="W51" s="281">
        <f t="shared" si="156"/>
        <v>0.10026382024885369</v>
      </c>
      <c r="X51" s="270">
        <f t="shared" si="156"/>
        <v>0.10833953834698436</v>
      </c>
      <c r="Y51" s="270">
        <f t="shared" si="156"/>
        <v>0.1331236897274633</v>
      </c>
      <c r="Z51" s="270">
        <f t="shared" si="156"/>
        <v>0.1126659490491568</v>
      </c>
      <c r="AA51" s="281">
        <f t="shared" si="156"/>
        <v>0.13703024747937673</v>
      </c>
      <c r="AB51" s="270">
        <f t="shared" si="156"/>
        <v>0.10963910461397898</v>
      </c>
      <c r="AC51" s="270">
        <f t="shared" si="156"/>
        <v>8.2251082251082255E-2</v>
      </c>
      <c r="AD51" s="270">
        <f t="shared" si="156"/>
        <v>0.12291933418693982</v>
      </c>
      <c r="AE51" s="281">
        <f t="shared" si="156"/>
        <v>0.18469015795868773</v>
      </c>
      <c r="AF51" s="270">
        <f t="shared" si="156"/>
        <v>0.14113159567705022</v>
      </c>
      <c r="AG51" s="270">
        <f t="shared" si="156"/>
        <v>0.17840851495184998</v>
      </c>
      <c r="AH51" s="270">
        <f t="shared" si="156"/>
        <v>0.15341772151898733</v>
      </c>
      <c r="AI51" s="281">
        <f t="shared" si="156"/>
        <v>0.3546277665995976</v>
      </c>
      <c r="AJ51" s="384">
        <f t="shared" si="156"/>
        <v>0.31141552511415527</v>
      </c>
      <c r="AK51" s="270">
        <f t="shared" si="156"/>
        <v>0.26476838079048026</v>
      </c>
      <c r="AL51" s="270">
        <f t="shared" si="156"/>
        <v>0.26490066225165565</v>
      </c>
      <c r="AM51" s="281">
        <f t="shared" si="156"/>
        <v>0.25088339222614842</v>
      </c>
      <c r="AN51" s="384">
        <f t="shared" si="156"/>
        <v>0.26494277236116998</v>
      </c>
      <c r="AO51" s="270">
        <f t="shared" si="156"/>
        <v>0.28910728910728911</v>
      </c>
      <c r="AP51" s="270">
        <f t="shared" si="156"/>
        <v>0.2289156626506024</v>
      </c>
      <c r="AQ51" s="281">
        <f t="shared" si="156"/>
        <v>0.30574324324324326</v>
      </c>
      <c r="AR51" s="384">
        <f t="shared" ref="AR51:AW51" si="157">AR13/AR53</f>
        <v>0.1479840496233939</v>
      </c>
      <c r="AS51" s="270">
        <f t="shared" si="157"/>
        <v>0.10244897959183673</v>
      </c>
      <c r="AT51" s="270">
        <f t="shared" si="157"/>
        <v>9.0393477490251686E-2</v>
      </c>
      <c r="AU51" s="281">
        <f t="shared" si="157"/>
        <v>8.3409159842280867E-2</v>
      </c>
      <c r="AV51" s="384">
        <f t="shared" si="157"/>
        <v>9.0604026845637578E-2</v>
      </c>
      <c r="AW51" s="270">
        <f t="shared" si="157"/>
        <v>8.0090242526790756E-2</v>
      </c>
      <c r="AX51" s="270">
        <f t="shared" ref="AX51:AZ51" si="158">AX13/AX53</f>
        <v>9.7756410256410256E-2</v>
      </c>
      <c r="AY51" s="706">
        <f t="shared" si="158"/>
        <v>9.4230284706475181E-2</v>
      </c>
      <c r="AZ51" s="720">
        <f t="shared" si="158"/>
        <v>6.3748810656517607E-2</v>
      </c>
      <c r="BA51" s="270">
        <f t="shared" ref="BA51:BG51" si="159">BA13/BA53</f>
        <v>6.0092731156332131E-2</v>
      </c>
      <c r="BB51" s="270">
        <f t="shared" si="159"/>
        <v>6.1710594775980558E-2</v>
      </c>
      <c r="BC51" s="281">
        <f t="shared" si="159"/>
        <v>6.1316702597952188E-2</v>
      </c>
      <c r="BD51" s="703">
        <f t="shared" si="159"/>
        <v>6.3226763263739647E-2</v>
      </c>
      <c r="BE51" s="703">
        <f t="shared" si="159"/>
        <v>6.2662805667777752E-2</v>
      </c>
      <c r="BF51" s="703">
        <f t="shared" si="159"/>
        <v>6.2308336129056306E-2</v>
      </c>
      <c r="BG51" s="706">
        <f t="shared" si="159"/>
        <v>6.1472073261633439E-2</v>
      </c>
      <c r="BH51" s="703">
        <f t="shared" ref="BH51:BK51" si="160">BH13/BH53</f>
        <v>6.1935809016815689E-2</v>
      </c>
      <c r="BI51" s="703">
        <f t="shared" si="160"/>
        <v>6.1395897354503556E-2</v>
      </c>
      <c r="BJ51" s="703">
        <f t="shared" si="160"/>
        <v>6.0767777496847267E-2</v>
      </c>
      <c r="BK51" s="706">
        <f t="shared" si="160"/>
        <v>6.0705489329605032E-2</v>
      </c>
      <c r="BL51" s="503"/>
      <c r="BM51" s="270">
        <f t="shared" ref="BM51:BX51" si="161">BM13/BM53</f>
        <v>3.2205906961634397E-2</v>
      </c>
      <c r="BN51" s="270">
        <f t="shared" si="161"/>
        <v>4.6110492029876972E-2</v>
      </c>
      <c r="BO51" s="270">
        <f t="shared" si="161"/>
        <v>6.1092795882517932E-2</v>
      </c>
      <c r="BP51" s="270">
        <f t="shared" si="161"/>
        <v>8.9542120074429438E-2</v>
      </c>
      <c r="BQ51" s="270">
        <f t="shared" si="161"/>
        <v>3.0308418965704846E-2</v>
      </c>
      <c r="BR51" s="270">
        <f t="shared" si="161"/>
        <v>2.843016069221261E-2</v>
      </c>
      <c r="BS51" s="270">
        <f t="shared" si="161"/>
        <v>3.4866383759605463E-2</v>
      </c>
      <c r="BT51" s="703">
        <f t="shared" si="161"/>
        <v>9.3887335197762684E-2</v>
      </c>
      <c r="BU51" s="703">
        <f t="shared" si="161"/>
        <v>6.261022927689594E-2</v>
      </c>
      <c r="BV51" s="270">
        <f t="shared" si="161"/>
        <v>7.4955999585878452E-2</v>
      </c>
      <c r="BW51" s="270">
        <f t="shared" si="161"/>
        <v>2.5404157043879907E-2</v>
      </c>
      <c r="BX51" s="270">
        <f t="shared" si="161"/>
        <v>2.572745408268556E-2</v>
      </c>
      <c r="BY51" s="703">
        <f>BY13/BY53</f>
        <v>1.5422350844231193E-2</v>
      </c>
      <c r="BZ51" s="706">
        <f>BZ13/BZ53</f>
        <v>1.5602745685938063E-2</v>
      </c>
      <c r="CA51" s="706">
        <f>CA13/CA53</f>
        <v>1.5299281534629446E-2</v>
      </c>
      <c r="CB51" s="734"/>
      <c r="CC51" s="734"/>
      <c r="CD51" s="734"/>
      <c r="CK51" s="203"/>
    </row>
    <row r="52" spans="1:89" ht="14.25" customHeight="1">
      <c r="A52" s="203"/>
      <c r="B52" s="217"/>
      <c r="C52" s="216"/>
      <c r="D52" s="502"/>
      <c r="E52" s="500"/>
      <c r="F52" s="500"/>
      <c r="G52" s="500"/>
      <c r="H52" s="502"/>
      <c r="I52" s="500"/>
      <c r="J52" s="500"/>
      <c r="K52" s="500"/>
      <c r="L52" s="502"/>
      <c r="M52" s="500"/>
      <c r="N52" s="500"/>
      <c r="O52" s="500"/>
      <c r="P52" s="502"/>
      <c r="Q52" s="500"/>
      <c r="R52" s="500"/>
      <c r="S52" s="500"/>
      <c r="T52" s="502"/>
      <c r="U52" s="500"/>
      <c r="V52" s="500"/>
      <c r="W52" s="500"/>
      <c r="X52" s="502"/>
      <c r="Y52" s="500"/>
      <c r="Z52" s="500"/>
      <c r="AA52" s="500"/>
      <c r="AB52" s="502"/>
      <c r="AC52" s="500"/>
      <c r="AD52" s="500"/>
      <c r="AE52" s="500"/>
      <c r="AF52" s="502"/>
      <c r="AG52" s="500"/>
      <c r="AH52" s="500"/>
      <c r="AI52" s="500"/>
      <c r="AJ52" s="502"/>
      <c r="AK52" s="500"/>
      <c r="AL52" s="500"/>
      <c r="AM52" s="501"/>
      <c r="AN52" s="502"/>
      <c r="AO52" s="500"/>
      <c r="AP52" s="500"/>
      <c r="AQ52" s="501"/>
      <c r="AR52" s="502"/>
      <c r="AS52" s="500"/>
      <c r="AT52" s="500"/>
      <c r="AU52" s="501"/>
      <c r="AV52" s="502"/>
      <c r="AW52" s="500"/>
      <c r="AX52" s="500"/>
      <c r="AY52" s="501"/>
      <c r="AZ52" s="502"/>
      <c r="BA52" s="500"/>
      <c r="BB52" s="500"/>
      <c r="BC52" s="501"/>
      <c r="BD52" s="500"/>
      <c r="BE52" s="500"/>
      <c r="BF52" s="500"/>
      <c r="BG52" s="501"/>
      <c r="BH52" s="500"/>
      <c r="BI52" s="500"/>
      <c r="BJ52" s="500"/>
      <c r="BK52" s="501"/>
      <c r="BL52" s="215"/>
      <c r="BM52" s="500"/>
      <c r="BN52" s="500"/>
      <c r="BO52" s="500"/>
      <c r="BP52" s="500"/>
      <c r="BQ52" s="500"/>
      <c r="BR52" s="500"/>
      <c r="BS52" s="500"/>
      <c r="BT52" s="500"/>
      <c r="BU52" s="500"/>
      <c r="BV52" s="500"/>
      <c r="BW52" s="500"/>
      <c r="BX52" s="500"/>
      <c r="BY52" s="500"/>
      <c r="BZ52" s="501"/>
      <c r="CA52" s="501"/>
      <c r="CB52" s="734"/>
      <c r="CC52" s="734"/>
      <c r="CD52" s="734"/>
      <c r="CK52" s="203"/>
    </row>
    <row r="53" spans="1:89" ht="14.25" customHeight="1">
      <c r="A53" s="203"/>
      <c r="B53" s="217" t="s">
        <v>389</v>
      </c>
      <c r="C53" s="216"/>
      <c r="D53" s="499">
        <f>IS!D7</f>
        <v>1857.5920000000001</v>
      </c>
      <c r="E53" s="497">
        <f>IS!E7</f>
        <v>2247.6860000000001</v>
      </c>
      <c r="F53" s="497">
        <f>IS!F7</f>
        <v>2543.4430000000002</v>
      </c>
      <c r="G53" s="497">
        <f>IS!G7</f>
        <v>2518.2930000000001</v>
      </c>
      <c r="H53" s="499">
        <f>IS!H7</f>
        <v>2277.2669999999998</v>
      </c>
      <c r="I53" s="497">
        <f>IS!I7</f>
        <v>2529.5610000000001</v>
      </c>
      <c r="J53" s="497">
        <f>IS!J7</f>
        <v>2560.9839999999999</v>
      </c>
      <c r="K53" s="497">
        <f>IS!K7</f>
        <v>2367.0439999999999</v>
      </c>
      <c r="L53" s="499">
        <f>IS!L7</f>
        <v>2087.3969999999999</v>
      </c>
      <c r="M53" s="497">
        <f>IS!M7</f>
        <v>2149.998</v>
      </c>
      <c r="N53" s="497">
        <f>IS!N7</f>
        <v>1848.1679999999999</v>
      </c>
      <c r="O53" s="497">
        <f>IS!O7</f>
        <v>2043.6769999999999</v>
      </c>
      <c r="P53" s="499">
        <f>IS!P7</f>
        <v>1333.396</v>
      </c>
      <c r="Q53" s="497">
        <f>IS!Q7</f>
        <v>1020.077</v>
      </c>
      <c r="R53" s="497">
        <f>IS!R7</f>
        <v>1133.74</v>
      </c>
      <c r="S53" s="497">
        <f>IS!S7</f>
        <v>1526.394</v>
      </c>
      <c r="T53" s="499">
        <f>IS!T7</f>
        <v>1848.902</v>
      </c>
      <c r="U53" s="497">
        <f>IS!U7</f>
        <v>2295.54</v>
      </c>
      <c r="V53" s="497">
        <f>IS!V7</f>
        <v>2517.79</v>
      </c>
      <c r="W53" s="497">
        <f>IS!W7</f>
        <v>2886.4349999999995</v>
      </c>
      <c r="X53" s="499">
        <f>IS!X7</f>
        <v>2686</v>
      </c>
      <c r="Y53" s="497">
        <f>IS!Y7</f>
        <v>2862</v>
      </c>
      <c r="Z53" s="497">
        <f>IS!Z7</f>
        <v>2787</v>
      </c>
      <c r="AA53" s="497">
        <f>IS!AA7</f>
        <v>2182</v>
      </c>
      <c r="AB53" s="499">
        <f>IS!AB7</f>
        <v>2189</v>
      </c>
      <c r="AC53" s="497">
        <f>IS!AC7</f>
        <v>2541</v>
      </c>
      <c r="AD53" s="497">
        <f>IS!AD7</f>
        <v>2343</v>
      </c>
      <c r="AE53" s="497">
        <f>IS!AE7</f>
        <v>1646</v>
      </c>
      <c r="AF53" s="499">
        <f>IS!AF7</f>
        <v>1573</v>
      </c>
      <c r="AG53" s="497">
        <f>IS!AG7</f>
        <v>1973</v>
      </c>
      <c r="AH53" s="497">
        <f>IS!AH7</f>
        <v>1975</v>
      </c>
      <c r="AI53" s="497">
        <f>IS!AI7</f>
        <v>1988</v>
      </c>
      <c r="AJ53" s="499">
        <f>IS!AJ7</f>
        <v>2190</v>
      </c>
      <c r="AK53" s="497">
        <f>IS!AK7</f>
        <v>2353</v>
      </c>
      <c r="AL53" s="497">
        <f>IS!AL7</f>
        <v>2265</v>
      </c>
      <c r="AM53" s="498">
        <f>IS!AM7</f>
        <v>2264</v>
      </c>
      <c r="AN53" s="499">
        <f>IS!AN7</f>
        <v>2359</v>
      </c>
      <c r="AO53" s="497">
        <f>IS!AO7</f>
        <v>2442</v>
      </c>
      <c r="AP53" s="497">
        <f>IS!AP7</f>
        <v>2490</v>
      </c>
      <c r="AQ53" s="498">
        <f>IS!AQ7</f>
        <v>2368</v>
      </c>
      <c r="AR53" s="499">
        <f>IS!AR7</f>
        <v>2257</v>
      </c>
      <c r="AS53" s="497">
        <f>IS!AS7</f>
        <v>2450</v>
      </c>
      <c r="AT53" s="497">
        <f>IS!AT7</f>
        <v>2821</v>
      </c>
      <c r="AU53" s="498">
        <f>IS!AU7</f>
        <v>3297</v>
      </c>
      <c r="AV53" s="499">
        <f>IS!AV7</f>
        <v>3278</v>
      </c>
      <c r="AW53" s="497">
        <f>IS!AW7</f>
        <v>3546</v>
      </c>
      <c r="AX53" s="497">
        <f>IS!AX7</f>
        <v>3744</v>
      </c>
      <c r="AY53" s="498">
        <f>IS!AY7</f>
        <v>3969</v>
      </c>
      <c r="AZ53" s="499">
        <f>IS!AZ7</f>
        <v>4204</v>
      </c>
      <c r="BA53" s="497">
        <f>IS!BA7</f>
        <v>4459.7740000000003</v>
      </c>
      <c r="BB53" s="497">
        <f>IS!BB7</f>
        <v>4342.8523249999998</v>
      </c>
      <c r="BC53" s="498">
        <f>IS!BC7</f>
        <v>4370.7503607500003</v>
      </c>
      <c r="BD53" s="497">
        <f>IS!BD7</f>
        <v>4238.7113647124997</v>
      </c>
      <c r="BE53" s="497">
        <f>IS!BE7</f>
        <v>4276.859249183125</v>
      </c>
      <c r="BF53" s="497">
        <f>IS!BF7</f>
        <v>4301.1901239812323</v>
      </c>
      <c r="BG53" s="498">
        <f>IS!BG7</f>
        <v>4359.7032893189698</v>
      </c>
      <c r="BH53" s="497">
        <f>IS!BH7</f>
        <v>4327.0606173439583</v>
      </c>
      <c r="BI53" s="497">
        <f>IS!BI7</f>
        <v>4365.1125164365967</v>
      </c>
      <c r="BJ53" s="497">
        <f>IS!BJ7</f>
        <v>4410.2320512528913</v>
      </c>
      <c r="BK53" s="498">
        <f>IS!BK7</f>
        <v>4414.7572642874811</v>
      </c>
      <c r="BL53" s="215"/>
      <c r="BM53" s="497">
        <f>IS!BM7</f>
        <v>9167.014000000001</v>
      </c>
      <c r="BN53" s="497">
        <f>IS!BN7</f>
        <v>9734.8559999999998</v>
      </c>
      <c r="BO53" s="497">
        <f>IS!BO7</f>
        <v>8129.24</v>
      </c>
      <c r="BP53" s="497">
        <f>IS!BP7</f>
        <v>5013.607</v>
      </c>
      <c r="BQ53" s="497">
        <f>IS!BQ7</f>
        <v>9548.6669999999995</v>
      </c>
      <c r="BR53" s="497">
        <f>IS!BR7</f>
        <v>10517</v>
      </c>
      <c r="BS53" s="497">
        <f>IS!BS7</f>
        <v>8719</v>
      </c>
      <c r="BT53" s="497">
        <f>IS!BT7</f>
        <v>7509</v>
      </c>
      <c r="BU53" s="497">
        <f>IS!BU7</f>
        <v>9072</v>
      </c>
      <c r="BV53" s="497">
        <f>IS!BV7</f>
        <v>9659</v>
      </c>
      <c r="BW53" s="497">
        <f>IS!BW7</f>
        <v>10825</v>
      </c>
      <c r="BX53" s="497">
        <f>IS!BX7</f>
        <v>14537</v>
      </c>
      <c r="BY53" s="497">
        <f>IS!BY7</f>
        <v>17377.376685750001</v>
      </c>
      <c r="BZ53" s="498">
        <f>IS!BZ7</f>
        <v>17176.464027195827</v>
      </c>
      <c r="CA53" s="498">
        <f>IS!CA7</f>
        <v>17517.162449320927</v>
      </c>
      <c r="CB53" s="734"/>
      <c r="CC53" s="734"/>
      <c r="CD53" s="734"/>
      <c r="CK53" s="203"/>
    </row>
    <row r="54" spans="1:89" ht="14.25" customHeight="1">
      <c r="A54" s="203"/>
      <c r="B54" s="438" t="s">
        <v>388</v>
      </c>
      <c r="C54" s="437"/>
      <c r="D54" s="496">
        <f>IS!D15</f>
        <v>1019.893</v>
      </c>
      <c r="E54" s="494">
        <f>IS!E15</f>
        <v>1203.0609999999999</v>
      </c>
      <c r="F54" s="494">
        <f>IS!F15</f>
        <v>1320.0889999999999</v>
      </c>
      <c r="G54" s="494">
        <f>IS!G15</f>
        <v>1332.1690000000001</v>
      </c>
      <c r="H54" s="496">
        <f>IS!H15</f>
        <v>1214.729</v>
      </c>
      <c r="I54" s="494">
        <f>IS!I15</f>
        <v>1392.951</v>
      </c>
      <c r="J54" s="494">
        <f>IS!J15</f>
        <v>1344.5940000000001</v>
      </c>
      <c r="K54" s="494">
        <f>IS!K15</f>
        <v>1290.1389999999999</v>
      </c>
      <c r="L54" s="496">
        <f>IS!L15</f>
        <v>1152.4159999999999</v>
      </c>
      <c r="M54" s="494">
        <f>IS!M15</f>
        <v>1183.17</v>
      </c>
      <c r="N54" s="494">
        <f>IS!N15</f>
        <v>1105.854</v>
      </c>
      <c r="O54" s="494">
        <f>IS!O15</f>
        <v>1244.972</v>
      </c>
      <c r="P54" s="496">
        <f>IS!P15</f>
        <v>941.82</v>
      </c>
      <c r="Q54" s="494">
        <f>IS!Q15</f>
        <v>864.55799999999999</v>
      </c>
      <c r="R54" s="494">
        <f>IS!R15</f>
        <v>808.86599999999999</v>
      </c>
      <c r="S54" s="494">
        <f>IS!S15</f>
        <v>967.55799999999999</v>
      </c>
      <c r="T54" s="496">
        <f>IS!T15</f>
        <v>1137.7180000000001</v>
      </c>
      <c r="U54" s="494">
        <f>IS!U15</f>
        <v>1368.6479999999999</v>
      </c>
      <c r="V54" s="494">
        <f>IS!V15</f>
        <v>1657.662</v>
      </c>
      <c r="W54" s="494">
        <f>IS!W15</f>
        <v>1669.6369999999995</v>
      </c>
      <c r="X54" s="496">
        <f>IS!X15</f>
        <v>1550</v>
      </c>
      <c r="Y54" s="494">
        <f>IS!Y15</f>
        <v>1673</v>
      </c>
      <c r="Z54" s="494">
        <f>IS!Z15</f>
        <v>1603</v>
      </c>
      <c r="AA54" s="494">
        <f>IS!AA15</f>
        <v>1330</v>
      </c>
      <c r="AB54" s="496">
        <f>IS!AB15</f>
        <v>1403</v>
      </c>
      <c r="AC54" s="494">
        <f>IS!AC15</f>
        <v>1530</v>
      </c>
      <c r="AD54" s="494">
        <f>IS!AD15</f>
        <v>1413</v>
      </c>
      <c r="AE54" s="494">
        <f>IS!AE15</f>
        <v>1060</v>
      </c>
      <c r="AF54" s="496">
        <f>IS!AF15</f>
        <v>991</v>
      </c>
      <c r="AG54" s="494">
        <f>IS!AG15</f>
        <v>1165</v>
      </c>
      <c r="AH54" s="494">
        <f>IS!AH15</f>
        <v>1169</v>
      </c>
      <c r="AI54" s="494">
        <f>IS!AI15</f>
        <v>1193</v>
      </c>
      <c r="AJ54" s="496">
        <f>IS!AJ15</f>
        <v>1299</v>
      </c>
      <c r="AK54" s="494">
        <f>IS!AK15</f>
        <v>1352</v>
      </c>
      <c r="AL54" s="494">
        <f>IS!AL15</f>
        <v>1273</v>
      </c>
      <c r="AM54" s="495">
        <f>IS!AM15</f>
        <v>1305</v>
      </c>
      <c r="AN54" s="496">
        <f>IS!AN15</f>
        <v>1400</v>
      </c>
      <c r="AO54" s="494">
        <f>IS!AO15</f>
        <v>1426</v>
      </c>
      <c r="AP54" s="494">
        <f>IS!AP15</f>
        <v>1472</v>
      </c>
      <c r="AQ54" s="495">
        <f>IS!AQ15</f>
        <v>1409</v>
      </c>
      <c r="AR54" s="496">
        <f>IS!AR15</f>
        <v>1341</v>
      </c>
      <c r="AS54" s="494">
        <f>IS!AS15</f>
        <v>1446</v>
      </c>
      <c r="AT54" s="494">
        <f>IS!AT15</f>
        <v>1629</v>
      </c>
      <c r="AU54" s="495">
        <f>IS!AU15</f>
        <v>1898</v>
      </c>
      <c r="AV54" s="496">
        <f>IS!AV15</f>
        <v>1833</v>
      </c>
      <c r="AW54" s="494">
        <f>IS!AW15</f>
        <v>1946</v>
      </c>
      <c r="AX54" s="494">
        <f>IS!AX15</f>
        <v>2044</v>
      </c>
      <c r="AY54" s="495">
        <f>IS!AY15</f>
        <v>2182</v>
      </c>
      <c r="AZ54" s="496">
        <f>IS!AZ15</f>
        <v>2284</v>
      </c>
      <c r="BA54" s="494">
        <f>IS!BA15</f>
        <v>2422.9599942911514</v>
      </c>
      <c r="BB54" s="494">
        <f>IS!BB15</f>
        <v>2359.4373716222644</v>
      </c>
      <c r="BC54" s="495">
        <f>IS!BC15</f>
        <v>2374.5941541277357</v>
      </c>
      <c r="BD54" s="496">
        <f>IS!BD15</f>
        <v>2310.0976937683122</v>
      </c>
      <c r="BE54" s="494">
        <f>IS!BE15</f>
        <v>2330.8882908048026</v>
      </c>
      <c r="BF54" s="494">
        <f>IS!BF15</f>
        <v>2365.6545681896778</v>
      </c>
      <c r="BG54" s="495">
        <f>IS!BG15</f>
        <v>2397.8368091254338</v>
      </c>
      <c r="BH54" s="496">
        <f>IS!BH15</f>
        <v>2379.8833395391771</v>
      </c>
      <c r="BI54" s="494">
        <f>IS!BI15</f>
        <v>2400.8118840401285</v>
      </c>
      <c r="BJ54" s="494">
        <f>IS!BJ15</f>
        <v>2425.6276281890905</v>
      </c>
      <c r="BK54" s="495">
        <f>IS!BK15</f>
        <v>2428.1164953581147</v>
      </c>
      <c r="BL54" s="215"/>
      <c r="BM54" s="494">
        <f>IS!BM15</f>
        <v>4875.2119999999995</v>
      </c>
      <c r="BN54" s="494">
        <f>IS!BN15</f>
        <v>5242.4130000000005</v>
      </c>
      <c r="BO54" s="494">
        <f>IS!BO15</f>
        <v>4686.4120000000003</v>
      </c>
      <c r="BP54" s="494">
        <f>IS!BP15</f>
        <v>3582.8020000000001</v>
      </c>
      <c r="BQ54" s="494">
        <f>IS!BQ15</f>
        <v>5833.665</v>
      </c>
      <c r="BR54" s="494">
        <f>IS!BR15</f>
        <v>6156</v>
      </c>
      <c r="BS54" s="494">
        <f>IS!BS15</f>
        <v>5406</v>
      </c>
      <c r="BT54" s="494">
        <f>IS!BT15</f>
        <v>4518</v>
      </c>
      <c r="BU54" s="494">
        <f>IS!BU15</f>
        <v>5229</v>
      </c>
      <c r="BV54" s="494">
        <f>IS!BV15</f>
        <v>5707</v>
      </c>
      <c r="BW54" s="494">
        <f>IS!BW15</f>
        <v>6314</v>
      </c>
      <c r="BX54" s="494">
        <f>IS!BX15</f>
        <v>8005</v>
      </c>
      <c r="BY54" s="494">
        <f>IS!BY15</f>
        <v>9440.9915200411524</v>
      </c>
      <c r="BZ54" s="495">
        <f>IS!BZ15</f>
        <v>9404.4773618882264</v>
      </c>
      <c r="CA54" s="495">
        <f>IS!CA15</f>
        <v>9634.4393471265103</v>
      </c>
      <c r="CB54" s="734"/>
      <c r="CC54" s="734"/>
      <c r="CD54" s="734"/>
      <c r="CK54" s="203"/>
    </row>
    <row r="55" spans="1:89" ht="14.25" customHeight="1">
      <c r="A55" s="203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/>
      <c r="AT55" s="209"/>
      <c r="AU55" s="209"/>
      <c r="AV55" s="209"/>
      <c r="AW55" s="209"/>
      <c r="AX55" s="209"/>
      <c r="AY55" s="209"/>
      <c r="AZ55" s="209"/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  <c r="BK55" s="209"/>
      <c r="BL55" s="204"/>
      <c r="BM55" s="209"/>
      <c r="BN55" s="209"/>
      <c r="BO55" s="209"/>
      <c r="BP55" s="209"/>
      <c r="BQ55" s="209"/>
      <c r="BR55" s="209"/>
      <c r="BS55" s="209"/>
      <c r="BT55" s="209"/>
      <c r="BU55" s="209"/>
      <c r="BV55" s="209"/>
      <c r="BW55" s="209"/>
      <c r="BX55" s="209"/>
      <c r="BY55" s="209"/>
      <c r="BZ55" s="493"/>
      <c r="CA55" s="493"/>
      <c r="CB55" s="734"/>
      <c r="CC55" s="734"/>
      <c r="CD55" s="734"/>
      <c r="CK55" s="203"/>
    </row>
    <row r="56" spans="1:89" ht="14.25" customHeight="1">
      <c r="A56" s="203"/>
      <c r="B56" s="314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314"/>
      <c r="AF56" s="209"/>
      <c r="AG56" s="209"/>
      <c r="AH56" s="209"/>
      <c r="AI56" s="314"/>
      <c r="AJ56" s="209"/>
      <c r="AK56" s="209"/>
      <c r="AL56" s="209"/>
      <c r="AM56" s="314"/>
      <c r="AN56" s="209"/>
      <c r="AO56" s="209"/>
      <c r="AP56" s="209"/>
      <c r="AQ56" s="209"/>
      <c r="AR56" s="209"/>
      <c r="AS56" s="209"/>
      <c r="AT56" s="314"/>
      <c r="AU56" s="209"/>
      <c r="AV56" s="209"/>
      <c r="AW56" s="209"/>
      <c r="AX56" s="314"/>
      <c r="AY56" s="314"/>
      <c r="AZ56" s="314"/>
      <c r="BA56" s="314"/>
      <c r="BB56" s="314"/>
      <c r="BC56" s="314"/>
      <c r="BD56" s="314"/>
      <c r="BE56" s="314"/>
      <c r="BF56" s="314"/>
      <c r="BG56" s="314"/>
      <c r="BH56" s="314"/>
      <c r="BI56" s="314"/>
      <c r="BJ56" s="314"/>
      <c r="BK56" s="314"/>
      <c r="BL56" s="204"/>
      <c r="BM56" s="209"/>
      <c r="BN56" s="209"/>
      <c r="BO56" s="209"/>
      <c r="BP56" s="209"/>
      <c r="BQ56" s="209"/>
      <c r="BR56" s="209"/>
      <c r="BS56" s="209"/>
      <c r="BT56" s="209"/>
      <c r="BU56" s="209"/>
      <c r="BV56" s="209"/>
      <c r="BW56" s="209"/>
      <c r="BX56" s="209"/>
      <c r="BY56" s="209"/>
      <c r="BZ56" s="492"/>
      <c r="CA56" s="492"/>
      <c r="CB56" s="734"/>
      <c r="CC56" s="734"/>
      <c r="CD56" s="734"/>
      <c r="CK56" s="203"/>
    </row>
    <row r="57" spans="1:89" ht="14.25" customHeight="1">
      <c r="A57" s="203"/>
      <c r="B57" s="458" t="s">
        <v>387</v>
      </c>
      <c r="C57" s="457"/>
      <c r="D57" s="397" t="str">
        <f t="shared" ref="D57:AY57" si="162">D46</f>
        <v>1Q06</v>
      </c>
      <c r="E57" s="396" t="str">
        <f t="shared" si="162"/>
        <v>2Q06</v>
      </c>
      <c r="F57" s="396" t="str">
        <f t="shared" si="162"/>
        <v>3Q06</v>
      </c>
      <c r="G57" s="398" t="str">
        <f t="shared" si="162"/>
        <v>4Q06</v>
      </c>
      <c r="H57" s="397" t="str">
        <f t="shared" si="162"/>
        <v>1Q07</v>
      </c>
      <c r="I57" s="396" t="str">
        <f t="shared" si="162"/>
        <v>2Q07</v>
      </c>
      <c r="J57" s="396" t="str">
        <f t="shared" si="162"/>
        <v>3Q07</v>
      </c>
      <c r="K57" s="398" t="str">
        <f t="shared" si="162"/>
        <v>4Q07</v>
      </c>
      <c r="L57" s="397" t="str">
        <f t="shared" si="162"/>
        <v>1Q08</v>
      </c>
      <c r="M57" s="396" t="str">
        <f t="shared" si="162"/>
        <v>2Q08</v>
      </c>
      <c r="N57" s="396" t="str">
        <f t="shared" si="162"/>
        <v>3Q08</v>
      </c>
      <c r="O57" s="398" t="str">
        <f t="shared" si="162"/>
        <v>4Q08</v>
      </c>
      <c r="P57" s="397" t="str">
        <f t="shared" si="162"/>
        <v>1Q09</v>
      </c>
      <c r="Q57" s="396" t="str">
        <f t="shared" si="162"/>
        <v>2Q09</v>
      </c>
      <c r="R57" s="396" t="str">
        <f t="shared" si="162"/>
        <v>3Q09</v>
      </c>
      <c r="S57" s="398" t="str">
        <f t="shared" si="162"/>
        <v>4Q09</v>
      </c>
      <c r="T57" s="397" t="str">
        <f t="shared" si="162"/>
        <v>1Q10</v>
      </c>
      <c r="U57" s="396" t="str">
        <f t="shared" si="162"/>
        <v>2Q10</v>
      </c>
      <c r="V57" s="396" t="str">
        <f t="shared" si="162"/>
        <v>3Q10</v>
      </c>
      <c r="W57" s="398" t="str">
        <f t="shared" si="162"/>
        <v>4Q10</v>
      </c>
      <c r="X57" s="397" t="str">
        <f t="shared" si="162"/>
        <v>1Q11</v>
      </c>
      <c r="Y57" s="396" t="str">
        <f t="shared" si="162"/>
        <v>2Q11</v>
      </c>
      <c r="Z57" s="396" t="str">
        <f t="shared" si="162"/>
        <v>3Q11</v>
      </c>
      <c r="AA57" s="398" t="str">
        <f t="shared" si="162"/>
        <v>4Q11</v>
      </c>
      <c r="AB57" s="397" t="str">
        <f t="shared" si="162"/>
        <v>1Q12</v>
      </c>
      <c r="AC57" s="396" t="str">
        <f t="shared" si="162"/>
        <v>2Q12</v>
      </c>
      <c r="AD57" s="396" t="str">
        <f t="shared" si="162"/>
        <v>3Q12</v>
      </c>
      <c r="AE57" s="398" t="str">
        <f t="shared" si="162"/>
        <v>4Q12</v>
      </c>
      <c r="AF57" s="397" t="str">
        <f t="shared" si="162"/>
        <v>1Q13</v>
      </c>
      <c r="AG57" s="396" t="str">
        <f t="shared" si="162"/>
        <v>2Q13</v>
      </c>
      <c r="AH57" s="396" t="str">
        <f t="shared" si="162"/>
        <v>3Q13</v>
      </c>
      <c r="AI57" s="398" t="str">
        <f t="shared" si="162"/>
        <v>4Q13</v>
      </c>
      <c r="AJ57" s="397" t="str">
        <f t="shared" si="162"/>
        <v>1Q14</v>
      </c>
      <c r="AK57" s="396" t="str">
        <f t="shared" si="162"/>
        <v>2Q14</v>
      </c>
      <c r="AL57" s="396" t="str">
        <f t="shared" si="162"/>
        <v>3Q14</v>
      </c>
      <c r="AM57" s="398" t="str">
        <f t="shared" si="162"/>
        <v>4Q14</v>
      </c>
      <c r="AN57" s="397" t="str">
        <f t="shared" si="162"/>
        <v>1Q15</v>
      </c>
      <c r="AO57" s="396" t="str">
        <f t="shared" si="162"/>
        <v>2Q15</v>
      </c>
      <c r="AP57" s="396" t="str">
        <f t="shared" si="162"/>
        <v>3Q15</v>
      </c>
      <c r="AQ57" s="398" t="str">
        <f t="shared" si="162"/>
        <v>4Q15</v>
      </c>
      <c r="AR57" s="397" t="str">
        <f>AR46</f>
        <v>1Q16</v>
      </c>
      <c r="AS57" s="396" t="str">
        <f t="shared" si="162"/>
        <v>2Q16</v>
      </c>
      <c r="AT57" s="396" t="str">
        <f t="shared" si="162"/>
        <v>3Q16</v>
      </c>
      <c r="AU57" s="398" t="str">
        <f>AU46</f>
        <v>4Q16</v>
      </c>
      <c r="AV57" s="397" t="str">
        <f>AV46</f>
        <v>1Q17</v>
      </c>
      <c r="AW57" s="396" t="str">
        <f t="shared" si="162"/>
        <v>2Q17</v>
      </c>
      <c r="AX57" s="396" t="str">
        <f t="shared" si="162"/>
        <v>3Q17</v>
      </c>
      <c r="AY57" s="398" t="str">
        <f t="shared" si="162"/>
        <v>4Q17</v>
      </c>
      <c r="AZ57" s="397" t="str">
        <f t="shared" ref="AZ57:BG57" si="163">AZ46</f>
        <v>1Q18</v>
      </c>
      <c r="BA57" s="396" t="str">
        <f t="shared" si="163"/>
        <v>2Q18e</v>
      </c>
      <c r="BB57" s="396" t="str">
        <f t="shared" si="163"/>
        <v>3Q18e</v>
      </c>
      <c r="BC57" s="398" t="str">
        <f t="shared" si="163"/>
        <v>4Q18e</v>
      </c>
      <c r="BD57" s="397" t="str">
        <f t="shared" si="163"/>
        <v>1Q19e</v>
      </c>
      <c r="BE57" s="396" t="str">
        <f t="shared" si="163"/>
        <v>2Q19e</v>
      </c>
      <c r="BF57" s="396" t="str">
        <f t="shared" si="163"/>
        <v>3Q19e</v>
      </c>
      <c r="BG57" s="398" t="str">
        <f t="shared" si="163"/>
        <v>4Q19e</v>
      </c>
      <c r="BH57" s="397" t="str">
        <f t="shared" ref="BH57:BK57" si="164">BH46</f>
        <v>1Q20e</v>
      </c>
      <c r="BI57" s="396" t="str">
        <f t="shared" si="164"/>
        <v>2Q20e</v>
      </c>
      <c r="BJ57" s="396" t="str">
        <f t="shared" si="164"/>
        <v>3Q20e</v>
      </c>
      <c r="BK57" s="398" t="str">
        <f t="shared" si="164"/>
        <v>4Q20e</v>
      </c>
      <c r="BL57" s="215"/>
      <c r="BM57" s="395" t="str">
        <f t="shared" ref="BM57:BZ57" si="165">BM46</f>
        <v>FY2006A</v>
      </c>
      <c r="BN57" s="395" t="str">
        <f t="shared" si="165"/>
        <v>FY2007A</v>
      </c>
      <c r="BO57" s="395" t="str">
        <f t="shared" si="165"/>
        <v>FY2008A</v>
      </c>
      <c r="BP57" s="395" t="str">
        <f t="shared" si="165"/>
        <v>FY2009A</v>
      </c>
      <c r="BQ57" s="395" t="str">
        <f t="shared" si="165"/>
        <v>FY2010A</v>
      </c>
      <c r="BR57" s="395" t="str">
        <f t="shared" si="165"/>
        <v>FY2011A</v>
      </c>
      <c r="BS57" s="395" t="str">
        <f t="shared" si="165"/>
        <v>FY2012A</v>
      </c>
      <c r="BT57" s="395" t="str">
        <f t="shared" si="165"/>
        <v>FY2013A</v>
      </c>
      <c r="BU57" s="395" t="str">
        <f t="shared" si="165"/>
        <v>FY2014A</v>
      </c>
      <c r="BV57" s="395" t="str">
        <f t="shared" si="165"/>
        <v>FY2015A</v>
      </c>
      <c r="BW57" s="395" t="str">
        <f t="shared" si="165"/>
        <v>FY2016A</v>
      </c>
      <c r="BX57" s="395" t="str">
        <f t="shared" si="165"/>
        <v>FY2017A</v>
      </c>
      <c r="BY57" s="395" t="str">
        <f>BY46</f>
        <v>FY2018E</v>
      </c>
      <c r="BZ57" s="723" t="str">
        <f t="shared" si="165"/>
        <v>FY2019E</v>
      </c>
      <c r="CA57" s="398" t="str">
        <f t="shared" ref="CA57" si="166">CA46</f>
        <v>FY2020E</v>
      </c>
      <c r="CB57" s="734"/>
      <c r="CC57" s="734"/>
      <c r="CD57" s="734"/>
      <c r="CK57" s="203"/>
    </row>
    <row r="58" spans="1:89" ht="14.25" customHeight="1">
      <c r="A58" s="203"/>
      <c r="B58" s="491" t="s">
        <v>16</v>
      </c>
      <c r="C58" s="490"/>
      <c r="D58" s="310">
        <v>0</v>
      </c>
      <c r="E58" s="312">
        <v>0</v>
      </c>
      <c r="F58" s="312">
        <v>0</v>
      </c>
      <c r="G58" s="489">
        <v>0</v>
      </c>
      <c r="H58" s="310">
        <v>0</v>
      </c>
      <c r="I58" s="312">
        <v>0</v>
      </c>
      <c r="J58" s="312">
        <v>0</v>
      </c>
      <c r="K58" s="489">
        <v>0</v>
      </c>
      <c r="L58" s="310">
        <v>0</v>
      </c>
      <c r="M58" s="312">
        <v>0</v>
      </c>
      <c r="N58" s="312">
        <v>0</v>
      </c>
      <c r="O58" s="489">
        <v>0</v>
      </c>
      <c r="P58" s="310">
        <v>0</v>
      </c>
      <c r="Q58" s="312">
        <v>0</v>
      </c>
      <c r="R58" s="312">
        <v>0</v>
      </c>
      <c r="S58" s="489">
        <v>0</v>
      </c>
      <c r="T58" s="312">
        <v>0</v>
      </c>
      <c r="U58" s="312">
        <v>0</v>
      </c>
      <c r="V58" s="312">
        <v>0</v>
      </c>
      <c r="W58" s="489">
        <v>0</v>
      </c>
      <c r="X58" s="312">
        <v>0</v>
      </c>
      <c r="Y58" s="312">
        <v>0</v>
      </c>
      <c r="Z58" s="312">
        <v>0</v>
      </c>
      <c r="AA58" s="489">
        <v>0</v>
      </c>
      <c r="AB58" s="312">
        <v>0</v>
      </c>
      <c r="AC58" s="312">
        <v>0</v>
      </c>
      <c r="AD58" s="312">
        <v>0</v>
      </c>
      <c r="AE58" s="489">
        <v>0</v>
      </c>
      <c r="AF58" s="312">
        <v>0</v>
      </c>
      <c r="AG58" s="312">
        <v>0</v>
      </c>
      <c r="AH58" s="312">
        <v>0</v>
      </c>
      <c r="AI58" s="489">
        <v>0</v>
      </c>
      <c r="AJ58" s="312">
        <v>0</v>
      </c>
      <c r="AK58" s="312">
        <v>0</v>
      </c>
      <c r="AL58" s="312">
        <v>0</v>
      </c>
      <c r="AM58" s="489">
        <v>0</v>
      </c>
      <c r="AN58" s="312">
        <v>0</v>
      </c>
      <c r="AO58" s="312">
        <v>0</v>
      </c>
      <c r="AP58" s="312">
        <v>0</v>
      </c>
      <c r="AQ58" s="489">
        <v>0</v>
      </c>
      <c r="AR58" s="312">
        <v>0</v>
      </c>
      <c r="AS58" s="312">
        <v>0</v>
      </c>
      <c r="AT58" s="312">
        <v>0</v>
      </c>
      <c r="AU58" s="489">
        <v>0</v>
      </c>
      <c r="AV58" s="312">
        <v>0</v>
      </c>
      <c r="AW58" s="312">
        <f t="shared" ref="AW58:BC58" si="167">AV58</f>
        <v>0</v>
      </c>
      <c r="AX58" s="754">
        <f t="shared" si="167"/>
        <v>0</v>
      </c>
      <c r="AY58" s="451">
        <f t="shared" si="167"/>
        <v>0</v>
      </c>
      <c r="AZ58" s="225">
        <f t="shared" si="167"/>
        <v>0</v>
      </c>
      <c r="BA58" s="225">
        <f t="shared" si="167"/>
        <v>0</v>
      </c>
      <c r="BB58" s="225">
        <f t="shared" si="167"/>
        <v>0</v>
      </c>
      <c r="BC58" s="451">
        <f t="shared" si="167"/>
        <v>0</v>
      </c>
      <c r="BD58" s="737">
        <f t="shared" ref="BD58" si="168">BC58</f>
        <v>0</v>
      </c>
      <c r="BE58" s="737">
        <f t="shared" ref="BE58" si="169">BD58</f>
        <v>0</v>
      </c>
      <c r="BF58" s="737">
        <f t="shared" ref="BF58" si="170">BE58</f>
        <v>0</v>
      </c>
      <c r="BG58" s="451">
        <f t="shared" ref="BG58" si="171">BF58</f>
        <v>0</v>
      </c>
      <c r="BH58" s="737">
        <f t="shared" ref="BH58" si="172">BG58</f>
        <v>0</v>
      </c>
      <c r="BI58" s="737">
        <f t="shared" ref="BI58" si="173">BH58</f>
        <v>0</v>
      </c>
      <c r="BJ58" s="737">
        <f t="shared" ref="BJ58" si="174">BI58</f>
        <v>0</v>
      </c>
      <c r="BK58" s="451">
        <f t="shared" ref="BK58" si="175">BJ58</f>
        <v>0</v>
      </c>
      <c r="BL58" s="215"/>
      <c r="BM58" s="450">
        <f>G58</f>
        <v>0</v>
      </c>
      <c r="BN58" s="450">
        <f>K58</f>
        <v>0</v>
      </c>
      <c r="BO58" s="450">
        <f>O58</f>
        <v>0</v>
      </c>
      <c r="BP58" s="450">
        <f>S58</f>
        <v>0</v>
      </c>
      <c r="BQ58" s="450">
        <f>W58</f>
        <v>0</v>
      </c>
      <c r="BR58" s="450">
        <f>AA58</f>
        <v>0</v>
      </c>
      <c r="BS58" s="450">
        <f>AE58</f>
        <v>0</v>
      </c>
      <c r="BT58" s="450">
        <f>AI58</f>
        <v>0</v>
      </c>
      <c r="BU58" s="450">
        <f>AM58</f>
        <v>0</v>
      </c>
      <c r="BV58" s="450">
        <f>AQ58</f>
        <v>0</v>
      </c>
      <c r="BW58" s="450">
        <f>AU58</f>
        <v>0</v>
      </c>
      <c r="BX58" s="450">
        <f>AY58</f>
        <v>0</v>
      </c>
      <c r="BY58" s="450">
        <f>BC58</f>
        <v>0</v>
      </c>
      <c r="BZ58" s="451">
        <f>BG58</f>
        <v>0</v>
      </c>
      <c r="CA58" s="451">
        <f>BK58</f>
        <v>0</v>
      </c>
      <c r="CB58" s="734"/>
      <c r="CC58" s="734"/>
      <c r="CD58" s="734"/>
      <c r="CK58" s="203"/>
    </row>
    <row r="59" spans="1:89" ht="14.25" customHeight="1">
      <c r="A59" s="203"/>
      <c r="B59" s="254" t="s">
        <v>17</v>
      </c>
      <c r="C59" s="253"/>
      <c r="D59" s="296">
        <v>15.866</v>
      </c>
      <c r="E59" s="297">
        <v>15.638</v>
      </c>
      <c r="F59" s="297">
        <v>15.339</v>
      </c>
      <c r="G59" s="286">
        <v>13.917</v>
      </c>
      <c r="H59" s="296">
        <v>13.968999999999999</v>
      </c>
      <c r="I59" s="297">
        <v>13.82</v>
      </c>
      <c r="J59" s="297">
        <v>13.781000000000001</v>
      </c>
      <c r="K59" s="286">
        <v>13.856999999999999</v>
      </c>
      <c r="L59" s="296">
        <v>13.536</v>
      </c>
      <c r="M59" s="297">
        <v>13.554</v>
      </c>
      <c r="N59" s="297">
        <v>13.417</v>
      </c>
      <c r="O59" s="286">
        <v>13.308</v>
      </c>
      <c r="P59" s="296">
        <v>13.292999999999999</v>
      </c>
      <c r="Q59" s="297">
        <v>13.33</v>
      </c>
      <c r="R59" s="297">
        <v>13.337</v>
      </c>
      <c r="S59" s="286">
        <v>13.409000000000001</v>
      </c>
      <c r="T59" s="297">
        <v>13.433</v>
      </c>
      <c r="U59" s="297">
        <v>13.43</v>
      </c>
      <c r="V59" s="297">
        <v>13.361000000000001</v>
      </c>
      <c r="W59" s="286">
        <v>13.28</v>
      </c>
      <c r="X59" s="297">
        <v>13</v>
      </c>
      <c r="Y59" s="297">
        <v>13</v>
      </c>
      <c r="Z59" s="297">
        <v>13</v>
      </c>
      <c r="AA59" s="286">
        <v>13</v>
      </c>
      <c r="AB59" s="297">
        <v>13</v>
      </c>
      <c r="AC59" s="297">
        <v>13</v>
      </c>
      <c r="AD59" s="297">
        <v>12</v>
      </c>
      <c r="AE59" s="286">
        <v>12</v>
      </c>
      <c r="AF59" s="297">
        <v>12</v>
      </c>
      <c r="AG59" s="297">
        <v>12</v>
      </c>
      <c r="AH59" s="297">
        <v>12</v>
      </c>
      <c r="AI59" s="286">
        <v>12</v>
      </c>
      <c r="AJ59" s="297">
        <v>12</v>
      </c>
      <c r="AK59" s="297">
        <v>12</v>
      </c>
      <c r="AL59" s="297">
        <v>12</v>
      </c>
      <c r="AM59" s="286">
        <v>12</v>
      </c>
      <c r="AN59" s="297">
        <v>12</v>
      </c>
      <c r="AO59" s="297">
        <v>12</v>
      </c>
      <c r="AP59" s="297">
        <v>12</v>
      </c>
      <c r="AQ59" s="286">
        <v>11</v>
      </c>
      <c r="AR59" s="297">
        <v>11</v>
      </c>
      <c r="AS59" s="297">
        <v>11</v>
      </c>
      <c r="AT59" s="297">
        <v>11</v>
      </c>
      <c r="AU59" s="286">
        <v>11</v>
      </c>
      <c r="AV59" s="297">
        <v>11</v>
      </c>
      <c r="AW59" s="297">
        <v>11</v>
      </c>
      <c r="AX59" s="297">
        <v>11</v>
      </c>
      <c r="AY59" s="827">
        <v>11</v>
      </c>
      <c r="AZ59" s="225">
        <f>AY59+CFS!AZ42</f>
        <v>11</v>
      </c>
      <c r="BA59" s="225">
        <f>AZ59+CFS!BA42</f>
        <v>11</v>
      </c>
      <c r="BB59" s="225">
        <f>BA59+CFS!BB42</f>
        <v>11</v>
      </c>
      <c r="BC59" s="282">
        <f>BB59+CFS!BC42</f>
        <v>11</v>
      </c>
      <c r="BD59" s="737">
        <f>BC59+CFS!BD42</f>
        <v>11</v>
      </c>
      <c r="BE59" s="737">
        <f>BD59+CFS!BE42</f>
        <v>11</v>
      </c>
      <c r="BF59" s="737">
        <f>BE59+CFS!BF42</f>
        <v>11</v>
      </c>
      <c r="BG59" s="282">
        <f>BF59+CFS!BG42</f>
        <v>11</v>
      </c>
      <c r="BH59" s="737">
        <f>BG59+CFS!BH42</f>
        <v>11</v>
      </c>
      <c r="BI59" s="737">
        <f>BH59+CFS!BI42</f>
        <v>11</v>
      </c>
      <c r="BJ59" s="737">
        <f>BI59+CFS!BJ42</f>
        <v>11</v>
      </c>
      <c r="BK59" s="282">
        <f>BJ59+CFS!BK42</f>
        <v>11</v>
      </c>
      <c r="BL59" s="215"/>
      <c r="BM59" s="225">
        <f>G59</f>
        <v>13.917</v>
      </c>
      <c r="BN59" s="225">
        <f>K59</f>
        <v>13.856999999999999</v>
      </c>
      <c r="BO59" s="225">
        <f>O59</f>
        <v>13.308</v>
      </c>
      <c r="BP59" s="225">
        <f>S59</f>
        <v>13.409000000000001</v>
      </c>
      <c r="BQ59" s="225">
        <f>W59</f>
        <v>13.28</v>
      </c>
      <c r="BR59" s="225">
        <f>AA59</f>
        <v>13</v>
      </c>
      <c r="BS59" s="225">
        <f>AE59</f>
        <v>12</v>
      </c>
      <c r="BT59" s="737">
        <f>AI59</f>
        <v>12</v>
      </c>
      <c r="BU59" s="737">
        <f>AM59</f>
        <v>12</v>
      </c>
      <c r="BV59" s="225">
        <f>AQ59</f>
        <v>11</v>
      </c>
      <c r="BW59" s="225">
        <f>AU59</f>
        <v>11</v>
      </c>
      <c r="BX59" s="225">
        <f>AY59</f>
        <v>11</v>
      </c>
      <c r="BY59" s="737">
        <f>BC59</f>
        <v>11</v>
      </c>
      <c r="BZ59" s="282">
        <f>BG59</f>
        <v>11</v>
      </c>
      <c r="CA59" s="282">
        <f t="shared" ref="CA59:CA61" si="176">BK59</f>
        <v>11</v>
      </c>
      <c r="CB59" s="734"/>
      <c r="CC59" s="734"/>
      <c r="CD59" s="734"/>
      <c r="CK59" s="203"/>
    </row>
    <row r="60" spans="1:89" ht="14.25" customHeight="1">
      <c r="A60" s="203"/>
      <c r="B60" s="254" t="s">
        <v>386</v>
      </c>
      <c r="C60" s="253"/>
      <c r="D60" s="296">
        <v>0</v>
      </c>
      <c r="E60" s="297">
        <v>0</v>
      </c>
      <c r="F60" s="297">
        <v>0</v>
      </c>
      <c r="G60" s="286">
        <v>0</v>
      </c>
      <c r="H60" s="296">
        <v>0</v>
      </c>
      <c r="I60" s="297">
        <v>0</v>
      </c>
      <c r="J60" s="297">
        <v>0</v>
      </c>
      <c r="K60" s="286">
        <v>0</v>
      </c>
      <c r="L60" s="296">
        <v>0</v>
      </c>
      <c r="M60" s="297">
        <v>0</v>
      </c>
      <c r="N60" s="297">
        <v>0</v>
      </c>
      <c r="O60" s="286">
        <v>0</v>
      </c>
      <c r="P60" s="296">
        <v>0</v>
      </c>
      <c r="Q60" s="297">
        <v>0</v>
      </c>
      <c r="R60" s="297">
        <v>0</v>
      </c>
      <c r="S60" s="286">
        <v>0</v>
      </c>
      <c r="T60" s="297">
        <v>0</v>
      </c>
      <c r="U60" s="297">
        <v>0</v>
      </c>
      <c r="V60" s="297">
        <v>0</v>
      </c>
      <c r="W60" s="286">
        <v>0</v>
      </c>
      <c r="X60" s="297">
        <v>0</v>
      </c>
      <c r="Y60" s="297">
        <v>0</v>
      </c>
      <c r="Z60" s="297">
        <v>0</v>
      </c>
      <c r="AA60" s="286">
        <v>0</v>
      </c>
      <c r="AB60" s="297">
        <v>0</v>
      </c>
      <c r="AC60" s="297">
        <v>0</v>
      </c>
      <c r="AD60" s="297">
        <v>0</v>
      </c>
      <c r="AE60" s="286">
        <v>0</v>
      </c>
      <c r="AF60" s="297">
        <v>0</v>
      </c>
      <c r="AG60" s="297">
        <v>0</v>
      </c>
      <c r="AH60" s="297">
        <v>0</v>
      </c>
      <c r="AI60" s="286">
        <v>0</v>
      </c>
      <c r="AJ60" s="297">
        <v>0</v>
      </c>
      <c r="AK60" s="297">
        <v>0</v>
      </c>
      <c r="AL60" s="297">
        <v>0</v>
      </c>
      <c r="AM60" s="286">
        <v>0</v>
      </c>
      <c r="AN60" s="297">
        <v>0</v>
      </c>
      <c r="AO60" s="297">
        <v>0</v>
      </c>
      <c r="AP60" s="297">
        <v>0</v>
      </c>
      <c r="AQ60" s="286">
        <v>0</v>
      </c>
      <c r="AR60" s="297">
        <v>0</v>
      </c>
      <c r="AS60" s="297">
        <v>0</v>
      </c>
      <c r="AT60" s="297">
        <v>0</v>
      </c>
      <c r="AU60" s="286">
        <v>0</v>
      </c>
      <c r="AV60" s="297">
        <v>0</v>
      </c>
      <c r="AW60" s="297">
        <v>0</v>
      </c>
      <c r="AX60" s="297">
        <v>0</v>
      </c>
      <c r="AY60" s="827">
        <v>0</v>
      </c>
      <c r="AZ60" s="831">
        <v>-196</v>
      </c>
      <c r="BA60" s="488">
        <f t="shared" ref="BA60:BC60" si="177">AZ60</f>
        <v>-196</v>
      </c>
      <c r="BB60" s="488">
        <f t="shared" si="177"/>
        <v>-196</v>
      </c>
      <c r="BC60" s="487">
        <f t="shared" si="177"/>
        <v>-196</v>
      </c>
      <c r="BD60" s="488">
        <f t="shared" ref="BD60" si="178">BC60</f>
        <v>-196</v>
      </c>
      <c r="BE60" s="488">
        <f t="shared" ref="BE60" si="179">BD60</f>
        <v>-196</v>
      </c>
      <c r="BF60" s="488">
        <f t="shared" ref="BF60" si="180">BE60</f>
        <v>-196</v>
      </c>
      <c r="BG60" s="487">
        <f t="shared" ref="BG60" si="181">BF60</f>
        <v>-196</v>
      </c>
      <c r="BH60" s="488">
        <f t="shared" ref="BH60" si="182">BG60</f>
        <v>-196</v>
      </c>
      <c r="BI60" s="488">
        <f t="shared" ref="BI60" si="183">BH60</f>
        <v>-196</v>
      </c>
      <c r="BJ60" s="488">
        <f t="shared" ref="BJ60" si="184">BI60</f>
        <v>-196</v>
      </c>
      <c r="BK60" s="487">
        <f t="shared" ref="BK60" si="185">BJ60</f>
        <v>-196</v>
      </c>
      <c r="BL60" s="215"/>
      <c r="BM60" s="225">
        <f>G60</f>
        <v>0</v>
      </c>
      <c r="BN60" s="225">
        <f>K60</f>
        <v>0</v>
      </c>
      <c r="BO60" s="225">
        <f>O60</f>
        <v>0</v>
      </c>
      <c r="BP60" s="225">
        <f>S60</f>
        <v>0</v>
      </c>
      <c r="BQ60" s="225">
        <f>W60</f>
        <v>0</v>
      </c>
      <c r="BR60" s="225">
        <f>AA60</f>
        <v>0</v>
      </c>
      <c r="BS60" s="225">
        <f>AE60</f>
        <v>0</v>
      </c>
      <c r="BT60" s="737">
        <f>AI60</f>
        <v>0</v>
      </c>
      <c r="BU60" s="737">
        <f>AM60</f>
        <v>0</v>
      </c>
      <c r="BV60" s="225">
        <f>AQ60</f>
        <v>0</v>
      </c>
      <c r="BW60" s="225">
        <f>AU60</f>
        <v>0</v>
      </c>
      <c r="BX60" s="225">
        <f>AY60</f>
        <v>0</v>
      </c>
      <c r="BY60" s="737">
        <f>BC60</f>
        <v>-196</v>
      </c>
      <c r="BZ60" s="282">
        <f>BG60</f>
        <v>-196</v>
      </c>
      <c r="CA60" s="282">
        <f t="shared" si="176"/>
        <v>-196</v>
      </c>
      <c r="CB60" s="734"/>
      <c r="CC60" s="734"/>
      <c r="CD60" s="734"/>
      <c r="CK60" s="203"/>
    </row>
    <row r="61" spans="1:89" ht="14.25" customHeight="1">
      <c r="A61" s="203"/>
      <c r="B61" s="254" t="s">
        <v>13</v>
      </c>
      <c r="C61" s="253"/>
      <c r="D61" s="296">
        <v>371.81900000000002</v>
      </c>
      <c r="E61" s="297">
        <v>10.135</v>
      </c>
      <c r="F61" s="297">
        <v>0</v>
      </c>
      <c r="G61" s="286">
        <v>3678.2020000000002</v>
      </c>
      <c r="H61" s="296">
        <v>3785.0659999999998</v>
      </c>
      <c r="I61" s="297">
        <v>3876.2620000000002</v>
      </c>
      <c r="J61" s="297">
        <v>4212.7479999999996</v>
      </c>
      <c r="K61" s="286">
        <v>4658.8320000000003</v>
      </c>
      <c r="L61" s="296">
        <v>4707.1409999999996</v>
      </c>
      <c r="M61" s="297">
        <v>5004.03</v>
      </c>
      <c r="N61" s="297">
        <v>5060.8329999999996</v>
      </c>
      <c r="O61" s="286">
        <v>5095.8940000000002</v>
      </c>
      <c r="P61" s="296">
        <v>5125.991</v>
      </c>
      <c r="Q61" s="297">
        <v>5155.3010000000004</v>
      </c>
      <c r="R61" s="297">
        <v>5198.6130000000003</v>
      </c>
      <c r="S61" s="286">
        <v>5195.4369999999999</v>
      </c>
      <c r="T61" s="297">
        <v>5245.634</v>
      </c>
      <c r="U61" s="297">
        <v>5348.78</v>
      </c>
      <c r="V61" s="297">
        <v>5368.8620000000001</v>
      </c>
      <c r="W61" s="286">
        <v>5406.598</v>
      </c>
      <c r="X61" s="297">
        <v>5447</v>
      </c>
      <c r="Y61" s="297">
        <v>5485.6639999999998</v>
      </c>
      <c r="Z61" s="297">
        <v>5553</v>
      </c>
      <c r="AA61" s="286">
        <v>5616</v>
      </c>
      <c r="AB61" s="297">
        <v>5651</v>
      </c>
      <c r="AC61" s="297">
        <v>5730</v>
      </c>
      <c r="AD61" s="297">
        <v>5772</v>
      </c>
      <c r="AE61" s="286">
        <v>5863</v>
      </c>
      <c r="AF61" s="297">
        <v>5892</v>
      </c>
      <c r="AG61" s="297">
        <v>5989</v>
      </c>
      <c r="AH61" s="297">
        <v>6055</v>
      </c>
      <c r="AI61" s="286">
        <v>6151</v>
      </c>
      <c r="AJ61" s="297">
        <v>6178</v>
      </c>
      <c r="AK61" s="297">
        <v>6269</v>
      </c>
      <c r="AL61" s="297">
        <v>6300</v>
      </c>
      <c r="AM61" s="286">
        <v>6384</v>
      </c>
      <c r="AN61" s="297">
        <v>6384</v>
      </c>
      <c r="AO61" s="297">
        <v>6450</v>
      </c>
      <c r="AP61" s="297">
        <v>6485</v>
      </c>
      <c r="AQ61" s="286">
        <v>6575</v>
      </c>
      <c r="AR61" s="297">
        <v>6582</v>
      </c>
      <c r="AS61" s="297">
        <v>6669</v>
      </c>
      <c r="AT61" s="297">
        <v>6714</v>
      </c>
      <c r="AU61" s="286">
        <v>6809</v>
      </c>
      <c r="AV61" s="297">
        <v>6805</v>
      </c>
      <c r="AW61" s="297">
        <v>6899</v>
      </c>
      <c r="AX61" s="297">
        <v>6950</v>
      </c>
      <c r="AY61" s="827">
        <v>7056</v>
      </c>
      <c r="AZ61" s="225">
        <f>AY61+CFS!AZ11</f>
        <v>7121</v>
      </c>
      <c r="BA61" s="225">
        <f>AZ61+CFS!BA11</f>
        <v>7186</v>
      </c>
      <c r="BB61" s="225">
        <f>BA61+CFS!BB11</f>
        <v>7251</v>
      </c>
      <c r="BC61" s="282">
        <f>BB61+CFS!BC11</f>
        <v>7316</v>
      </c>
      <c r="BD61" s="737">
        <f>BC61+CFS!BD11</f>
        <v>7381</v>
      </c>
      <c r="BE61" s="737">
        <f>BD61+CFS!BE11</f>
        <v>7446</v>
      </c>
      <c r="BF61" s="737">
        <f>BE61+CFS!BF11</f>
        <v>7511</v>
      </c>
      <c r="BG61" s="282">
        <f>BF61+CFS!BG11</f>
        <v>7576</v>
      </c>
      <c r="BH61" s="737">
        <f>BG61+CFS!BH11</f>
        <v>7641</v>
      </c>
      <c r="BI61" s="737">
        <f>BH61+CFS!BI11</f>
        <v>7706</v>
      </c>
      <c r="BJ61" s="737">
        <f>BI61+CFS!BJ11</f>
        <v>7771</v>
      </c>
      <c r="BK61" s="282">
        <f>BJ61+CFS!BK11</f>
        <v>7836</v>
      </c>
      <c r="BL61" s="215"/>
      <c r="BM61" s="225">
        <f>G61</f>
        <v>3678.2020000000002</v>
      </c>
      <c r="BN61" s="225">
        <f>K61</f>
        <v>4658.8320000000003</v>
      </c>
      <c r="BO61" s="225">
        <f>O61</f>
        <v>5095.8940000000002</v>
      </c>
      <c r="BP61" s="225">
        <f>S61</f>
        <v>5195.4369999999999</v>
      </c>
      <c r="BQ61" s="225">
        <f>W61</f>
        <v>5406.598</v>
      </c>
      <c r="BR61" s="225">
        <f>AA61</f>
        <v>5616</v>
      </c>
      <c r="BS61" s="225">
        <f>AE61</f>
        <v>5863</v>
      </c>
      <c r="BT61" s="737">
        <f>AI61</f>
        <v>6151</v>
      </c>
      <c r="BU61" s="737">
        <f>AM61</f>
        <v>6384</v>
      </c>
      <c r="BV61" s="225">
        <f>AQ61</f>
        <v>6575</v>
      </c>
      <c r="BW61" s="225">
        <f>AU61</f>
        <v>6809</v>
      </c>
      <c r="BX61" s="225">
        <f>AY61</f>
        <v>7056</v>
      </c>
      <c r="BY61" s="737">
        <f>BC61</f>
        <v>7316</v>
      </c>
      <c r="BZ61" s="282">
        <f>BG61</f>
        <v>7576</v>
      </c>
      <c r="CA61" s="282">
        <f t="shared" si="176"/>
        <v>7836</v>
      </c>
      <c r="CB61" s="734"/>
      <c r="CC61" s="734"/>
      <c r="CD61" s="734"/>
      <c r="CK61" s="203"/>
    </row>
    <row r="62" spans="1:89" ht="14.25" customHeight="1">
      <c r="A62" s="203"/>
      <c r="B62" s="486" t="s">
        <v>385</v>
      </c>
      <c r="C62" s="485"/>
      <c r="D62" s="484">
        <f t="shared" ref="D62:AY62" si="186">SUM(D58:D61)</f>
        <v>387.685</v>
      </c>
      <c r="E62" s="479">
        <f t="shared" si="186"/>
        <v>25.773</v>
      </c>
      <c r="F62" s="479">
        <f t="shared" si="186"/>
        <v>15.339</v>
      </c>
      <c r="G62" s="478">
        <f t="shared" si="186"/>
        <v>3692.1190000000001</v>
      </c>
      <c r="H62" s="484">
        <f t="shared" si="186"/>
        <v>3799.0349999999999</v>
      </c>
      <c r="I62" s="479">
        <f t="shared" si="186"/>
        <v>3890.0820000000003</v>
      </c>
      <c r="J62" s="479">
        <f t="shared" si="186"/>
        <v>4226.5289999999995</v>
      </c>
      <c r="K62" s="478">
        <f t="shared" si="186"/>
        <v>4672.6890000000003</v>
      </c>
      <c r="L62" s="484">
        <f t="shared" si="186"/>
        <v>4720.6769999999997</v>
      </c>
      <c r="M62" s="479">
        <f t="shared" si="186"/>
        <v>5017.5839999999998</v>
      </c>
      <c r="N62" s="479">
        <f t="shared" si="186"/>
        <v>5074.25</v>
      </c>
      <c r="O62" s="478">
        <f t="shared" si="186"/>
        <v>5109.2020000000002</v>
      </c>
      <c r="P62" s="484">
        <f t="shared" si="186"/>
        <v>5139.2839999999997</v>
      </c>
      <c r="Q62" s="479">
        <f t="shared" si="186"/>
        <v>5168.6310000000003</v>
      </c>
      <c r="R62" s="479">
        <f t="shared" si="186"/>
        <v>5211.9500000000007</v>
      </c>
      <c r="S62" s="478">
        <f t="shared" si="186"/>
        <v>5208.8459999999995</v>
      </c>
      <c r="T62" s="479">
        <f t="shared" si="186"/>
        <v>5259.067</v>
      </c>
      <c r="U62" s="479">
        <f t="shared" si="186"/>
        <v>5362.21</v>
      </c>
      <c r="V62" s="479">
        <f t="shared" si="186"/>
        <v>5382.223</v>
      </c>
      <c r="W62" s="478">
        <f t="shared" si="186"/>
        <v>5419.8779999999997</v>
      </c>
      <c r="X62" s="479">
        <f t="shared" si="186"/>
        <v>5460</v>
      </c>
      <c r="Y62" s="479">
        <f t="shared" si="186"/>
        <v>5498.6639999999998</v>
      </c>
      <c r="Z62" s="479">
        <f t="shared" si="186"/>
        <v>5566</v>
      </c>
      <c r="AA62" s="478">
        <f t="shared" si="186"/>
        <v>5629</v>
      </c>
      <c r="AB62" s="479">
        <f t="shared" si="186"/>
        <v>5664</v>
      </c>
      <c r="AC62" s="479">
        <f t="shared" si="186"/>
        <v>5743</v>
      </c>
      <c r="AD62" s="479">
        <f t="shared" si="186"/>
        <v>5784</v>
      </c>
      <c r="AE62" s="478">
        <f t="shared" si="186"/>
        <v>5875</v>
      </c>
      <c r="AF62" s="479">
        <f t="shared" si="186"/>
        <v>5904</v>
      </c>
      <c r="AG62" s="479">
        <f t="shared" si="186"/>
        <v>6001</v>
      </c>
      <c r="AH62" s="479">
        <f t="shared" si="186"/>
        <v>6067</v>
      </c>
      <c r="AI62" s="478">
        <f t="shared" si="186"/>
        <v>6163</v>
      </c>
      <c r="AJ62" s="479">
        <f t="shared" si="186"/>
        <v>6190</v>
      </c>
      <c r="AK62" s="479">
        <f t="shared" si="186"/>
        <v>6281</v>
      </c>
      <c r="AL62" s="479">
        <f t="shared" si="186"/>
        <v>6312</v>
      </c>
      <c r="AM62" s="478">
        <f t="shared" si="186"/>
        <v>6396</v>
      </c>
      <c r="AN62" s="479">
        <f t="shared" si="186"/>
        <v>6396</v>
      </c>
      <c r="AO62" s="479">
        <f t="shared" si="186"/>
        <v>6462</v>
      </c>
      <c r="AP62" s="479">
        <f t="shared" si="186"/>
        <v>6497</v>
      </c>
      <c r="AQ62" s="478">
        <f t="shared" si="186"/>
        <v>6586</v>
      </c>
      <c r="AR62" s="479">
        <f>SUM(AR58:AR61)</f>
        <v>6593</v>
      </c>
      <c r="AS62" s="479">
        <f>SUM(AS58:AS61)</f>
        <v>6680</v>
      </c>
      <c r="AT62" s="479">
        <f>SUM(AT58:AT61)</f>
        <v>6725</v>
      </c>
      <c r="AU62" s="478">
        <f>SUM(AU58:AU61)</f>
        <v>6820</v>
      </c>
      <c r="AV62" s="479">
        <f>SUM(AV58:AV61)</f>
        <v>6816</v>
      </c>
      <c r="AW62" s="479">
        <f t="shared" si="186"/>
        <v>6910</v>
      </c>
      <c r="AX62" s="479">
        <f t="shared" si="186"/>
        <v>6961</v>
      </c>
      <c r="AY62" s="478">
        <f t="shared" si="186"/>
        <v>7067</v>
      </c>
      <c r="AZ62" s="479">
        <f t="shared" ref="AZ62:BG62" si="187">SUM(AZ58:AZ61)</f>
        <v>6936</v>
      </c>
      <c r="BA62" s="479">
        <f t="shared" si="187"/>
        <v>7001</v>
      </c>
      <c r="BB62" s="479">
        <f t="shared" si="187"/>
        <v>7066</v>
      </c>
      <c r="BC62" s="478">
        <f t="shared" si="187"/>
        <v>7131</v>
      </c>
      <c r="BD62" s="479">
        <f t="shared" si="187"/>
        <v>7196</v>
      </c>
      <c r="BE62" s="479">
        <f t="shared" si="187"/>
        <v>7261</v>
      </c>
      <c r="BF62" s="479">
        <f t="shared" si="187"/>
        <v>7326</v>
      </c>
      <c r="BG62" s="478">
        <f t="shared" si="187"/>
        <v>7391</v>
      </c>
      <c r="BH62" s="479">
        <f t="shared" ref="BH62:BK62" si="188">SUM(BH58:BH61)</f>
        <v>7456</v>
      </c>
      <c r="BI62" s="479">
        <f t="shared" si="188"/>
        <v>7521</v>
      </c>
      <c r="BJ62" s="479">
        <f t="shared" si="188"/>
        <v>7586</v>
      </c>
      <c r="BK62" s="478">
        <f t="shared" si="188"/>
        <v>7651</v>
      </c>
      <c r="BL62" s="215"/>
      <c r="BM62" s="479">
        <f t="shared" ref="BM62:BX62" si="189">SUM(BM58:BM61)</f>
        <v>3692.1190000000001</v>
      </c>
      <c r="BN62" s="479">
        <f t="shared" si="189"/>
        <v>4672.6890000000003</v>
      </c>
      <c r="BO62" s="479">
        <f t="shared" si="189"/>
        <v>5109.2020000000002</v>
      </c>
      <c r="BP62" s="479">
        <f t="shared" si="189"/>
        <v>5208.8459999999995</v>
      </c>
      <c r="BQ62" s="479">
        <f t="shared" si="189"/>
        <v>5419.8779999999997</v>
      </c>
      <c r="BR62" s="479">
        <f t="shared" si="189"/>
        <v>5629</v>
      </c>
      <c r="BS62" s="479">
        <f t="shared" si="189"/>
        <v>5875</v>
      </c>
      <c r="BT62" s="479">
        <f t="shared" si="189"/>
        <v>6163</v>
      </c>
      <c r="BU62" s="479">
        <f t="shared" si="189"/>
        <v>6396</v>
      </c>
      <c r="BV62" s="479">
        <f t="shared" si="189"/>
        <v>6586</v>
      </c>
      <c r="BW62" s="479">
        <f t="shared" si="189"/>
        <v>6820</v>
      </c>
      <c r="BX62" s="479">
        <f t="shared" si="189"/>
        <v>7067</v>
      </c>
      <c r="BY62" s="479">
        <f>SUM(BY58:BY61)</f>
        <v>7131</v>
      </c>
      <c r="BZ62" s="478">
        <f>SUM(BZ58:BZ61)</f>
        <v>7391</v>
      </c>
      <c r="CA62" s="478">
        <f>SUM(CA58:CA61)</f>
        <v>7651</v>
      </c>
      <c r="CB62" s="734"/>
      <c r="CC62" s="734"/>
      <c r="CD62" s="734"/>
      <c r="CK62" s="203"/>
    </row>
    <row r="63" spans="1:89" ht="14.25" customHeight="1">
      <c r="A63" s="203"/>
      <c r="B63" s="227"/>
      <c r="C63" s="331"/>
      <c r="D63" s="224"/>
      <c r="E63" s="225"/>
      <c r="F63" s="225"/>
      <c r="G63" s="282"/>
      <c r="H63" s="224"/>
      <c r="I63" s="225"/>
      <c r="J63" s="225"/>
      <c r="K63" s="282"/>
      <c r="L63" s="224"/>
      <c r="M63" s="225"/>
      <c r="N63" s="225"/>
      <c r="O63" s="282"/>
      <c r="P63" s="224"/>
      <c r="Q63" s="225"/>
      <c r="R63" s="225"/>
      <c r="S63" s="282"/>
      <c r="T63" s="225"/>
      <c r="U63" s="225"/>
      <c r="V63" s="225"/>
      <c r="W63" s="282"/>
      <c r="X63" s="225"/>
      <c r="Y63" s="225"/>
      <c r="Z63" s="225"/>
      <c r="AA63" s="282"/>
      <c r="AB63" s="225"/>
      <c r="AC63" s="225"/>
      <c r="AD63" s="225"/>
      <c r="AE63" s="282"/>
      <c r="AF63" s="225"/>
      <c r="AG63" s="225"/>
      <c r="AH63" s="225"/>
      <c r="AI63" s="282"/>
      <c r="AJ63" s="225"/>
      <c r="AK63" s="225"/>
      <c r="AL63" s="225"/>
      <c r="AM63" s="282"/>
      <c r="AN63" s="225"/>
      <c r="AO63" s="225"/>
      <c r="AP63" s="225"/>
      <c r="AQ63" s="282"/>
      <c r="AR63" s="225"/>
      <c r="AS63" s="225"/>
      <c r="AT63" s="225"/>
      <c r="AU63" s="282"/>
      <c r="AV63" s="686"/>
      <c r="AW63" s="686"/>
      <c r="AX63" s="737"/>
      <c r="AY63" s="282"/>
      <c r="AZ63" s="225"/>
      <c r="BA63" s="225"/>
      <c r="BB63" s="225"/>
      <c r="BC63" s="282"/>
      <c r="BD63" s="737"/>
      <c r="BE63" s="737"/>
      <c r="BF63" s="737"/>
      <c r="BG63" s="282"/>
      <c r="BH63" s="737"/>
      <c r="BI63" s="737"/>
      <c r="BJ63" s="737"/>
      <c r="BK63" s="282"/>
      <c r="BL63" s="215"/>
      <c r="BM63" s="225"/>
      <c r="BN63" s="225"/>
      <c r="BO63" s="225"/>
      <c r="BP63" s="225"/>
      <c r="BQ63" s="225"/>
      <c r="BR63" s="225"/>
      <c r="BS63" s="225"/>
      <c r="BT63" s="737"/>
      <c r="BU63" s="737"/>
      <c r="BV63" s="225"/>
      <c r="BW63" s="225"/>
      <c r="BX63" s="225"/>
      <c r="BY63" s="737"/>
      <c r="BZ63" s="282"/>
      <c r="CA63" s="282"/>
      <c r="CB63" s="734"/>
      <c r="CC63" s="734"/>
      <c r="CD63" s="734"/>
      <c r="CK63" s="203"/>
    </row>
    <row r="64" spans="1:89" ht="14.25" customHeight="1">
      <c r="A64" s="203"/>
      <c r="B64" s="254" t="s">
        <v>384</v>
      </c>
      <c r="C64" s="253"/>
      <c r="D64" s="296"/>
      <c r="E64" s="297"/>
      <c r="F64" s="297"/>
      <c r="G64" s="286"/>
      <c r="H64" s="296"/>
      <c r="I64" s="297"/>
      <c r="J64" s="297"/>
      <c r="K64" s="286"/>
      <c r="L64" s="296"/>
      <c r="M64" s="297"/>
      <c r="N64" s="297"/>
      <c r="O64" s="286"/>
      <c r="P64" s="296"/>
      <c r="Q64" s="297"/>
      <c r="R64" s="297"/>
      <c r="S64" s="286"/>
      <c r="T64" s="297"/>
      <c r="U64" s="297"/>
      <c r="V64" s="297"/>
      <c r="W64" s="286"/>
      <c r="X64" s="297"/>
      <c r="Y64" s="297"/>
      <c r="Z64" s="297"/>
      <c r="AA64" s="286"/>
      <c r="AB64" s="297"/>
      <c r="AC64" s="297"/>
      <c r="AD64" s="297"/>
      <c r="AE64" s="286"/>
      <c r="AF64" s="297"/>
      <c r="AG64" s="297"/>
      <c r="AH64" s="297"/>
      <c r="AI64" s="286"/>
      <c r="AJ64" s="297"/>
      <c r="AK64" s="297"/>
      <c r="AL64" s="297"/>
      <c r="AM64" s="286"/>
      <c r="AN64" s="297"/>
      <c r="AO64" s="297"/>
      <c r="AP64" s="297"/>
      <c r="AQ64" s="286"/>
      <c r="AR64" s="297"/>
      <c r="AS64" s="297"/>
      <c r="AT64" s="297"/>
      <c r="AU64" s="286"/>
      <c r="AV64" s="297"/>
      <c r="AW64" s="297"/>
      <c r="AX64" s="297"/>
      <c r="AY64" s="282"/>
      <c r="AZ64" s="225"/>
      <c r="BA64" s="225"/>
      <c r="BB64" s="225"/>
      <c r="BC64" s="282"/>
      <c r="BD64" s="737"/>
      <c r="BE64" s="737"/>
      <c r="BF64" s="737"/>
      <c r="BG64" s="282"/>
      <c r="BH64" s="737"/>
      <c r="BI64" s="737"/>
      <c r="BJ64" s="737"/>
      <c r="BK64" s="282"/>
      <c r="BL64" s="215"/>
      <c r="BM64" s="225"/>
      <c r="BN64" s="225"/>
      <c r="BO64" s="225"/>
      <c r="BP64" s="225"/>
      <c r="BQ64" s="225"/>
      <c r="BR64" s="225"/>
      <c r="BS64" s="225"/>
      <c r="BT64" s="737"/>
      <c r="BU64" s="737"/>
      <c r="BV64" s="225"/>
      <c r="BW64" s="225"/>
      <c r="BX64" s="225"/>
      <c r="BY64" s="737"/>
      <c r="BZ64" s="282"/>
      <c r="CA64" s="282"/>
      <c r="CB64" s="734"/>
      <c r="CC64" s="734"/>
      <c r="CD64" s="734"/>
      <c r="CK64" s="203"/>
    </row>
    <row r="65" spans="1:89" ht="14.25" customHeight="1">
      <c r="A65" s="203"/>
      <c r="B65" s="254" t="s">
        <v>18</v>
      </c>
      <c r="C65" s="253"/>
      <c r="D65" s="296">
        <v>0</v>
      </c>
      <c r="E65" s="297">
        <v>0</v>
      </c>
      <c r="F65" s="297">
        <v>0</v>
      </c>
      <c r="G65" s="286">
        <v>-6494.0119999999997</v>
      </c>
      <c r="H65" s="296">
        <v>-6622.9549999999999</v>
      </c>
      <c r="I65" s="297">
        <v>-6975.29</v>
      </c>
      <c r="J65" s="297">
        <v>-7375.2709999999997</v>
      </c>
      <c r="K65" s="286">
        <v>-7725.924</v>
      </c>
      <c r="L65" s="296">
        <v>-8323.7279999999992</v>
      </c>
      <c r="M65" s="297">
        <v>-8575.0540000000001</v>
      </c>
      <c r="N65" s="297">
        <v>-8875.0519999999997</v>
      </c>
      <c r="O65" s="286">
        <v>-9134.9619999999995</v>
      </c>
      <c r="P65" s="296">
        <v>-9157.8680000000004</v>
      </c>
      <c r="Q65" s="297">
        <v>-9100.9150000000009</v>
      </c>
      <c r="R65" s="297">
        <v>-9100.9150000000009</v>
      </c>
      <c r="S65" s="286">
        <v>-9046.5619999999999</v>
      </c>
      <c r="T65" s="297">
        <v>-9046.5619999999999</v>
      </c>
      <c r="U65" s="297">
        <v>-9146.5619999999999</v>
      </c>
      <c r="V65" s="297">
        <v>-9246.4069999999992</v>
      </c>
      <c r="W65" s="286">
        <v>-9396.2739999999994</v>
      </c>
      <c r="X65" s="297">
        <v>-9546</v>
      </c>
      <c r="Y65" s="297">
        <v>-9637.6640000000007</v>
      </c>
      <c r="Z65" s="297">
        <v>-9689</v>
      </c>
      <c r="AA65" s="286">
        <v>-9864</v>
      </c>
      <c r="AB65" s="297">
        <v>-10064</v>
      </c>
      <c r="AC65" s="297">
        <v>-10264</v>
      </c>
      <c r="AD65" s="297">
        <v>-10763</v>
      </c>
      <c r="AE65" s="286">
        <v>-11279</v>
      </c>
      <c r="AF65" s="297">
        <v>-11327</v>
      </c>
      <c r="AG65" s="297">
        <v>-11427</v>
      </c>
      <c r="AH65" s="297">
        <v>-11477</v>
      </c>
      <c r="AI65" s="286">
        <v>-11524</v>
      </c>
      <c r="AJ65" s="297">
        <v>-11524</v>
      </c>
      <c r="AK65" s="297">
        <v>-11524</v>
      </c>
      <c r="AL65" s="297">
        <v>-11524</v>
      </c>
      <c r="AM65" s="286">
        <v>-11524</v>
      </c>
      <c r="AN65" s="297">
        <v>-11524</v>
      </c>
      <c r="AO65" s="297">
        <v>-11524</v>
      </c>
      <c r="AP65" s="297">
        <v>-12149</v>
      </c>
      <c r="AQ65" s="286">
        <v>-12848</v>
      </c>
      <c r="AR65" s="297">
        <v>-13473</v>
      </c>
      <c r="AS65" s="297">
        <v>-95</v>
      </c>
      <c r="AT65" s="297">
        <v>-14569</v>
      </c>
      <c r="AU65" s="286">
        <v>-14740</v>
      </c>
      <c r="AV65" s="297">
        <v>-14870</v>
      </c>
      <c r="AW65" s="297">
        <v>-15152</v>
      </c>
      <c r="AX65" s="297">
        <v>-15527</v>
      </c>
      <c r="AY65" s="827">
        <v>-15912</v>
      </c>
      <c r="AZ65" s="225">
        <f>AY65+CFS!AZ45</f>
        <v>-16694</v>
      </c>
      <c r="BA65" s="225">
        <f>AZ65+CFS!BA45</f>
        <v>-17476</v>
      </c>
      <c r="BB65" s="225">
        <f>BA65+CFS!BB45</f>
        <v>-18258</v>
      </c>
      <c r="BC65" s="282">
        <f>BB65+CFS!BC45</f>
        <v>-19040</v>
      </c>
      <c r="BD65" s="737">
        <f>BC65+CFS!BD45</f>
        <v>-19822</v>
      </c>
      <c r="BE65" s="737">
        <f>BD65+CFS!BE45</f>
        <v>-20604</v>
      </c>
      <c r="BF65" s="737">
        <f>BE65+CFS!BF45</f>
        <v>-21386</v>
      </c>
      <c r="BG65" s="282">
        <f>BF65+CFS!BG45</f>
        <v>-22168</v>
      </c>
      <c r="BH65" s="737">
        <f>BG65+CFS!BH45</f>
        <v>-22950</v>
      </c>
      <c r="BI65" s="737">
        <f>BH65+CFS!BI45</f>
        <v>-23732</v>
      </c>
      <c r="BJ65" s="737">
        <f>BI65+CFS!BJ45</f>
        <v>-24514</v>
      </c>
      <c r="BK65" s="282">
        <f>BJ65+CFS!BK45</f>
        <v>-25296</v>
      </c>
      <c r="BL65" s="215"/>
      <c r="BM65" s="225">
        <f>G65</f>
        <v>-6494.0119999999997</v>
      </c>
      <c r="BN65" s="225">
        <f>K65</f>
        <v>-7725.924</v>
      </c>
      <c r="BO65" s="225">
        <f>O65</f>
        <v>-9134.9619999999995</v>
      </c>
      <c r="BP65" s="225">
        <f>S65</f>
        <v>-9046.5619999999999</v>
      </c>
      <c r="BQ65" s="225">
        <f>W65</f>
        <v>-9396.2739999999994</v>
      </c>
      <c r="BR65" s="225">
        <f>AA65</f>
        <v>-9864</v>
      </c>
      <c r="BS65" s="225">
        <f>AE65</f>
        <v>-11279</v>
      </c>
      <c r="BT65" s="737">
        <f>AI65</f>
        <v>-11524</v>
      </c>
      <c r="BU65" s="737">
        <f>AM65</f>
        <v>-11524</v>
      </c>
      <c r="BV65" s="225">
        <f>AQ65</f>
        <v>-12848</v>
      </c>
      <c r="BW65" s="225">
        <f>AU65</f>
        <v>-14740</v>
      </c>
      <c r="BX65" s="225">
        <f>AY65</f>
        <v>-15912</v>
      </c>
      <c r="BY65" s="737">
        <f>BC65</f>
        <v>-19040</v>
      </c>
      <c r="BZ65" s="282">
        <f>BG65</f>
        <v>-22168</v>
      </c>
      <c r="CA65" s="282">
        <f>BK65</f>
        <v>-25296</v>
      </c>
      <c r="CB65" s="734"/>
      <c r="CC65" s="734"/>
      <c r="CD65" s="734"/>
      <c r="CK65" s="203"/>
    </row>
    <row r="66" spans="1:89" ht="14.25" customHeight="1">
      <c r="A66" s="203"/>
      <c r="B66" s="254" t="s">
        <v>383</v>
      </c>
      <c r="C66" s="253"/>
      <c r="D66" s="296">
        <v>8322.9779999999992</v>
      </c>
      <c r="E66" s="297">
        <v>8657.5750000000007</v>
      </c>
      <c r="F66" s="297">
        <v>8692.1350000000002</v>
      </c>
      <c r="G66" s="286">
        <v>9472.3029999999999</v>
      </c>
      <c r="H66" s="296">
        <v>9805.9269999999997</v>
      </c>
      <c r="I66" s="297">
        <v>10134.422</v>
      </c>
      <c r="J66" s="297">
        <v>10525.12</v>
      </c>
      <c r="K66" s="286">
        <v>10863.290999999999</v>
      </c>
      <c r="L66" s="296">
        <v>11044.518</v>
      </c>
      <c r="M66" s="297">
        <v>11265.71</v>
      </c>
      <c r="N66" s="297">
        <v>11350.019</v>
      </c>
      <c r="O66" s="286">
        <v>11501.288</v>
      </c>
      <c r="P66" s="296">
        <v>11386.759</v>
      </c>
      <c r="Q66" s="297">
        <v>11031.710999999999</v>
      </c>
      <c r="R66" s="297">
        <v>10896.825999999999</v>
      </c>
      <c r="S66" s="286">
        <v>10934.004000000001</v>
      </c>
      <c r="T66" s="297">
        <v>10936.148999999999</v>
      </c>
      <c r="U66" s="297">
        <v>11106.136</v>
      </c>
      <c r="V66" s="297">
        <v>11135.753000000001</v>
      </c>
      <c r="W66" s="286">
        <v>11510.843000000001</v>
      </c>
      <c r="X66" s="297">
        <v>11925</v>
      </c>
      <c r="Y66" s="297">
        <v>12321</v>
      </c>
      <c r="Z66" s="297">
        <v>12678</v>
      </c>
      <c r="AA66" s="286">
        <v>13029</v>
      </c>
      <c r="AB66" s="297">
        <v>13043</v>
      </c>
      <c r="AC66" s="297">
        <v>13217</v>
      </c>
      <c r="AD66" s="297">
        <v>13323</v>
      </c>
      <c r="AE66" s="286">
        <v>12700</v>
      </c>
      <c r="AF66" s="297">
        <v>12626</v>
      </c>
      <c r="AG66" s="297">
        <v>12378</v>
      </c>
      <c r="AH66" s="297">
        <v>12425</v>
      </c>
      <c r="AI66" s="286">
        <v>12487</v>
      </c>
      <c r="AJ66" s="297">
        <v>12619</v>
      </c>
      <c r="AK66" s="297">
        <v>12759</v>
      </c>
      <c r="AL66" s="297">
        <v>12938</v>
      </c>
      <c r="AM66" s="286">
        <v>13072</v>
      </c>
      <c r="AN66" s="297">
        <v>13276</v>
      </c>
      <c r="AO66" s="297">
        <v>13538</v>
      </c>
      <c r="AP66" s="297">
        <v>13747</v>
      </c>
      <c r="AQ66" s="286">
        <v>13967</v>
      </c>
      <c r="AR66" s="297">
        <v>14142</v>
      </c>
      <c r="AS66" s="297">
        <v>14353</v>
      </c>
      <c r="AT66" s="297">
        <v>14750</v>
      </c>
      <c r="AU66" s="286">
        <v>15252</v>
      </c>
      <c r="AV66" s="297">
        <v>15847</v>
      </c>
      <c r="AW66" s="297">
        <v>16564</v>
      </c>
      <c r="AX66" s="297">
        <v>17383</v>
      </c>
      <c r="AY66" s="827">
        <v>18258</v>
      </c>
      <c r="AZ66" s="225">
        <f>AY66+IS!AZ106-AZ64+CFS!AZ44</f>
        <v>18287</v>
      </c>
      <c r="BA66" s="225">
        <f>AZ66+IS!BA106-BA64+CFS!BA44</f>
        <v>19360.613034684273</v>
      </c>
      <c r="BB66" s="225">
        <f>BA66+IS!BB106-BB64+CFS!BB44</f>
        <v>20258.449226925746</v>
      </c>
      <c r="BC66" s="282">
        <f>BB66+IS!BC106-BC64+CFS!BC44</f>
        <v>21167.799200400736</v>
      </c>
      <c r="BD66" s="737">
        <f>BC66+IS!BD106-BD64+CFS!BD44</f>
        <v>21943.851116224669</v>
      </c>
      <c r="BE66" s="737">
        <f>BD66+IS!BE106-BE64+CFS!BE44</f>
        <v>22720.543921057539</v>
      </c>
      <c r="BF66" s="737">
        <f>BE66+IS!BF106-BF64+CFS!BF44</f>
        <v>23488.429257705306</v>
      </c>
      <c r="BG66" s="282">
        <f>BF66+IS!BG106-BG64+CFS!BG44</f>
        <v>24276.506190090753</v>
      </c>
      <c r="BH66" s="737">
        <f>BG66+IS!BH106-BH64+CFS!BH44</f>
        <v>25065.229544103277</v>
      </c>
      <c r="BI66" s="737">
        <f>BH66+IS!BI106-BI64+CFS!BI44</f>
        <v>25862.094314340502</v>
      </c>
      <c r="BJ66" s="737">
        <f>BI66+IS!BJ106-BJ64+CFS!BJ44</f>
        <v>26673.1411573769</v>
      </c>
      <c r="BK66" s="282">
        <f>BJ66+IS!BK106-BK64+CFS!BK44</f>
        <v>27485.860199072162</v>
      </c>
      <c r="BL66" s="215"/>
      <c r="BM66" s="225">
        <f>G66</f>
        <v>9472.3029999999999</v>
      </c>
      <c r="BN66" s="225">
        <f>K66</f>
        <v>10863.290999999999</v>
      </c>
      <c r="BO66" s="225">
        <f>O66</f>
        <v>11501.288</v>
      </c>
      <c r="BP66" s="225">
        <f>S66</f>
        <v>10934.004000000001</v>
      </c>
      <c r="BQ66" s="225">
        <f>W66</f>
        <v>11510.843000000001</v>
      </c>
      <c r="BR66" s="225">
        <f>AA66</f>
        <v>13029</v>
      </c>
      <c r="BS66" s="225">
        <f>AE66</f>
        <v>12700</v>
      </c>
      <c r="BT66" s="737">
        <f>AI66</f>
        <v>12487</v>
      </c>
      <c r="BU66" s="737">
        <f>AM66</f>
        <v>13072</v>
      </c>
      <c r="BV66" s="225">
        <f>AQ66</f>
        <v>13967</v>
      </c>
      <c r="BW66" s="225">
        <f>AU66</f>
        <v>15252</v>
      </c>
      <c r="BX66" s="225">
        <f>AY66</f>
        <v>18258</v>
      </c>
      <c r="BY66" s="737">
        <f>BC66</f>
        <v>21167.799200400736</v>
      </c>
      <c r="BZ66" s="282">
        <f>BG66</f>
        <v>24276.506190090753</v>
      </c>
      <c r="CA66" s="282">
        <f t="shared" ref="CA66:CA67" si="190">BK66</f>
        <v>27485.860199072162</v>
      </c>
      <c r="CB66" s="734"/>
      <c r="CC66" s="734"/>
      <c r="CD66" s="734"/>
      <c r="CK66" s="203"/>
    </row>
    <row r="67" spans="1:89" ht="14.25" customHeight="1">
      <c r="A67" s="203"/>
      <c r="B67" s="254" t="s">
        <v>382</v>
      </c>
      <c r="C67" s="253"/>
      <c r="D67" s="296">
        <v>-43.084000000000003</v>
      </c>
      <c r="E67" s="297">
        <v>-64.677999999999997</v>
      </c>
      <c r="F67" s="297">
        <v>-41.53</v>
      </c>
      <c r="G67" s="483">
        <v>-19.010000000000002</v>
      </c>
      <c r="H67" s="296">
        <v>-15.295999999999999</v>
      </c>
      <c r="I67" s="297">
        <v>-11.474</v>
      </c>
      <c r="J67" s="297">
        <v>11.759</v>
      </c>
      <c r="K67" s="483">
        <v>11.353</v>
      </c>
      <c r="L67" s="296">
        <v>17.263999999999999</v>
      </c>
      <c r="M67" s="297">
        <v>2.5640000000000001</v>
      </c>
      <c r="N67" s="297">
        <v>-8.4220000000000006</v>
      </c>
      <c r="O67" s="483">
        <v>-26.57</v>
      </c>
      <c r="P67" s="296">
        <v>-11.504</v>
      </c>
      <c r="Q67" s="297">
        <v>-3.528</v>
      </c>
      <c r="R67" s="297">
        <v>5.7480000000000002</v>
      </c>
      <c r="S67" s="483">
        <v>-1.68</v>
      </c>
      <c r="T67" s="297">
        <v>-0.51100000000000001</v>
      </c>
      <c r="U67" s="297">
        <v>-0.70299999999999996</v>
      </c>
      <c r="V67" s="297">
        <v>6.57</v>
      </c>
      <c r="W67" s="286">
        <v>1.6659999999999999</v>
      </c>
      <c r="X67" s="297">
        <v>0</v>
      </c>
      <c r="Y67" s="297">
        <v>0</v>
      </c>
      <c r="Z67" s="297">
        <v>-4</v>
      </c>
      <c r="AA67" s="286">
        <v>6</v>
      </c>
      <c r="AB67" s="297">
        <v>7</v>
      </c>
      <c r="AC67" s="297">
        <v>7</v>
      </c>
      <c r="AD67" s="297">
        <v>-5</v>
      </c>
      <c r="AE67" s="286">
        <v>-61</v>
      </c>
      <c r="AF67" s="297">
        <v>-62</v>
      </c>
      <c r="AG67" s="297">
        <v>-54</v>
      </c>
      <c r="AH67" s="297">
        <v>-61</v>
      </c>
      <c r="AI67" s="286">
        <v>-38</v>
      </c>
      <c r="AJ67" s="297">
        <v>-44</v>
      </c>
      <c r="AK67" s="297">
        <v>-41</v>
      </c>
      <c r="AL67" s="297">
        <v>-42</v>
      </c>
      <c r="AM67" s="286">
        <v>-42</v>
      </c>
      <c r="AN67" s="297">
        <v>-76</v>
      </c>
      <c r="AO67" s="297">
        <v>-125</v>
      </c>
      <c r="AP67" s="297">
        <v>-118</v>
      </c>
      <c r="AQ67" s="286">
        <v>-92</v>
      </c>
      <c r="AR67" s="297">
        <v>-94</v>
      </c>
      <c r="AS67" s="297">
        <v>-14373</v>
      </c>
      <c r="AT67" s="297">
        <v>-87</v>
      </c>
      <c r="AU67" s="286">
        <v>-115</v>
      </c>
      <c r="AV67" s="297">
        <v>-106</v>
      </c>
      <c r="AW67" s="297">
        <v>-110</v>
      </c>
      <c r="AX67" s="297">
        <v>-101</v>
      </c>
      <c r="AY67" s="828">
        <v>-64</v>
      </c>
      <c r="AZ67" s="225">
        <f>AY67+CFS!AZ12+CFS!AZ13+CFS!AZ14+CFS!AZ15+CFS!AZ16+CFS!AZ17+CFS!AZ36+CFS!AZ49</f>
        <v>-23</v>
      </c>
      <c r="BA67" s="225">
        <f>AZ67+CFS!BA12+CFS!BA13+CFS!BA14+CFS!BA15+CFS!BA16+CFS!BA17+CFS!BA36+CFS!BA49</f>
        <v>-23</v>
      </c>
      <c r="BB67" s="225">
        <f>BA67+CFS!BB12+CFS!BB13+CFS!BB14+CFS!BB15+CFS!BB16+CFS!BB17+CFS!BB36+CFS!BB49</f>
        <v>-23</v>
      </c>
      <c r="BC67" s="482">
        <f>BB67+CFS!BC12+CFS!BC13+CFS!BC14+CFS!BC15+CFS!BC16+CFS!BC17+CFS!BC36+CFS!BC49</f>
        <v>-23</v>
      </c>
      <c r="BD67" s="737">
        <f>BC67+CFS!BD12+CFS!BD13+CFS!BD14+CFS!BD15+CFS!BD16+CFS!BD17+CFS!BD36+CFS!BD49</f>
        <v>-23</v>
      </c>
      <c r="BE67" s="737">
        <f>BD67+CFS!BE12+CFS!BE13+CFS!BE14+CFS!BE15+CFS!BE16+CFS!BE17+CFS!BE36+CFS!BE49</f>
        <v>-23</v>
      </c>
      <c r="BF67" s="737">
        <f>BE67+CFS!BF12+CFS!BF13+CFS!BF14+CFS!BF15+CFS!BF16+CFS!BF17+CFS!BF36+CFS!BF49</f>
        <v>-23</v>
      </c>
      <c r="BG67" s="482">
        <f>BF67+CFS!BG12+CFS!BG13+CFS!BG14+CFS!BG15+CFS!BG16+CFS!BG17+CFS!BG36+CFS!BG49</f>
        <v>-23</v>
      </c>
      <c r="BH67" s="737">
        <f>BG67+CFS!BH12+CFS!BH13+CFS!BH14+CFS!BH15+CFS!BH16+CFS!BH17+CFS!BH36+CFS!BH49</f>
        <v>-23</v>
      </c>
      <c r="BI67" s="737">
        <f>BH67+CFS!BI12+CFS!BI13+CFS!BI14+CFS!BI15+CFS!BI16+CFS!BI17+CFS!BI36+CFS!BI49</f>
        <v>-23</v>
      </c>
      <c r="BJ67" s="737">
        <f>BI67+CFS!BJ12+CFS!BJ13+CFS!BJ14+CFS!BJ15+CFS!BJ16+CFS!BJ17+CFS!BJ36+CFS!BJ49</f>
        <v>-23</v>
      </c>
      <c r="BK67" s="482">
        <f>BJ67+CFS!BK12+CFS!BK13+CFS!BK14+CFS!BK15+CFS!BK16+CFS!BK17+CFS!BK36+CFS!BK49</f>
        <v>-23</v>
      </c>
      <c r="BL67" s="215"/>
      <c r="BM67" s="225">
        <f>G67</f>
        <v>-19.010000000000002</v>
      </c>
      <c r="BN67" s="225">
        <f>K67</f>
        <v>11.353</v>
      </c>
      <c r="BO67" s="225">
        <f>O67</f>
        <v>-26.57</v>
      </c>
      <c r="BP67" s="225">
        <f>S67</f>
        <v>-1.68</v>
      </c>
      <c r="BQ67" s="225">
        <f>W67</f>
        <v>1.6659999999999999</v>
      </c>
      <c r="BR67" s="225">
        <f>AA67</f>
        <v>6</v>
      </c>
      <c r="BS67" s="225">
        <f>AE67</f>
        <v>-61</v>
      </c>
      <c r="BT67" s="737">
        <f>AI67</f>
        <v>-38</v>
      </c>
      <c r="BU67" s="737">
        <f>AM67</f>
        <v>-42</v>
      </c>
      <c r="BV67" s="225">
        <f>AQ67</f>
        <v>-92</v>
      </c>
      <c r="BW67" s="225">
        <f>AU67</f>
        <v>-115</v>
      </c>
      <c r="BX67" s="225">
        <f>AY67</f>
        <v>-64</v>
      </c>
      <c r="BY67" s="737">
        <f>BC67</f>
        <v>-23</v>
      </c>
      <c r="BZ67" s="282">
        <f>BG67</f>
        <v>-23</v>
      </c>
      <c r="CA67" s="282">
        <f t="shared" si="190"/>
        <v>-23</v>
      </c>
      <c r="CB67" s="734"/>
      <c r="CC67" s="734"/>
      <c r="CD67" s="734"/>
      <c r="CK67" s="203"/>
    </row>
    <row r="68" spans="1:89" ht="14.25" customHeight="1">
      <c r="A68" s="203"/>
      <c r="B68" s="481" t="s">
        <v>381</v>
      </c>
      <c r="C68" s="480"/>
      <c r="D68" s="477">
        <f t="shared" ref="D68:AY68" si="191">D62+D66+D67+D65</f>
        <v>8667.5789999999979</v>
      </c>
      <c r="E68" s="475">
        <f t="shared" si="191"/>
        <v>8618.67</v>
      </c>
      <c r="F68" s="475">
        <f t="shared" si="191"/>
        <v>8665.9439999999995</v>
      </c>
      <c r="G68" s="476">
        <f t="shared" si="191"/>
        <v>6651.4000000000005</v>
      </c>
      <c r="H68" s="477">
        <f t="shared" si="191"/>
        <v>6966.7109999999993</v>
      </c>
      <c r="I68" s="475">
        <f t="shared" si="191"/>
        <v>7037.7400000000007</v>
      </c>
      <c r="J68" s="475">
        <f t="shared" si="191"/>
        <v>7388.1370000000015</v>
      </c>
      <c r="K68" s="476">
        <f t="shared" si="191"/>
        <v>7821.4089999999987</v>
      </c>
      <c r="L68" s="477">
        <f t="shared" si="191"/>
        <v>7458.7309999999998</v>
      </c>
      <c r="M68" s="475">
        <f t="shared" si="191"/>
        <v>7710.8039999999983</v>
      </c>
      <c r="N68" s="475">
        <f t="shared" si="191"/>
        <v>7540.7950000000019</v>
      </c>
      <c r="O68" s="476">
        <f t="shared" si="191"/>
        <v>7448.9580000000024</v>
      </c>
      <c r="P68" s="477">
        <f t="shared" si="191"/>
        <v>7356.6709999999966</v>
      </c>
      <c r="Q68" s="475">
        <f t="shared" si="191"/>
        <v>7095.8989999999994</v>
      </c>
      <c r="R68" s="475">
        <f t="shared" si="191"/>
        <v>7013.6089999999986</v>
      </c>
      <c r="S68" s="476">
        <f t="shared" si="191"/>
        <v>7094.6080000000002</v>
      </c>
      <c r="T68" s="477">
        <f t="shared" si="191"/>
        <v>7148.143</v>
      </c>
      <c r="U68" s="475">
        <f t="shared" si="191"/>
        <v>7321.0810000000001</v>
      </c>
      <c r="V68" s="475">
        <f t="shared" si="191"/>
        <v>7278.1390000000029</v>
      </c>
      <c r="W68" s="476">
        <f t="shared" si="191"/>
        <v>7536.113000000003</v>
      </c>
      <c r="X68" s="477">
        <f t="shared" si="191"/>
        <v>7839</v>
      </c>
      <c r="Y68" s="475">
        <f t="shared" si="191"/>
        <v>8182</v>
      </c>
      <c r="Z68" s="475">
        <f t="shared" si="191"/>
        <v>8551</v>
      </c>
      <c r="AA68" s="476">
        <f t="shared" si="191"/>
        <v>8800</v>
      </c>
      <c r="AB68" s="477">
        <f t="shared" si="191"/>
        <v>8650</v>
      </c>
      <c r="AC68" s="475">
        <f t="shared" si="191"/>
        <v>8703</v>
      </c>
      <c r="AD68" s="475">
        <f t="shared" si="191"/>
        <v>8339</v>
      </c>
      <c r="AE68" s="476">
        <f t="shared" si="191"/>
        <v>7235</v>
      </c>
      <c r="AF68" s="477">
        <f t="shared" si="191"/>
        <v>7141</v>
      </c>
      <c r="AG68" s="475">
        <f t="shared" si="191"/>
        <v>6898</v>
      </c>
      <c r="AH68" s="475">
        <f t="shared" si="191"/>
        <v>6954</v>
      </c>
      <c r="AI68" s="476">
        <f t="shared" si="191"/>
        <v>7088</v>
      </c>
      <c r="AJ68" s="477">
        <f t="shared" si="191"/>
        <v>7241</v>
      </c>
      <c r="AK68" s="475">
        <f t="shared" si="191"/>
        <v>7475</v>
      </c>
      <c r="AL68" s="475">
        <f t="shared" si="191"/>
        <v>7684</v>
      </c>
      <c r="AM68" s="476">
        <f t="shared" si="191"/>
        <v>7902</v>
      </c>
      <c r="AN68" s="477">
        <f t="shared" si="191"/>
        <v>8072</v>
      </c>
      <c r="AO68" s="475">
        <f t="shared" si="191"/>
        <v>8351</v>
      </c>
      <c r="AP68" s="475">
        <f t="shared" si="191"/>
        <v>7977</v>
      </c>
      <c r="AQ68" s="476">
        <f t="shared" si="191"/>
        <v>7613</v>
      </c>
      <c r="AR68" s="477">
        <f>AR62+AR66+AR67+AR65</f>
        <v>7168</v>
      </c>
      <c r="AS68" s="475">
        <f>AS62+AS66+AS67+AS65</f>
        <v>6565</v>
      </c>
      <c r="AT68" s="475">
        <f>AT62+AT66+AT67+AT65</f>
        <v>6819</v>
      </c>
      <c r="AU68" s="476">
        <f>AU62+AU66+AU67+AU65</f>
        <v>7217</v>
      </c>
      <c r="AV68" s="477">
        <f>AV62+AV66+AV67+AV65</f>
        <v>7687</v>
      </c>
      <c r="AW68" s="475">
        <f t="shared" si="191"/>
        <v>8212</v>
      </c>
      <c r="AX68" s="479">
        <f t="shared" si="191"/>
        <v>8716</v>
      </c>
      <c r="AY68" s="478">
        <f t="shared" si="191"/>
        <v>9349</v>
      </c>
      <c r="AZ68" s="479">
        <f t="shared" ref="AZ68:BG68" si="192">AZ62+AZ66+AZ67+AZ65</f>
        <v>8506</v>
      </c>
      <c r="BA68" s="479">
        <f t="shared" si="192"/>
        <v>8862.6130346842729</v>
      </c>
      <c r="BB68" s="479">
        <f t="shared" si="192"/>
        <v>9043.4492269257462</v>
      </c>
      <c r="BC68" s="478">
        <f t="shared" si="192"/>
        <v>9235.7992004007356</v>
      </c>
      <c r="BD68" s="479">
        <f t="shared" si="192"/>
        <v>9294.8511162246687</v>
      </c>
      <c r="BE68" s="479">
        <f t="shared" si="192"/>
        <v>9354.5439210575387</v>
      </c>
      <c r="BF68" s="479">
        <f t="shared" si="192"/>
        <v>9405.4292577053056</v>
      </c>
      <c r="BG68" s="478">
        <f t="shared" si="192"/>
        <v>9476.5061900907531</v>
      </c>
      <c r="BH68" s="479">
        <f t="shared" ref="BH68:BK68" si="193">BH62+BH66+BH67+BH65</f>
        <v>9548.2295441032766</v>
      </c>
      <c r="BI68" s="479">
        <f t="shared" si="193"/>
        <v>9628.094314340502</v>
      </c>
      <c r="BJ68" s="479">
        <f t="shared" si="193"/>
        <v>9722.1411573769001</v>
      </c>
      <c r="BK68" s="478">
        <f t="shared" si="193"/>
        <v>9817.8601990721654</v>
      </c>
      <c r="BL68" s="215"/>
      <c r="BM68" s="475">
        <f t="shared" ref="BM68:BX68" si="194">BM62+BM66+BM67+BM65</f>
        <v>6651.4000000000005</v>
      </c>
      <c r="BN68" s="475">
        <f t="shared" si="194"/>
        <v>7821.4089999999987</v>
      </c>
      <c r="BO68" s="475">
        <f t="shared" si="194"/>
        <v>7448.9580000000024</v>
      </c>
      <c r="BP68" s="475">
        <f t="shared" si="194"/>
        <v>7094.6080000000002</v>
      </c>
      <c r="BQ68" s="475">
        <f t="shared" si="194"/>
        <v>7536.113000000003</v>
      </c>
      <c r="BR68" s="475">
        <f t="shared" si="194"/>
        <v>8800</v>
      </c>
      <c r="BS68" s="475">
        <f t="shared" si="194"/>
        <v>7235</v>
      </c>
      <c r="BT68" s="475">
        <f t="shared" si="194"/>
        <v>7088</v>
      </c>
      <c r="BU68" s="475">
        <f t="shared" si="194"/>
        <v>7902</v>
      </c>
      <c r="BV68" s="475">
        <f t="shared" si="194"/>
        <v>7613</v>
      </c>
      <c r="BW68" s="475">
        <f t="shared" si="194"/>
        <v>7217</v>
      </c>
      <c r="BX68" s="475">
        <f t="shared" si="194"/>
        <v>9349</v>
      </c>
      <c r="BY68" s="475">
        <f>BY62+BY66+BY67+BY65</f>
        <v>9235.7992004007356</v>
      </c>
      <c r="BZ68" s="781">
        <f>BZ62+BZ66+BZ67+BZ65</f>
        <v>9476.5061900907531</v>
      </c>
      <c r="CA68" s="781">
        <f>CA62+CA66+CA67+CA65</f>
        <v>9817.8601990721654</v>
      </c>
      <c r="CB68" s="734"/>
      <c r="CC68" s="734"/>
      <c r="CD68" s="734"/>
      <c r="CK68" s="203"/>
    </row>
    <row r="69" spans="1:89" ht="14.25" customHeight="1">
      <c r="A69" s="203"/>
      <c r="B69" s="474"/>
      <c r="C69" s="474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473"/>
      <c r="X69" s="225"/>
      <c r="Y69" s="225"/>
      <c r="Z69" s="225"/>
      <c r="AA69" s="473"/>
      <c r="AB69" s="225"/>
      <c r="AC69" s="225"/>
      <c r="AD69" s="225"/>
      <c r="AE69" s="473"/>
      <c r="AF69" s="225"/>
      <c r="AG69" s="225"/>
      <c r="AH69" s="225"/>
      <c r="AI69" s="473"/>
      <c r="AJ69" s="225"/>
      <c r="AK69" s="225"/>
      <c r="AL69" s="225"/>
      <c r="AM69" s="473"/>
      <c r="AN69" s="473"/>
      <c r="AO69" s="225"/>
      <c r="AP69" s="225"/>
      <c r="AQ69" s="225"/>
      <c r="AR69" s="473"/>
      <c r="AS69" s="225"/>
      <c r="AT69" s="686"/>
      <c r="AU69" s="473"/>
      <c r="AV69" s="473"/>
      <c r="AW69" s="686"/>
      <c r="AX69" s="225"/>
      <c r="AY69" s="473"/>
      <c r="AZ69" s="225"/>
      <c r="BA69" s="225"/>
      <c r="BB69" s="225"/>
      <c r="BC69" s="473"/>
      <c r="BD69" s="737"/>
      <c r="BE69" s="737"/>
      <c r="BF69" s="737"/>
      <c r="BG69" s="473"/>
      <c r="BH69" s="737"/>
      <c r="BI69" s="737"/>
      <c r="BJ69" s="737"/>
      <c r="BK69" s="473"/>
      <c r="BL69" s="204"/>
      <c r="BM69" s="225"/>
      <c r="BN69" s="225"/>
      <c r="BO69" s="225"/>
      <c r="BP69" s="225"/>
      <c r="BQ69" s="225"/>
      <c r="BR69" s="225"/>
      <c r="BS69" s="225"/>
      <c r="BT69" s="737"/>
      <c r="BU69" s="737"/>
      <c r="BV69" s="450"/>
      <c r="BW69" s="450"/>
      <c r="BX69" s="450"/>
      <c r="BY69" s="450"/>
      <c r="BZ69" s="450"/>
      <c r="CA69" s="450"/>
      <c r="CB69" s="734"/>
      <c r="CC69" s="734"/>
      <c r="CD69" s="734"/>
      <c r="CK69" s="203"/>
    </row>
    <row r="70" spans="1:89" ht="14.25" customHeight="1">
      <c r="A70" s="203"/>
      <c r="B70" s="237" t="s">
        <v>265</v>
      </c>
      <c r="C70" s="236"/>
      <c r="D70" s="467">
        <f t="shared" ref="D70:AY70" si="195">D39</f>
        <v>8667.5789999999979</v>
      </c>
      <c r="E70" s="467">
        <f t="shared" si="195"/>
        <v>8618.67</v>
      </c>
      <c r="F70" s="467">
        <f t="shared" si="195"/>
        <v>8665.9439999999995</v>
      </c>
      <c r="G70" s="467">
        <f t="shared" si="195"/>
        <v>6651.4</v>
      </c>
      <c r="H70" s="467">
        <f t="shared" si="195"/>
        <v>6966.7109999999993</v>
      </c>
      <c r="I70" s="467">
        <f t="shared" si="195"/>
        <v>7037.74</v>
      </c>
      <c r="J70" s="467">
        <f t="shared" si="195"/>
        <v>7388.1370000000015</v>
      </c>
      <c r="K70" s="467">
        <f t="shared" si="195"/>
        <v>7821.4089999999997</v>
      </c>
      <c r="L70" s="467">
        <f t="shared" si="195"/>
        <v>7458.7310000000007</v>
      </c>
      <c r="M70" s="467">
        <f t="shared" si="195"/>
        <v>7710.8039999999983</v>
      </c>
      <c r="N70" s="467">
        <f t="shared" si="195"/>
        <v>7540.795000000001</v>
      </c>
      <c r="O70" s="467">
        <f t="shared" si="195"/>
        <v>7448.9580000000024</v>
      </c>
      <c r="P70" s="467">
        <f t="shared" si="195"/>
        <v>7356.6709999999975</v>
      </c>
      <c r="Q70" s="467">
        <f t="shared" si="195"/>
        <v>7095.8989999999994</v>
      </c>
      <c r="R70" s="467">
        <f t="shared" si="195"/>
        <v>7013.6089999999967</v>
      </c>
      <c r="S70" s="467">
        <f t="shared" si="195"/>
        <v>7094.6080000000002</v>
      </c>
      <c r="T70" s="472">
        <f t="shared" si="195"/>
        <v>7148.143</v>
      </c>
      <c r="U70" s="467">
        <f t="shared" si="195"/>
        <v>7321.081000000001</v>
      </c>
      <c r="V70" s="467">
        <f t="shared" si="195"/>
        <v>7278.1390000000029</v>
      </c>
      <c r="W70" s="471">
        <f t="shared" si="195"/>
        <v>7536.1130000000021</v>
      </c>
      <c r="X70" s="472">
        <f t="shared" si="195"/>
        <v>7839</v>
      </c>
      <c r="Y70" s="467">
        <f t="shared" si="195"/>
        <v>8182</v>
      </c>
      <c r="Z70" s="467">
        <f t="shared" si="195"/>
        <v>8551</v>
      </c>
      <c r="AA70" s="471">
        <f t="shared" si="195"/>
        <v>8800</v>
      </c>
      <c r="AB70" s="472">
        <f t="shared" si="195"/>
        <v>8650</v>
      </c>
      <c r="AC70" s="467">
        <f t="shared" si="195"/>
        <v>8703</v>
      </c>
      <c r="AD70" s="467">
        <f t="shared" si="195"/>
        <v>8339</v>
      </c>
      <c r="AE70" s="471">
        <f t="shared" si="195"/>
        <v>7235</v>
      </c>
      <c r="AF70" s="472">
        <f t="shared" si="195"/>
        <v>7141</v>
      </c>
      <c r="AG70" s="467">
        <f t="shared" si="195"/>
        <v>6898</v>
      </c>
      <c r="AH70" s="467">
        <f t="shared" si="195"/>
        <v>6954</v>
      </c>
      <c r="AI70" s="471">
        <f t="shared" si="195"/>
        <v>7088</v>
      </c>
      <c r="AJ70" s="472">
        <f t="shared" si="195"/>
        <v>7241</v>
      </c>
      <c r="AK70" s="467">
        <f t="shared" si="195"/>
        <v>7475</v>
      </c>
      <c r="AL70" s="467">
        <f t="shared" si="195"/>
        <v>7684</v>
      </c>
      <c r="AM70" s="471">
        <f t="shared" si="195"/>
        <v>7902</v>
      </c>
      <c r="AN70" s="472">
        <f t="shared" si="195"/>
        <v>8072</v>
      </c>
      <c r="AO70" s="467">
        <f t="shared" si="195"/>
        <v>8351</v>
      </c>
      <c r="AP70" s="467">
        <f t="shared" si="195"/>
        <v>7977</v>
      </c>
      <c r="AQ70" s="471">
        <f t="shared" si="195"/>
        <v>7613</v>
      </c>
      <c r="AR70" s="472">
        <f>AR39</f>
        <v>7168</v>
      </c>
      <c r="AS70" s="467">
        <f>AS39</f>
        <v>6565</v>
      </c>
      <c r="AT70" s="470">
        <f>AT39</f>
        <v>6819</v>
      </c>
      <c r="AU70" s="467">
        <f>AU39</f>
        <v>7217</v>
      </c>
      <c r="AV70" s="472">
        <f>AV39</f>
        <v>7687</v>
      </c>
      <c r="AW70" s="467">
        <f t="shared" si="195"/>
        <v>8212</v>
      </c>
      <c r="AX70" s="467">
        <f t="shared" si="195"/>
        <v>8716</v>
      </c>
      <c r="AY70" s="471">
        <f t="shared" si="195"/>
        <v>9349</v>
      </c>
      <c r="AZ70" s="472">
        <f t="shared" ref="AZ70:BG70" si="196">AZ39</f>
        <v>8506</v>
      </c>
      <c r="BA70" s="467">
        <f t="shared" si="196"/>
        <v>8862.6130346842729</v>
      </c>
      <c r="BB70" s="467">
        <f t="shared" si="196"/>
        <v>9043.4492269257462</v>
      </c>
      <c r="BC70" s="471">
        <f t="shared" si="196"/>
        <v>9235.7992004007356</v>
      </c>
      <c r="BD70" s="472">
        <f t="shared" si="196"/>
        <v>9294.8511162246687</v>
      </c>
      <c r="BE70" s="467">
        <f t="shared" si="196"/>
        <v>9354.5439210575387</v>
      </c>
      <c r="BF70" s="467">
        <f t="shared" si="196"/>
        <v>9405.4292577053056</v>
      </c>
      <c r="BG70" s="471">
        <f t="shared" si="196"/>
        <v>9476.5061900907531</v>
      </c>
      <c r="BH70" s="472">
        <f t="shared" ref="BH70:BK70" si="197">BH39</f>
        <v>9548.2295441032766</v>
      </c>
      <c r="BI70" s="467">
        <f t="shared" si="197"/>
        <v>9628.094314340502</v>
      </c>
      <c r="BJ70" s="467">
        <f t="shared" si="197"/>
        <v>9722.1411573769001</v>
      </c>
      <c r="BK70" s="471">
        <f t="shared" si="197"/>
        <v>9817.8601990721654</v>
      </c>
      <c r="BL70" s="463"/>
      <c r="BM70" s="467">
        <f>G70</f>
        <v>6651.4</v>
      </c>
      <c r="BN70" s="467">
        <f>K70</f>
        <v>7821.4089999999997</v>
      </c>
      <c r="BO70" s="467">
        <f>O70</f>
        <v>7448.9580000000024</v>
      </c>
      <c r="BP70" s="467">
        <f>S70</f>
        <v>7094.6080000000002</v>
      </c>
      <c r="BQ70" s="467">
        <f>W70</f>
        <v>7536.1130000000021</v>
      </c>
      <c r="BR70" s="469">
        <f>AA70</f>
        <v>8800</v>
      </c>
      <c r="BS70" s="470">
        <f>AE70</f>
        <v>7235</v>
      </c>
      <c r="BT70" s="470">
        <f>AI70</f>
        <v>7088</v>
      </c>
      <c r="BU70" s="470">
        <f>AM70</f>
        <v>7902</v>
      </c>
      <c r="BV70" s="470">
        <f>AQ70</f>
        <v>7613</v>
      </c>
      <c r="BW70" s="470">
        <f>AU70</f>
        <v>7217</v>
      </c>
      <c r="BX70" s="470">
        <f>AY70</f>
        <v>9349</v>
      </c>
      <c r="BY70" s="470">
        <f>BC70</f>
        <v>9235.7992004007356</v>
      </c>
      <c r="BZ70" s="468">
        <f>BG70</f>
        <v>9476.5061900907531</v>
      </c>
      <c r="CA70" s="468">
        <f>BK70</f>
        <v>9817.8601990721654</v>
      </c>
      <c r="CB70" s="734"/>
      <c r="CC70" s="734"/>
      <c r="CD70" s="734"/>
      <c r="CK70" s="203"/>
    </row>
    <row r="71" spans="1:89" ht="14.25" customHeight="1">
      <c r="A71" s="203"/>
      <c r="B71" s="466" t="s">
        <v>65</v>
      </c>
      <c r="C71" s="465"/>
      <c r="D71" s="460">
        <f t="shared" ref="D71:AY71" si="198">ROUND(D70,4)-ROUND(D68,4)</f>
        <v>0</v>
      </c>
      <c r="E71" s="460">
        <f t="shared" si="198"/>
        <v>0</v>
      </c>
      <c r="F71" s="460">
        <f t="shared" si="198"/>
        <v>0</v>
      </c>
      <c r="G71" s="461">
        <f t="shared" si="198"/>
        <v>0</v>
      </c>
      <c r="H71" s="460">
        <f t="shared" si="198"/>
        <v>0</v>
      </c>
      <c r="I71" s="460">
        <f t="shared" si="198"/>
        <v>0</v>
      </c>
      <c r="J71" s="460">
        <f t="shared" si="198"/>
        <v>0</v>
      </c>
      <c r="K71" s="461">
        <f t="shared" si="198"/>
        <v>0</v>
      </c>
      <c r="L71" s="460">
        <f t="shared" si="198"/>
        <v>0</v>
      </c>
      <c r="M71" s="460">
        <f t="shared" si="198"/>
        <v>0</v>
      </c>
      <c r="N71" s="460">
        <f t="shared" si="198"/>
        <v>0</v>
      </c>
      <c r="O71" s="461">
        <f t="shared" si="198"/>
        <v>0</v>
      </c>
      <c r="P71" s="460">
        <f t="shared" si="198"/>
        <v>0</v>
      </c>
      <c r="Q71" s="460">
        <f t="shared" si="198"/>
        <v>0</v>
      </c>
      <c r="R71" s="460">
        <f t="shared" si="198"/>
        <v>0</v>
      </c>
      <c r="S71" s="461">
        <f t="shared" si="198"/>
        <v>0</v>
      </c>
      <c r="T71" s="460">
        <f t="shared" si="198"/>
        <v>0</v>
      </c>
      <c r="U71" s="460">
        <f t="shared" si="198"/>
        <v>0</v>
      </c>
      <c r="V71" s="464">
        <f t="shared" si="198"/>
        <v>0</v>
      </c>
      <c r="W71" s="460">
        <f t="shared" si="198"/>
        <v>0</v>
      </c>
      <c r="X71" s="460">
        <f t="shared" si="198"/>
        <v>0</v>
      </c>
      <c r="Y71" s="460">
        <f t="shared" si="198"/>
        <v>0</v>
      </c>
      <c r="Z71" s="464">
        <f t="shared" si="198"/>
        <v>0</v>
      </c>
      <c r="AA71" s="460">
        <f t="shared" si="198"/>
        <v>0</v>
      </c>
      <c r="AB71" s="460">
        <f t="shared" si="198"/>
        <v>0</v>
      </c>
      <c r="AC71" s="460">
        <f t="shared" si="198"/>
        <v>0</v>
      </c>
      <c r="AD71" s="464">
        <f t="shared" si="198"/>
        <v>0</v>
      </c>
      <c r="AE71" s="460">
        <f t="shared" si="198"/>
        <v>0</v>
      </c>
      <c r="AF71" s="460">
        <f t="shared" si="198"/>
        <v>0</v>
      </c>
      <c r="AG71" s="460">
        <f t="shared" si="198"/>
        <v>0</v>
      </c>
      <c r="AH71" s="460">
        <f t="shared" si="198"/>
        <v>0</v>
      </c>
      <c r="AI71" s="460">
        <f t="shared" si="198"/>
        <v>0</v>
      </c>
      <c r="AJ71" s="460">
        <f t="shared" si="198"/>
        <v>0</v>
      </c>
      <c r="AK71" s="460">
        <f t="shared" si="198"/>
        <v>0</v>
      </c>
      <c r="AL71" s="460">
        <f t="shared" si="198"/>
        <v>0</v>
      </c>
      <c r="AM71" s="460">
        <f t="shared" si="198"/>
        <v>0</v>
      </c>
      <c r="AN71" s="460">
        <f t="shared" si="198"/>
        <v>0</v>
      </c>
      <c r="AO71" s="460">
        <f t="shared" si="198"/>
        <v>0</v>
      </c>
      <c r="AP71" s="460">
        <f t="shared" si="198"/>
        <v>0</v>
      </c>
      <c r="AQ71" s="460">
        <f t="shared" si="198"/>
        <v>0</v>
      </c>
      <c r="AR71" s="460">
        <f>ROUND(AR70,4)-ROUND(AR68,4)</f>
        <v>0</v>
      </c>
      <c r="AS71" s="460">
        <f>ROUND(AS70,4)-ROUND(AS68,4)</f>
        <v>0</v>
      </c>
      <c r="AT71" s="460">
        <f>ROUND(AT70,4)-ROUND(AT68,4)</f>
        <v>0</v>
      </c>
      <c r="AU71" s="460">
        <f>ROUND(AU70,4)-ROUND(AU68,4)</f>
        <v>0</v>
      </c>
      <c r="AV71" s="460">
        <f>ROUND(AV70,4)-ROUND(AV68,4)</f>
        <v>0</v>
      </c>
      <c r="AW71" s="460">
        <f t="shared" si="198"/>
        <v>0</v>
      </c>
      <c r="AX71" s="460">
        <f t="shared" si="198"/>
        <v>0</v>
      </c>
      <c r="AY71" s="460">
        <f t="shared" si="198"/>
        <v>0</v>
      </c>
      <c r="AZ71" s="460">
        <f t="shared" ref="AZ71:BG71" si="199">ROUND(AZ70,4)-ROUND(AZ68,4)</f>
        <v>0</v>
      </c>
      <c r="BA71" s="460">
        <f t="shared" si="199"/>
        <v>0</v>
      </c>
      <c r="BB71" s="460">
        <f t="shared" si="199"/>
        <v>0</v>
      </c>
      <c r="BC71" s="460">
        <f t="shared" si="199"/>
        <v>0</v>
      </c>
      <c r="BD71" s="460">
        <f t="shared" si="199"/>
        <v>0</v>
      </c>
      <c r="BE71" s="460">
        <f t="shared" si="199"/>
        <v>0</v>
      </c>
      <c r="BF71" s="460">
        <f t="shared" si="199"/>
        <v>0</v>
      </c>
      <c r="BG71" s="460">
        <f t="shared" si="199"/>
        <v>0</v>
      </c>
      <c r="BH71" s="460">
        <f t="shared" ref="BH71:BK71" si="200">ROUND(BH70,4)-ROUND(BH68,4)</f>
        <v>0</v>
      </c>
      <c r="BI71" s="460">
        <f t="shared" si="200"/>
        <v>0</v>
      </c>
      <c r="BJ71" s="460">
        <f t="shared" si="200"/>
        <v>0</v>
      </c>
      <c r="BK71" s="460">
        <f t="shared" si="200"/>
        <v>0</v>
      </c>
      <c r="BL71" s="463"/>
      <c r="BM71" s="460">
        <f t="shared" ref="BM71:BX71" si="201">ROUND(BM70,4)-ROUND(BM68,4)</f>
        <v>0</v>
      </c>
      <c r="BN71" s="460">
        <f t="shared" si="201"/>
        <v>0</v>
      </c>
      <c r="BO71" s="460">
        <f t="shared" si="201"/>
        <v>0</v>
      </c>
      <c r="BP71" s="460">
        <f t="shared" si="201"/>
        <v>0</v>
      </c>
      <c r="BQ71" s="460">
        <f t="shared" si="201"/>
        <v>0</v>
      </c>
      <c r="BR71" s="462">
        <f t="shared" si="201"/>
        <v>0</v>
      </c>
      <c r="BS71" s="460">
        <f t="shared" si="201"/>
        <v>0</v>
      </c>
      <c r="BT71" s="460">
        <f t="shared" si="201"/>
        <v>0</v>
      </c>
      <c r="BU71" s="460">
        <f t="shared" si="201"/>
        <v>0</v>
      </c>
      <c r="BV71" s="460">
        <f t="shared" si="201"/>
        <v>0</v>
      </c>
      <c r="BW71" s="460">
        <f t="shared" si="201"/>
        <v>0</v>
      </c>
      <c r="BX71" s="460">
        <f t="shared" si="201"/>
        <v>0</v>
      </c>
      <c r="BY71" s="460">
        <f>ROUND(BY70,4)-ROUND(BY68,4)</f>
        <v>0</v>
      </c>
      <c r="BZ71" s="461">
        <f>ROUND(BZ70,4)-ROUND(BZ68,4)</f>
        <v>0</v>
      </c>
      <c r="CA71" s="461">
        <f>ROUND(CA70,4)-ROUND(CA68,4)</f>
        <v>0</v>
      </c>
      <c r="CB71" s="734"/>
      <c r="CC71" s="734"/>
      <c r="CD71" s="734"/>
      <c r="CK71" s="203"/>
    </row>
    <row r="72" spans="1:89" ht="14.25" customHeight="1">
      <c r="A72" s="203"/>
      <c r="B72" s="230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  <c r="AA72" s="209"/>
      <c r="AB72" s="209"/>
      <c r="AC72" s="209"/>
      <c r="AD72" s="209"/>
      <c r="AE72" s="209"/>
      <c r="AF72" s="209"/>
      <c r="AG72" s="209"/>
      <c r="AH72" s="209"/>
      <c r="AI72" s="209"/>
      <c r="AJ72" s="209"/>
      <c r="AK72" s="209"/>
      <c r="AL72" s="209"/>
      <c r="AM72" s="209"/>
      <c r="AN72" s="230"/>
      <c r="AO72" s="209"/>
      <c r="AP72" s="209"/>
      <c r="AQ72" s="209"/>
      <c r="AR72" s="230"/>
      <c r="AS72" s="209"/>
      <c r="AT72" s="209"/>
      <c r="AU72" s="209"/>
      <c r="AV72" s="230"/>
      <c r="AW72" s="209"/>
      <c r="AX72" s="209"/>
      <c r="AY72" s="230"/>
      <c r="AZ72" s="209"/>
      <c r="BA72" s="209"/>
      <c r="BB72" s="209"/>
      <c r="BC72" s="230"/>
      <c r="BD72" s="209"/>
      <c r="BE72" s="209"/>
      <c r="BF72" s="209"/>
      <c r="BG72" s="230"/>
      <c r="BH72" s="209"/>
      <c r="BI72" s="209"/>
      <c r="BJ72" s="209"/>
      <c r="BK72" s="230"/>
      <c r="BL72" s="203"/>
      <c r="BM72" s="209"/>
      <c r="BN72" s="209"/>
      <c r="BO72" s="209"/>
      <c r="BP72" s="209"/>
      <c r="BQ72" s="209"/>
      <c r="BR72" s="209"/>
      <c r="BS72" s="209"/>
      <c r="BT72" s="209"/>
      <c r="BU72" s="209"/>
      <c r="BV72" s="209"/>
      <c r="BW72" s="209"/>
      <c r="BX72" s="209"/>
      <c r="BY72" s="209"/>
      <c r="BZ72" s="209"/>
      <c r="CA72" s="209"/>
      <c r="CB72" s="734"/>
      <c r="CC72" s="734"/>
      <c r="CD72" s="734"/>
      <c r="CK72" s="203"/>
    </row>
    <row r="73" spans="1:89" ht="14.25" customHeight="1">
      <c r="A73" s="203"/>
      <c r="B73" s="314"/>
      <c r="C73" s="209"/>
      <c r="D73" s="459"/>
      <c r="E73" s="459"/>
      <c r="F73" s="209"/>
      <c r="G73" s="209"/>
      <c r="H73" s="459"/>
      <c r="I73" s="459"/>
      <c r="J73" s="209"/>
      <c r="K73" s="209"/>
      <c r="L73" s="459"/>
      <c r="M73" s="459"/>
      <c r="N73" s="209"/>
      <c r="O73" s="209"/>
      <c r="P73" s="459"/>
      <c r="Q73" s="459"/>
      <c r="R73" s="209"/>
      <c r="S73" s="209"/>
      <c r="T73" s="209"/>
      <c r="U73" s="209"/>
      <c r="V73" s="209"/>
      <c r="W73" s="209"/>
      <c r="X73" s="209"/>
      <c r="Y73" s="209"/>
      <c r="Z73" s="209"/>
      <c r="AA73" s="209"/>
      <c r="AB73" s="209"/>
      <c r="AC73" s="209"/>
      <c r="AD73" s="209"/>
      <c r="AE73" s="314"/>
      <c r="AF73" s="209"/>
      <c r="AG73" s="209"/>
      <c r="AH73" s="209"/>
      <c r="AI73" s="314"/>
      <c r="AJ73" s="209"/>
      <c r="AK73" s="209"/>
      <c r="AL73" s="209"/>
      <c r="AM73" s="314"/>
      <c r="AN73" s="209"/>
      <c r="AO73" s="209"/>
      <c r="AP73" s="209"/>
      <c r="AQ73" s="209"/>
      <c r="AR73" s="209"/>
      <c r="AS73" s="209"/>
      <c r="AT73" s="314"/>
      <c r="AU73" s="209"/>
      <c r="AV73" s="209"/>
      <c r="AW73" s="209"/>
      <c r="AX73" s="314"/>
      <c r="AY73" s="314"/>
      <c r="AZ73" s="314"/>
      <c r="BA73" s="314"/>
      <c r="BB73" s="314"/>
      <c r="BC73" s="314"/>
      <c r="BD73" s="314"/>
      <c r="BE73" s="314"/>
      <c r="BF73" s="314"/>
      <c r="BG73" s="314"/>
      <c r="BH73" s="314"/>
      <c r="BI73" s="314"/>
      <c r="BJ73" s="314"/>
      <c r="BK73" s="314"/>
      <c r="BL73" s="203"/>
      <c r="BM73" s="209"/>
      <c r="BN73" s="209"/>
      <c r="BO73" s="209"/>
      <c r="BP73" s="209"/>
      <c r="BQ73" s="209"/>
      <c r="BR73" s="209"/>
      <c r="BS73" s="209"/>
      <c r="BT73" s="209"/>
      <c r="BU73" s="209"/>
      <c r="BV73" s="209"/>
      <c r="BW73" s="209"/>
      <c r="BX73" s="209"/>
      <c r="BY73" s="209"/>
      <c r="BZ73" s="209"/>
      <c r="CA73" s="209"/>
      <c r="CB73" s="734"/>
      <c r="CC73" s="734"/>
      <c r="CD73" s="734"/>
      <c r="CK73" s="203"/>
    </row>
    <row r="74" spans="1:89" ht="14.25" customHeight="1">
      <c r="A74" s="203"/>
      <c r="B74" s="458" t="s">
        <v>146</v>
      </c>
      <c r="C74" s="457"/>
      <c r="D74" s="397" t="str">
        <f t="shared" ref="D74:AY74" si="202">D57</f>
        <v>1Q06</v>
      </c>
      <c r="E74" s="396" t="str">
        <f t="shared" si="202"/>
        <v>2Q06</v>
      </c>
      <c r="F74" s="396" t="str">
        <f t="shared" si="202"/>
        <v>3Q06</v>
      </c>
      <c r="G74" s="398" t="str">
        <f t="shared" si="202"/>
        <v>4Q06</v>
      </c>
      <c r="H74" s="397" t="str">
        <f t="shared" si="202"/>
        <v>1Q07</v>
      </c>
      <c r="I74" s="396" t="str">
        <f t="shared" si="202"/>
        <v>2Q07</v>
      </c>
      <c r="J74" s="396" t="str">
        <f t="shared" si="202"/>
        <v>3Q07</v>
      </c>
      <c r="K74" s="398" t="str">
        <f t="shared" si="202"/>
        <v>4Q07</v>
      </c>
      <c r="L74" s="397" t="str">
        <f t="shared" si="202"/>
        <v>1Q08</v>
      </c>
      <c r="M74" s="396" t="str">
        <f t="shared" si="202"/>
        <v>2Q08</v>
      </c>
      <c r="N74" s="396" t="str">
        <f t="shared" si="202"/>
        <v>3Q08</v>
      </c>
      <c r="O74" s="398" t="str">
        <f t="shared" si="202"/>
        <v>4Q08</v>
      </c>
      <c r="P74" s="397" t="str">
        <f t="shared" si="202"/>
        <v>1Q09</v>
      </c>
      <c r="Q74" s="396" t="str">
        <f t="shared" si="202"/>
        <v>2Q09</v>
      </c>
      <c r="R74" s="396" t="str">
        <f t="shared" si="202"/>
        <v>3Q09</v>
      </c>
      <c r="S74" s="398" t="str">
        <f t="shared" si="202"/>
        <v>4Q09</v>
      </c>
      <c r="T74" s="397" t="str">
        <f t="shared" si="202"/>
        <v>1Q10</v>
      </c>
      <c r="U74" s="396" t="str">
        <f t="shared" si="202"/>
        <v>2Q10</v>
      </c>
      <c r="V74" s="396" t="str">
        <f t="shared" si="202"/>
        <v>3Q10</v>
      </c>
      <c r="W74" s="398" t="str">
        <f t="shared" si="202"/>
        <v>4Q10</v>
      </c>
      <c r="X74" s="397" t="str">
        <f t="shared" si="202"/>
        <v>1Q11</v>
      </c>
      <c r="Y74" s="396" t="str">
        <f t="shared" si="202"/>
        <v>2Q11</v>
      </c>
      <c r="Z74" s="396" t="str">
        <f t="shared" si="202"/>
        <v>3Q11</v>
      </c>
      <c r="AA74" s="398" t="str">
        <f t="shared" si="202"/>
        <v>4Q11</v>
      </c>
      <c r="AB74" s="397" t="str">
        <f t="shared" si="202"/>
        <v>1Q12</v>
      </c>
      <c r="AC74" s="396" t="str">
        <f t="shared" si="202"/>
        <v>2Q12</v>
      </c>
      <c r="AD74" s="396" t="str">
        <f t="shared" si="202"/>
        <v>3Q12</v>
      </c>
      <c r="AE74" s="398" t="str">
        <f t="shared" si="202"/>
        <v>4Q12</v>
      </c>
      <c r="AF74" s="397" t="str">
        <f t="shared" si="202"/>
        <v>1Q13</v>
      </c>
      <c r="AG74" s="396" t="str">
        <f t="shared" si="202"/>
        <v>2Q13</v>
      </c>
      <c r="AH74" s="396" t="str">
        <f t="shared" si="202"/>
        <v>3Q13</v>
      </c>
      <c r="AI74" s="398" t="str">
        <f t="shared" si="202"/>
        <v>4Q13</v>
      </c>
      <c r="AJ74" s="397" t="str">
        <f t="shared" si="202"/>
        <v>1Q14</v>
      </c>
      <c r="AK74" s="396" t="str">
        <f t="shared" si="202"/>
        <v>2Q14</v>
      </c>
      <c r="AL74" s="396" t="str">
        <f t="shared" si="202"/>
        <v>3Q14</v>
      </c>
      <c r="AM74" s="398" t="str">
        <f t="shared" si="202"/>
        <v>4Q14</v>
      </c>
      <c r="AN74" s="456" t="str">
        <f t="shared" si="202"/>
        <v>1Q15</v>
      </c>
      <c r="AO74" s="396" t="str">
        <f t="shared" si="202"/>
        <v>2Q15</v>
      </c>
      <c r="AP74" s="396" t="str">
        <f t="shared" si="202"/>
        <v>3Q15</v>
      </c>
      <c r="AQ74" s="393" t="str">
        <f t="shared" si="202"/>
        <v>4Q15</v>
      </c>
      <c r="AR74" s="456" t="str">
        <f>AR57</f>
        <v>1Q16</v>
      </c>
      <c r="AS74" s="396" t="str">
        <f>AS57</f>
        <v>2Q16</v>
      </c>
      <c r="AT74" s="399" t="str">
        <f t="shared" si="202"/>
        <v>3Q16</v>
      </c>
      <c r="AU74" s="393" t="str">
        <f>AU57</f>
        <v>4Q16</v>
      </c>
      <c r="AV74" s="456" t="str">
        <f>AV57</f>
        <v>1Q17</v>
      </c>
      <c r="AW74" s="396" t="str">
        <f t="shared" si="202"/>
        <v>2Q17</v>
      </c>
      <c r="AX74" s="399" t="str">
        <f t="shared" si="202"/>
        <v>3Q17</v>
      </c>
      <c r="AY74" s="393" t="str">
        <f t="shared" si="202"/>
        <v>4Q17</v>
      </c>
      <c r="AZ74" s="456" t="str">
        <f t="shared" ref="AZ74:BG74" si="203">AZ57</f>
        <v>1Q18</v>
      </c>
      <c r="BA74" s="399" t="str">
        <f t="shared" si="203"/>
        <v>2Q18e</v>
      </c>
      <c r="BB74" s="399" t="str">
        <f t="shared" si="203"/>
        <v>3Q18e</v>
      </c>
      <c r="BC74" s="393" t="str">
        <f t="shared" si="203"/>
        <v>4Q18e</v>
      </c>
      <c r="BD74" s="456" t="str">
        <f t="shared" si="203"/>
        <v>1Q19e</v>
      </c>
      <c r="BE74" s="399" t="str">
        <f t="shared" si="203"/>
        <v>2Q19e</v>
      </c>
      <c r="BF74" s="399" t="str">
        <f t="shared" si="203"/>
        <v>3Q19e</v>
      </c>
      <c r="BG74" s="393" t="str">
        <f t="shared" si="203"/>
        <v>4Q19e</v>
      </c>
      <c r="BH74" s="456" t="str">
        <f t="shared" ref="BH74:BK74" si="204">BH57</f>
        <v>1Q20e</v>
      </c>
      <c r="BI74" s="399" t="str">
        <f t="shared" si="204"/>
        <v>2Q20e</v>
      </c>
      <c r="BJ74" s="399" t="str">
        <f t="shared" si="204"/>
        <v>3Q20e</v>
      </c>
      <c r="BK74" s="393" t="str">
        <f t="shared" si="204"/>
        <v>4Q20e</v>
      </c>
      <c r="BL74" s="231"/>
      <c r="BM74" s="395" t="str">
        <f t="shared" ref="BM74:BZ74" si="205">BM57</f>
        <v>FY2006A</v>
      </c>
      <c r="BN74" s="395" t="str">
        <f t="shared" si="205"/>
        <v>FY2007A</v>
      </c>
      <c r="BO74" s="395" t="str">
        <f t="shared" si="205"/>
        <v>FY2008A</v>
      </c>
      <c r="BP74" s="395" t="str">
        <f t="shared" si="205"/>
        <v>FY2009A</v>
      </c>
      <c r="BQ74" s="395" t="str">
        <f t="shared" si="205"/>
        <v>FY2010A</v>
      </c>
      <c r="BR74" s="395" t="str">
        <f t="shared" si="205"/>
        <v>FY2011A</v>
      </c>
      <c r="BS74" s="395" t="str">
        <f t="shared" si="205"/>
        <v>FY2012A</v>
      </c>
      <c r="BT74" s="395" t="str">
        <f t="shared" si="205"/>
        <v>FY2013A</v>
      </c>
      <c r="BU74" s="395" t="str">
        <f t="shared" si="205"/>
        <v>FY2014A</v>
      </c>
      <c r="BV74" s="395" t="str">
        <f t="shared" si="205"/>
        <v>FY2015A</v>
      </c>
      <c r="BW74" s="395" t="str">
        <f t="shared" si="205"/>
        <v>FY2016A</v>
      </c>
      <c r="BX74" s="395" t="str">
        <f t="shared" si="205"/>
        <v>FY2017A</v>
      </c>
      <c r="BY74" s="395" t="str">
        <f>BY57</f>
        <v>FY2018E</v>
      </c>
      <c r="BZ74" s="395" t="str">
        <f t="shared" si="205"/>
        <v>FY2019E</v>
      </c>
      <c r="CA74" s="395" t="str">
        <f t="shared" ref="CA74" si="206">CA57</f>
        <v>FY2020E</v>
      </c>
      <c r="CB74" s="734"/>
      <c r="CC74" s="734"/>
      <c r="CD74" s="734"/>
      <c r="CK74" s="203"/>
    </row>
    <row r="75" spans="1:89" ht="14.25" customHeight="1">
      <c r="A75" s="203"/>
      <c r="B75" s="237" t="s">
        <v>380</v>
      </c>
      <c r="C75" s="216"/>
      <c r="D75" s="442">
        <f>IS!D140</f>
        <v>1608.165</v>
      </c>
      <c r="E75" s="442">
        <f>IS!E140</f>
        <v>1586.404</v>
      </c>
      <c r="F75" s="442">
        <f>IS!F140</f>
        <v>1562.615</v>
      </c>
      <c r="G75" s="453">
        <f>IS!G140</f>
        <v>1482.1320000000001</v>
      </c>
      <c r="H75" s="442">
        <f>IS!H140</f>
        <v>1409.0139999999999</v>
      </c>
      <c r="I75" s="442">
        <f>IS!I140</f>
        <v>1407.2550000000001</v>
      </c>
      <c r="J75" s="442">
        <f>IS!J140</f>
        <v>1407.2639999999999</v>
      </c>
      <c r="K75" s="453">
        <f>IS!K140</f>
        <v>1403.6869999999999</v>
      </c>
      <c r="L75" s="442">
        <f>IS!L140</f>
        <v>1383.886</v>
      </c>
      <c r="M75" s="442">
        <f>IS!M140</f>
        <v>1373.3140000000001</v>
      </c>
      <c r="N75" s="442">
        <f>IS!N140</f>
        <v>1367.557</v>
      </c>
      <c r="O75" s="453">
        <f>IS!O140</f>
        <v>1350.0920000000001</v>
      </c>
      <c r="P75" s="443">
        <f>IS!P140</f>
        <v>1329.223</v>
      </c>
      <c r="Q75" s="442">
        <f>IS!Q140</f>
        <v>1331.729</v>
      </c>
      <c r="R75" s="442">
        <f>IS!R140</f>
        <v>1333.278</v>
      </c>
      <c r="S75" s="453">
        <f>IS!S140</f>
        <v>1347.691</v>
      </c>
      <c r="T75" s="442">
        <f>IS!T140</f>
        <v>1349.567</v>
      </c>
      <c r="U75" s="442">
        <f>IS!U140</f>
        <v>1352.4359999999999</v>
      </c>
      <c r="V75" s="442">
        <f>IS!V140</f>
        <v>1348.808</v>
      </c>
      <c r="W75" s="453">
        <f>IS!W140</f>
        <v>1340</v>
      </c>
      <c r="X75" s="442">
        <f>IS!X140</f>
        <v>1335</v>
      </c>
      <c r="Y75" s="442">
        <f>IS!Y140</f>
        <v>1333</v>
      </c>
      <c r="Z75" s="442">
        <f>IS!Z140</f>
        <v>1330</v>
      </c>
      <c r="AA75" s="453">
        <f>IS!AA140</f>
        <v>1321</v>
      </c>
      <c r="AB75" s="442">
        <f>IS!AB140</f>
        <v>1310</v>
      </c>
      <c r="AC75" s="442">
        <f>IS!AC140</f>
        <v>1301</v>
      </c>
      <c r="AD75" s="442">
        <f>IS!AD140</f>
        <v>1268</v>
      </c>
      <c r="AE75" s="453">
        <f>IS!AE140</f>
        <v>1234</v>
      </c>
      <c r="AF75" s="442">
        <f>IS!AF140</f>
        <v>1212</v>
      </c>
      <c r="AG75" s="442">
        <f>IS!AG140</f>
        <v>1217</v>
      </c>
      <c r="AH75" s="442">
        <f>IS!AH140</f>
        <v>1220</v>
      </c>
      <c r="AI75" s="453">
        <f>IS!AI140</f>
        <v>1222</v>
      </c>
      <c r="AJ75" s="442">
        <f>IS!AJ140</f>
        <v>1225</v>
      </c>
      <c r="AK75" s="442">
        <f>IS!AK140</f>
        <v>1229</v>
      </c>
      <c r="AL75" s="442">
        <f>IS!AL140</f>
        <v>1233</v>
      </c>
      <c r="AM75" s="453">
        <f>IS!AM140</f>
        <v>1236</v>
      </c>
      <c r="AN75" s="455">
        <f>IS!AN140</f>
        <v>1240</v>
      </c>
      <c r="AO75" s="442">
        <f>IS!AO140</f>
        <v>1241</v>
      </c>
      <c r="AP75" s="442">
        <f>IS!AP140</f>
        <v>1231</v>
      </c>
      <c r="AQ75" s="453">
        <f>IS!AQ140</f>
        <v>1190</v>
      </c>
      <c r="AR75" s="455">
        <f>IS!AR140</f>
        <v>1154</v>
      </c>
      <c r="AS75" s="442">
        <f>IS!AS140</f>
        <v>1119</v>
      </c>
      <c r="AT75" s="454">
        <f>IS!AT140</f>
        <v>1093</v>
      </c>
      <c r="AU75" s="453">
        <f>IS!AU140</f>
        <v>1093</v>
      </c>
      <c r="AV75" s="455">
        <f>IS!AV140</f>
        <v>1089</v>
      </c>
      <c r="AW75" s="442">
        <f>IS!AW140</f>
        <v>1087</v>
      </c>
      <c r="AX75" s="454">
        <f>IS!AX140</f>
        <v>1083</v>
      </c>
      <c r="AY75" s="453">
        <f>IS!AY140</f>
        <v>1076</v>
      </c>
      <c r="AZ75" s="455">
        <f>IS!AZ140</f>
        <v>1071</v>
      </c>
      <c r="BA75" s="454">
        <f>IS!BA140</f>
        <v>1066</v>
      </c>
      <c r="BB75" s="454">
        <f>IS!BB140</f>
        <v>1061</v>
      </c>
      <c r="BC75" s="453">
        <f>IS!BC140</f>
        <v>1056</v>
      </c>
      <c r="BD75" s="455">
        <f>IS!BD140</f>
        <v>1054</v>
      </c>
      <c r="BE75" s="454">
        <f>IS!BE140</f>
        <v>1052</v>
      </c>
      <c r="BF75" s="454">
        <f>IS!BF140</f>
        <v>1050</v>
      </c>
      <c r="BG75" s="453">
        <f>IS!BG140</f>
        <v>1048</v>
      </c>
      <c r="BH75" s="455">
        <f>IS!BH140</f>
        <v>1047.5</v>
      </c>
      <c r="BI75" s="454">
        <f>IS!BI140</f>
        <v>1047</v>
      </c>
      <c r="BJ75" s="454">
        <f>IS!BJ140</f>
        <v>1046.5</v>
      </c>
      <c r="BK75" s="453">
        <f>IS!BK140</f>
        <v>1046</v>
      </c>
      <c r="BL75" s="231"/>
      <c r="BM75" s="450">
        <f>IS!BM140</f>
        <v>1559.8290000000002</v>
      </c>
      <c r="BN75" s="450">
        <f>IS!BN140</f>
        <v>1406.8050000000001</v>
      </c>
      <c r="BO75" s="450">
        <f>IS!BO140</f>
        <v>1368.71225</v>
      </c>
      <c r="BP75" s="450">
        <f>IS!BP140</f>
        <v>1335.4802500000001</v>
      </c>
      <c r="BQ75" s="450">
        <f>IS!BQ140</f>
        <v>1347.7027499999999</v>
      </c>
      <c r="BR75" s="450">
        <f>IS!BR140</f>
        <v>1329.75</v>
      </c>
      <c r="BS75" s="450">
        <f>IS!BS140</f>
        <v>1278.25</v>
      </c>
      <c r="BT75" s="450">
        <f>IS!BT140</f>
        <v>1217.75</v>
      </c>
      <c r="BU75" s="450">
        <f>IS!BU140</f>
        <v>1230.75</v>
      </c>
      <c r="BV75" s="450">
        <f>IS!BV140</f>
        <v>1225.5</v>
      </c>
      <c r="BW75" s="450">
        <f>IS!BW140</f>
        <v>1114.75</v>
      </c>
      <c r="BX75" s="450">
        <f>IS!BX140</f>
        <v>1083.75</v>
      </c>
      <c r="BY75" s="450">
        <f>IS!BY140</f>
        <v>1063.5</v>
      </c>
      <c r="BZ75" s="451">
        <f>IS!BZ140</f>
        <v>1051</v>
      </c>
      <c r="CA75" s="451">
        <f>IS!CA140</f>
        <v>1046.75</v>
      </c>
      <c r="CB75" s="734"/>
      <c r="CC75" s="734"/>
      <c r="CD75" s="734"/>
      <c r="CK75" s="203"/>
    </row>
    <row r="76" spans="1:89" ht="14.25" customHeight="1">
      <c r="A76" s="203"/>
      <c r="B76" s="217" t="s">
        <v>155</v>
      </c>
      <c r="C76" s="216"/>
      <c r="D76" s="448">
        <f t="shared" ref="D76:AY76" si="207">D39/D75</f>
        <v>5.3897323968622608</v>
      </c>
      <c r="E76" s="448">
        <f t="shared" si="207"/>
        <v>5.432834259116845</v>
      </c>
      <c r="F76" s="448">
        <f t="shared" si="207"/>
        <v>5.5457959894151783</v>
      </c>
      <c r="G76" s="447">
        <f t="shared" si="207"/>
        <v>4.4877244401983081</v>
      </c>
      <c r="H76" s="448">
        <f t="shared" si="207"/>
        <v>4.9443873517225523</v>
      </c>
      <c r="I76" s="448">
        <f t="shared" si="207"/>
        <v>5.0010410337856319</v>
      </c>
      <c r="J76" s="448">
        <f t="shared" si="207"/>
        <v>5.2500007105987239</v>
      </c>
      <c r="K76" s="447">
        <f t="shared" si="207"/>
        <v>5.5720463322663818</v>
      </c>
      <c r="L76" s="448">
        <f t="shared" si="207"/>
        <v>5.3897004522048784</v>
      </c>
      <c r="M76" s="448">
        <f t="shared" si="207"/>
        <v>5.6147421492826828</v>
      </c>
      <c r="N76" s="448">
        <f t="shared" si="207"/>
        <v>5.514062667954609</v>
      </c>
      <c r="O76" s="447">
        <f t="shared" si="207"/>
        <v>5.5173706680729921</v>
      </c>
      <c r="P76" s="449">
        <f t="shared" si="207"/>
        <v>5.5345649300380728</v>
      </c>
      <c r="Q76" s="448">
        <f t="shared" si="207"/>
        <v>5.32833556977433</v>
      </c>
      <c r="R76" s="448">
        <f t="shared" si="207"/>
        <v>5.2604250576398899</v>
      </c>
      <c r="S76" s="447">
        <f t="shared" si="207"/>
        <v>5.2642690349642463</v>
      </c>
      <c r="T76" s="448">
        <f t="shared" si="207"/>
        <v>5.296619582429031</v>
      </c>
      <c r="U76" s="448">
        <f t="shared" si="207"/>
        <v>5.4132550449707058</v>
      </c>
      <c r="V76" s="448">
        <f t="shared" si="207"/>
        <v>5.3959785232590578</v>
      </c>
      <c r="W76" s="447">
        <f t="shared" si="207"/>
        <v>5.6239649253731363</v>
      </c>
      <c r="X76" s="448">
        <f t="shared" si="207"/>
        <v>5.8719101123595507</v>
      </c>
      <c r="Y76" s="448">
        <f t="shared" si="207"/>
        <v>6.1380345086271566</v>
      </c>
      <c r="Z76" s="448">
        <f t="shared" si="207"/>
        <v>6.4293233082706767</v>
      </c>
      <c r="AA76" s="447">
        <f t="shared" si="207"/>
        <v>6.6616199848599544</v>
      </c>
      <c r="AB76" s="448">
        <f t="shared" si="207"/>
        <v>6.6030534351145036</v>
      </c>
      <c r="AC76" s="448">
        <f t="shared" si="207"/>
        <v>6.689469638739431</v>
      </c>
      <c r="AD76" s="448">
        <f t="shared" si="207"/>
        <v>6.5764984227129339</v>
      </c>
      <c r="AE76" s="447">
        <f t="shared" si="207"/>
        <v>5.8630470016207452</v>
      </c>
      <c r="AF76" s="448">
        <f t="shared" si="207"/>
        <v>5.8919141914191417</v>
      </c>
      <c r="AG76" s="448">
        <f t="shared" si="207"/>
        <v>5.6680361544782247</v>
      </c>
      <c r="AH76" s="448">
        <f t="shared" si="207"/>
        <v>5.7</v>
      </c>
      <c r="AI76" s="447">
        <f t="shared" si="207"/>
        <v>5.800327332242226</v>
      </c>
      <c r="AJ76" s="448">
        <f t="shared" si="207"/>
        <v>5.9110204081632656</v>
      </c>
      <c r="AK76" s="448">
        <f t="shared" si="207"/>
        <v>6.0821806346623273</v>
      </c>
      <c r="AL76" s="448">
        <f t="shared" si="207"/>
        <v>6.2319545823195455</v>
      </c>
      <c r="AM76" s="447">
        <f t="shared" si="207"/>
        <v>6.3932038834951452</v>
      </c>
      <c r="AN76" s="449">
        <f t="shared" si="207"/>
        <v>6.5096774193548388</v>
      </c>
      <c r="AO76" s="448">
        <f t="shared" si="207"/>
        <v>6.7292506043513294</v>
      </c>
      <c r="AP76" s="448">
        <f t="shared" si="207"/>
        <v>6.4800974817221775</v>
      </c>
      <c r="AQ76" s="447">
        <f t="shared" si="207"/>
        <v>6.397478991596639</v>
      </c>
      <c r="AR76" s="449">
        <f>AR39/AR75</f>
        <v>6.2114384748700173</v>
      </c>
      <c r="AS76" s="448">
        <f>AS39/AS75</f>
        <v>5.8668453976764967</v>
      </c>
      <c r="AT76" s="448">
        <f t="shared" si="207"/>
        <v>6.2387923147301008</v>
      </c>
      <c r="AU76" s="447">
        <f>AU39/AU75</f>
        <v>6.6029277218664228</v>
      </c>
      <c r="AV76" s="449">
        <f>AV39/AV75</f>
        <v>7.0587695133149682</v>
      </c>
      <c r="AW76" s="448">
        <f>AW39/AW75</f>
        <v>7.5547378104875804</v>
      </c>
      <c r="AX76" s="448">
        <f t="shared" si="207"/>
        <v>8.0480147737765471</v>
      </c>
      <c r="AY76" s="447">
        <f t="shared" si="207"/>
        <v>8.6886617100371755</v>
      </c>
      <c r="AZ76" s="449">
        <f t="shared" ref="AZ76:BG76" si="208">AZ39/AZ75</f>
        <v>7.9421101774042953</v>
      </c>
      <c r="BA76" s="448">
        <f t="shared" si="208"/>
        <v>8.3138959049571035</v>
      </c>
      <c r="BB76" s="448">
        <f t="shared" si="208"/>
        <v>8.5235148227386865</v>
      </c>
      <c r="BC76" s="447">
        <f t="shared" si="208"/>
        <v>8.7460219700764537</v>
      </c>
      <c r="BD76" s="449">
        <f t="shared" si="208"/>
        <v>8.8186443227938032</v>
      </c>
      <c r="BE76" s="448">
        <f t="shared" si="208"/>
        <v>8.892152016214391</v>
      </c>
      <c r="BF76" s="448">
        <f t="shared" si="208"/>
        <v>8.9575516740050531</v>
      </c>
      <c r="BG76" s="447">
        <f t="shared" si="208"/>
        <v>9.0424677386362156</v>
      </c>
      <c r="BH76" s="449">
        <f t="shared" ref="BH76:BK76" si="209">BH39/BH75</f>
        <v>9.1152549347047991</v>
      </c>
      <c r="BI76" s="448">
        <f t="shared" si="209"/>
        <v>9.1958875972688645</v>
      </c>
      <c r="BJ76" s="448">
        <f t="shared" si="209"/>
        <v>9.2901492187070236</v>
      </c>
      <c r="BK76" s="447">
        <f t="shared" si="209"/>
        <v>9.3860996167037918</v>
      </c>
      <c r="BL76" s="231"/>
      <c r="BM76" s="445">
        <f t="shared" ref="BM76:BX76" si="210">BM39/BM75</f>
        <v>4.2641853690372464</v>
      </c>
      <c r="BN76" s="445">
        <f t="shared" si="210"/>
        <v>5.5596966175127323</v>
      </c>
      <c r="BO76" s="445">
        <f t="shared" si="210"/>
        <v>5.4423111943361375</v>
      </c>
      <c r="BP76" s="445">
        <f t="shared" si="210"/>
        <v>5.3124020366456186</v>
      </c>
      <c r="BQ76" s="445">
        <f t="shared" si="210"/>
        <v>5.5918213419094105</v>
      </c>
      <c r="BR76" s="445">
        <f t="shared" si="210"/>
        <v>6.6177852979883438</v>
      </c>
      <c r="BS76" s="445">
        <f t="shared" si="210"/>
        <v>5.6600821435556421</v>
      </c>
      <c r="BT76" s="445">
        <f t="shared" si="210"/>
        <v>5.8205707246971876</v>
      </c>
      <c r="BU76" s="445">
        <f t="shared" si="210"/>
        <v>6.420475319926874</v>
      </c>
      <c r="BV76" s="445">
        <f t="shared" si="210"/>
        <v>6.2121583027335783</v>
      </c>
      <c r="BW76" s="445">
        <f t="shared" si="210"/>
        <v>6.4740973312401886</v>
      </c>
      <c r="BX76" s="445">
        <f t="shared" si="210"/>
        <v>8.6265282583621676</v>
      </c>
      <c r="BY76" s="445">
        <f>BY39/BY75</f>
        <v>8.6843433948290887</v>
      </c>
      <c r="BZ76" s="446">
        <f>BZ39/BZ75</f>
        <v>9.016656698468843</v>
      </c>
      <c r="CA76" s="446">
        <f>CA39/CA75</f>
        <v>9.379374443823421</v>
      </c>
      <c r="CB76" s="734"/>
      <c r="CC76" s="734"/>
      <c r="CD76" s="734"/>
      <c r="CK76" s="203"/>
    </row>
    <row r="77" spans="1:89" ht="14.25" customHeight="1">
      <c r="A77" s="203"/>
      <c r="B77" s="217" t="s">
        <v>156</v>
      </c>
      <c r="C77" s="216"/>
      <c r="D77" s="442">
        <f t="shared" ref="D77:AY77" si="211">(D39-(D20+D21))</f>
        <v>8239.6889999999985</v>
      </c>
      <c r="E77" s="442">
        <f t="shared" si="211"/>
        <v>8195.8240000000005</v>
      </c>
      <c r="F77" s="442">
        <f t="shared" si="211"/>
        <v>7906.3059999999996</v>
      </c>
      <c r="G77" s="441">
        <f t="shared" si="211"/>
        <v>5877.7759999999998</v>
      </c>
      <c r="H77" s="442">
        <f t="shared" si="211"/>
        <v>6202.5069999999996</v>
      </c>
      <c r="I77" s="442">
        <f t="shared" si="211"/>
        <v>6152.9120000000003</v>
      </c>
      <c r="J77" s="442">
        <f t="shared" si="211"/>
        <v>6513.260000000002</v>
      </c>
      <c r="K77" s="441">
        <f t="shared" si="211"/>
        <v>6448.0549999999994</v>
      </c>
      <c r="L77" s="442">
        <f t="shared" si="211"/>
        <v>6086.5760000000009</v>
      </c>
      <c r="M77" s="442">
        <f t="shared" si="211"/>
        <v>6077.7619999999979</v>
      </c>
      <c r="N77" s="442">
        <f t="shared" si="211"/>
        <v>5945.2620000000006</v>
      </c>
      <c r="O77" s="441">
        <f t="shared" si="211"/>
        <v>5885.8560000000025</v>
      </c>
      <c r="P77" s="443">
        <f t="shared" si="211"/>
        <v>5817.9509999999973</v>
      </c>
      <c r="Q77" s="442">
        <f t="shared" si="211"/>
        <v>5577.0419999999995</v>
      </c>
      <c r="R77" s="442">
        <f t="shared" si="211"/>
        <v>5514.5179999999964</v>
      </c>
      <c r="S77" s="441">
        <f t="shared" si="211"/>
        <v>5617.26</v>
      </c>
      <c r="T77" s="442">
        <f t="shared" si="211"/>
        <v>5437.7170000000006</v>
      </c>
      <c r="U77" s="442">
        <f t="shared" si="211"/>
        <v>5638.4270000000015</v>
      </c>
      <c r="V77" s="442">
        <f t="shared" si="211"/>
        <v>5641.3120000000026</v>
      </c>
      <c r="W77" s="441">
        <f t="shared" si="211"/>
        <v>5912.8660000000018</v>
      </c>
      <c r="X77" s="442">
        <f t="shared" si="211"/>
        <v>6230</v>
      </c>
      <c r="Y77" s="442">
        <f t="shared" si="211"/>
        <v>6610</v>
      </c>
      <c r="Z77" s="442">
        <f t="shared" si="211"/>
        <v>7216</v>
      </c>
      <c r="AA77" s="441">
        <f t="shared" si="211"/>
        <v>7254</v>
      </c>
      <c r="AB77" s="442">
        <f t="shared" si="211"/>
        <v>3256</v>
      </c>
      <c r="AC77" s="442">
        <f t="shared" si="211"/>
        <v>3300</v>
      </c>
      <c r="AD77" s="442">
        <f t="shared" si="211"/>
        <v>2990</v>
      </c>
      <c r="AE77" s="441">
        <f t="shared" si="211"/>
        <v>2362</v>
      </c>
      <c r="AF77" s="442">
        <f t="shared" si="211"/>
        <v>2321</v>
      </c>
      <c r="AG77" s="442">
        <f t="shared" si="211"/>
        <v>2410</v>
      </c>
      <c r="AH77" s="442">
        <f t="shared" si="211"/>
        <v>2512</v>
      </c>
      <c r="AI77" s="441">
        <f t="shared" si="211"/>
        <v>2691</v>
      </c>
      <c r="AJ77" s="442">
        <f t="shared" si="211"/>
        <v>2890</v>
      </c>
      <c r="AK77" s="442">
        <f t="shared" si="211"/>
        <v>3163</v>
      </c>
      <c r="AL77" s="442">
        <f t="shared" si="211"/>
        <v>3411</v>
      </c>
      <c r="AM77" s="441">
        <f t="shared" si="211"/>
        <v>3647</v>
      </c>
      <c r="AN77" s="443">
        <f t="shared" si="211"/>
        <v>3863</v>
      </c>
      <c r="AO77" s="442">
        <f t="shared" si="211"/>
        <v>4187</v>
      </c>
      <c r="AP77" s="442">
        <f t="shared" si="211"/>
        <v>3862</v>
      </c>
      <c r="AQ77" s="441">
        <f t="shared" si="211"/>
        <v>3549</v>
      </c>
      <c r="AR77" s="443">
        <f>(AR39-(AR20+AR21))</f>
        <v>3152</v>
      </c>
      <c r="AS77" s="442">
        <f>(AS39-(AS20+AS21))</f>
        <v>2593</v>
      </c>
      <c r="AT77" s="442">
        <f t="shared" si="211"/>
        <v>2893</v>
      </c>
      <c r="AU77" s="441">
        <f>(AU39-(AU20+AU21))</f>
        <v>3326</v>
      </c>
      <c r="AV77" s="443">
        <f>(AV39-(AV20+AV21))</f>
        <v>3844</v>
      </c>
      <c r="AW77" s="442">
        <f>(AW39-(AW20+AW21))</f>
        <v>4392</v>
      </c>
      <c r="AX77" s="442">
        <f t="shared" si="211"/>
        <v>4898</v>
      </c>
      <c r="AY77" s="441">
        <f t="shared" si="211"/>
        <v>5569</v>
      </c>
      <c r="AZ77" s="443">
        <f t="shared" ref="AZ77:BG77" si="212">(AZ39-(AZ20+AZ21))</f>
        <v>4776</v>
      </c>
      <c r="BA77" s="442">
        <f t="shared" si="212"/>
        <v>5132.6130346842729</v>
      </c>
      <c r="BB77" s="442">
        <f t="shared" si="212"/>
        <v>5313.4492269257462</v>
      </c>
      <c r="BC77" s="441">
        <f t="shared" si="212"/>
        <v>5505.7992004007356</v>
      </c>
      <c r="BD77" s="443">
        <f t="shared" si="212"/>
        <v>5564.8511162246687</v>
      </c>
      <c r="BE77" s="442">
        <f t="shared" si="212"/>
        <v>5624.5439210575387</v>
      </c>
      <c r="BF77" s="442">
        <f t="shared" si="212"/>
        <v>5675.4292577053056</v>
      </c>
      <c r="BG77" s="441">
        <f t="shared" si="212"/>
        <v>5746.5061900907531</v>
      </c>
      <c r="BH77" s="443">
        <f t="shared" ref="BH77:BK77" si="213">(BH39-(BH20+BH21))</f>
        <v>5818.2295441032766</v>
      </c>
      <c r="BI77" s="442">
        <f t="shared" si="213"/>
        <v>5898.094314340502</v>
      </c>
      <c r="BJ77" s="442">
        <f t="shared" si="213"/>
        <v>5992.1411573769001</v>
      </c>
      <c r="BK77" s="441">
        <f t="shared" si="213"/>
        <v>6087.8601990721654</v>
      </c>
      <c r="BL77" s="231"/>
      <c r="BM77" s="439">
        <f t="shared" ref="BM77:BV77" si="214">(BM39-(BM20+BM21))</f>
        <v>5877.7759999999998</v>
      </c>
      <c r="BN77" s="439">
        <f t="shared" si="214"/>
        <v>6448.0549999999994</v>
      </c>
      <c r="BO77" s="439">
        <f t="shared" si="214"/>
        <v>5885.8560000000025</v>
      </c>
      <c r="BP77" s="439">
        <f t="shared" si="214"/>
        <v>5617.26</v>
      </c>
      <c r="BQ77" s="439">
        <f t="shared" si="214"/>
        <v>5912.8660000000018</v>
      </c>
      <c r="BR77" s="439">
        <f t="shared" si="214"/>
        <v>7254</v>
      </c>
      <c r="BS77" s="439">
        <f t="shared" si="214"/>
        <v>2362</v>
      </c>
      <c r="BT77" s="439">
        <f t="shared" si="214"/>
        <v>2691</v>
      </c>
      <c r="BU77" s="439">
        <f t="shared" si="214"/>
        <v>3647</v>
      </c>
      <c r="BV77" s="439">
        <f t="shared" si="214"/>
        <v>3549</v>
      </c>
      <c r="BW77" s="439">
        <f>(BW39-(BW21+BW22))</f>
        <v>6164</v>
      </c>
      <c r="BX77" s="439">
        <f>(BX39-(BX21+BX22))</f>
        <v>8425</v>
      </c>
      <c r="BY77" s="439">
        <f>(BY39-(BY21+BY22))</f>
        <v>8367.7992004007356</v>
      </c>
      <c r="BZ77" s="440">
        <f>(BZ39-(BZ20+BZ21))</f>
        <v>5746.5061900907531</v>
      </c>
      <c r="CA77" s="440">
        <f>(CA39-(CA20+CA21))</f>
        <v>6087.8601990721654</v>
      </c>
      <c r="CB77" s="734"/>
      <c r="CC77" s="734"/>
      <c r="CD77" s="734"/>
      <c r="CK77" s="203"/>
    </row>
    <row r="78" spans="1:89" ht="14.25" customHeight="1">
      <c r="A78" s="203"/>
      <c r="B78" s="217" t="s">
        <v>157</v>
      </c>
      <c r="C78" s="216"/>
      <c r="D78" s="442">
        <f t="shared" ref="D78:AY78" si="215">D77/D75</f>
        <v>5.1236589529059513</v>
      </c>
      <c r="E78" s="442">
        <f t="shared" si="215"/>
        <v>5.1662905539824662</v>
      </c>
      <c r="F78" s="442">
        <f t="shared" si="215"/>
        <v>5.0596634487701699</v>
      </c>
      <c r="G78" s="441">
        <f t="shared" si="215"/>
        <v>3.9657574359098917</v>
      </c>
      <c r="H78" s="442">
        <f t="shared" si="215"/>
        <v>4.4020194263506252</v>
      </c>
      <c r="I78" s="442">
        <f t="shared" si="215"/>
        <v>4.3722793665682476</v>
      </c>
      <c r="J78" s="442">
        <f t="shared" si="215"/>
        <v>4.6283142324396858</v>
      </c>
      <c r="K78" s="441">
        <f t="shared" si="215"/>
        <v>4.5936558506276679</v>
      </c>
      <c r="L78" s="442">
        <f t="shared" si="215"/>
        <v>4.3981773065122427</v>
      </c>
      <c r="M78" s="442">
        <f t="shared" si="215"/>
        <v>4.4256171567463793</v>
      </c>
      <c r="N78" s="442">
        <f t="shared" si="215"/>
        <v>4.3473595616124232</v>
      </c>
      <c r="O78" s="441">
        <f t="shared" si="215"/>
        <v>4.3595962349232513</v>
      </c>
      <c r="P78" s="443">
        <f t="shared" si="215"/>
        <v>4.3769563120710355</v>
      </c>
      <c r="Q78" s="442">
        <f t="shared" si="215"/>
        <v>4.1878204950106213</v>
      </c>
      <c r="R78" s="442">
        <f t="shared" si="215"/>
        <v>4.1360601464960771</v>
      </c>
      <c r="S78" s="441">
        <f t="shared" si="215"/>
        <v>4.1680622635307349</v>
      </c>
      <c r="T78" s="442">
        <f t="shared" si="215"/>
        <v>4.0292308570082112</v>
      </c>
      <c r="U78" s="442">
        <f t="shared" si="215"/>
        <v>4.169089701841715</v>
      </c>
      <c r="V78" s="442">
        <f t="shared" si="215"/>
        <v>4.1824425715149989</v>
      </c>
      <c r="W78" s="441">
        <f t="shared" si="215"/>
        <v>4.4125865671641806</v>
      </c>
      <c r="X78" s="442">
        <f t="shared" si="215"/>
        <v>4.666666666666667</v>
      </c>
      <c r="Y78" s="442">
        <f t="shared" si="215"/>
        <v>4.9587396849212304</v>
      </c>
      <c r="Z78" s="442">
        <f t="shared" si="215"/>
        <v>5.4255639097744357</v>
      </c>
      <c r="AA78" s="441">
        <f t="shared" si="215"/>
        <v>5.4912944738834213</v>
      </c>
      <c r="AB78" s="442">
        <f t="shared" si="215"/>
        <v>2.4854961832061067</v>
      </c>
      <c r="AC78" s="442">
        <f t="shared" si="215"/>
        <v>2.536510376633359</v>
      </c>
      <c r="AD78" s="442">
        <f t="shared" si="215"/>
        <v>2.3580441640378549</v>
      </c>
      <c r="AE78" s="441">
        <f t="shared" si="215"/>
        <v>1.9141004862236628</v>
      </c>
      <c r="AF78" s="442">
        <f t="shared" si="215"/>
        <v>1.915016501650165</v>
      </c>
      <c r="AG78" s="442">
        <f t="shared" si="215"/>
        <v>1.9802793755135579</v>
      </c>
      <c r="AH78" s="442">
        <f t="shared" si="215"/>
        <v>2.0590163934426231</v>
      </c>
      <c r="AI78" s="441">
        <f t="shared" si="215"/>
        <v>2.2021276595744679</v>
      </c>
      <c r="AJ78" s="442">
        <f t="shared" si="215"/>
        <v>2.3591836734693876</v>
      </c>
      <c r="AK78" s="442">
        <f t="shared" si="215"/>
        <v>2.5736371033360457</v>
      </c>
      <c r="AL78" s="442">
        <f t="shared" si="215"/>
        <v>2.7664233576642334</v>
      </c>
      <c r="AM78" s="441">
        <f t="shared" si="215"/>
        <v>2.9506472491909386</v>
      </c>
      <c r="AN78" s="443">
        <f t="shared" si="215"/>
        <v>3.1153225806451612</v>
      </c>
      <c r="AO78" s="442">
        <f t="shared" si="215"/>
        <v>3.3738920225624498</v>
      </c>
      <c r="AP78" s="442">
        <f t="shared" si="215"/>
        <v>3.1372867587327375</v>
      </c>
      <c r="AQ78" s="441">
        <f t="shared" si="215"/>
        <v>2.9823529411764707</v>
      </c>
      <c r="AR78" s="443">
        <f>AR77/AR75</f>
        <v>2.7313691507798961</v>
      </c>
      <c r="AS78" s="442">
        <f>AS77/AS75</f>
        <v>2.317247542448615</v>
      </c>
      <c r="AT78" s="442">
        <f t="shared" si="215"/>
        <v>2.6468435498627629</v>
      </c>
      <c r="AU78" s="441">
        <f>AU77/AU75</f>
        <v>3.0430009149130832</v>
      </c>
      <c r="AV78" s="443">
        <f>AV77/AV75</f>
        <v>3.529843893480257</v>
      </c>
      <c r="AW78" s="442">
        <f>AW77/AW75</f>
        <v>4.0404783808647657</v>
      </c>
      <c r="AX78" s="442">
        <f t="shared" si="215"/>
        <v>4.5226223453370267</v>
      </c>
      <c r="AY78" s="441">
        <f t="shared" si="215"/>
        <v>5.175650557620818</v>
      </c>
      <c r="AZ78" s="443">
        <f t="shared" ref="AZ78:BG78" si="216">AZ77/AZ75</f>
        <v>4.4593837535014007</v>
      </c>
      <c r="BA78" s="442">
        <f t="shared" si="216"/>
        <v>4.8148339912610441</v>
      </c>
      <c r="BB78" s="442">
        <f t="shared" si="216"/>
        <v>5.007963456103437</v>
      </c>
      <c r="BC78" s="441">
        <f t="shared" si="216"/>
        <v>5.2138250003794848</v>
      </c>
      <c r="BD78" s="443">
        <f t="shared" si="216"/>
        <v>5.2797448920537651</v>
      </c>
      <c r="BE78" s="442">
        <f t="shared" si="216"/>
        <v>5.3465246397885346</v>
      </c>
      <c r="BF78" s="442">
        <f t="shared" si="216"/>
        <v>5.4051707216241009</v>
      </c>
      <c r="BG78" s="441">
        <f t="shared" si="216"/>
        <v>5.483307433292703</v>
      </c>
      <c r="BH78" s="443">
        <f t="shared" ref="BH78:BK78" si="217">BH77/BH75</f>
        <v>5.5543957461606457</v>
      </c>
      <c r="BI78" s="442">
        <f t="shared" si="217"/>
        <v>5.6333279029040133</v>
      </c>
      <c r="BJ78" s="442">
        <f t="shared" si="217"/>
        <v>5.7258873935756327</v>
      </c>
      <c r="BK78" s="441">
        <f t="shared" si="217"/>
        <v>5.8201340335297944</v>
      </c>
      <c r="BL78" s="231"/>
      <c r="BM78" s="439">
        <f t="shared" ref="BM78:BX78" si="218">BM77/BM75</f>
        <v>3.7682181828905601</v>
      </c>
      <c r="BN78" s="439">
        <f t="shared" si="218"/>
        <v>4.583474610909116</v>
      </c>
      <c r="BO78" s="439">
        <f t="shared" si="218"/>
        <v>4.3002873686561962</v>
      </c>
      <c r="BP78" s="439">
        <f t="shared" si="218"/>
        <v>4.2061722739815881</v>
      </c>
      <c r="BQ78" s="439">
        <f t="shared" si="218"/>
        <v>4.3873665761979055</v>
      </c>
      <c r="BR78" s="439">
        <f t="shared" si="218"/>
        <v>5.4551607445008461</v>
      </c>
      <c r="BS78" s="439">
        <f t="shared" si="218"/>
        <v>1.8478388421670253</v>
      </c>
      <c r="BT78" s="439">
        <f t="shared" si="218"/>
        <v>2.2098131800451655</v>
      </c>
      <c r="BU78" s="439">
        <f t="shared" si="218"/>
        <v>2.9632338005281333</v>
      </c>
      <c r="BV78" s="439">
        <f t="shared" si="218"/>
        <v>2.8959608323133414</v>
      </c>
      <c r="BW78" s="439">
        <f t="shared" si="218"/>
        <v>5.5294909172460196</v>
      </c>
      <c r="BX78" s="439">
        <f t="shared" si="218"/>
        <v>7.7739331026528262</v>
      </c>
      <c r="BY78" s="439">
        <f>BY77/BY75</f>
        <v>7.8681703811948616</v>
      </c>
      <c r="BZ78" s="440">
        <f>BZ77/BZ75</f>
        <v>5.4676557469940565</v>
      </c>
      <c r="CA78" s="440">
        <f>CA77/CA75</f>
        <v>5.8159638873390644</v>
      </c>
      <c r="CB78" s="734"/>
      <c r="CC78" s="734"/>
      <c r="CD78" s="734"/>
      <c r="CK78" s="203"/>
    </row>
    <row r="79" spans="1:89" ht="14.25" customHeight="1">
      <c r="A79" s="203"/>
      <c r="B79" s="217" t="s">
        <v>421</v>
      </c>
      <c r="C79" s="216"/>
      <c r="D79" s="442">
        <f t="shared" ref="D79:AX79" si="219">D8+D9+D17+D18</f>
        <v>5808.1360000000004</v>
      </c>
      <c r="E79" s="442">
        <f t="shared" si="219"/>
        <v>5829.7489999999998</v>
      </c>
      <c r="F79" s="442">
        <f t="shared" si="219"/>
        <v>5157.2809999999999</v>
      </c>
      <c r="G79" s="442">
        <f t="shared" si="219"/>
        <v>3212.1989999999996</v>
      </c>
      <c r="H79" s="442">
        <f t="shared" si="219"/>
        <v>3410.7650000000003</v>
      </c>
      <c r="I79" s="442">
        <f t="shared" si="219"/>
        <v>3367.4740000000011</v>
      </c>
      <c r="J79" s="442">
        <f t="shared" si="219"/>
        <v>3757.1469999999999</v>
      </c>
      <c r="K79" s="442">
        <f t="shared" si="219"/>
        <v>3732.0040000000008</v>
      </c>
      <c r="L79" s="442">
        <f t="shared" si="219"/>
        <v>3363.3810000000003</v>
      </c>
      <c r="M79" s="442">
        <f t="shared" si="219"/>
        <v>3847.8600000000006</v>
      </c>
      <c r="N79" s="442">
        <f t="shared" si="219"/>
        <v>3724.3060000000005</v>
      </c>
      <c r="O79" s="442">
        <f t="shared" si="219"/>
        <v>3467.7240000000002</v>
      </c>
      <c r="P79" s="442">
        <f t="shared" si="219"/>
        <v>3128.3890000000001</v>
      </c>
      <c r="Q79" s="442">
        <f t="shared" si="219"/>
        <v>3065.07</v>
      </c>
      <c r="R79" s="442">
        <f t="shared" si="219"/>
        <v>3128.8249999999998</v>
      </c>
      <c r="S79" s="442">
        <f t="shared" si="219"/>
        <v>3266.8950000000004</v>
      </c>
      <c r="T79" s="442">
        <f t="shared" si="219"/>
        <v>3200.2920000000004</v>
      </c>
      <c r="U79" s="442">
        <f t="shared" si="219"/>
        <v>3565.076</v>
      </c>
      <c r="V79" s="442">
        <f t="shared" si="219"/>
        <v>3627.6509999999998</v>
      </c>
      <c r="W79" s="442">
        <f t="shared" si="219"/>
        <v>3891.8649999999998</v>
      </c>
      <c r="X79" s="442">
        <f t="shared" si="219"/>
        <v>4097</v>
      </c>
      <c r="Y79" s="442">
        <f t="shared" si="219"/>
        <v>4577</v>
      </c>
      <c r="Z79" s="442">
        <f t="shared" si="219"/>
        <v>6809</v>
      </c>
      <c r="AA79" s="442">
        <f t="shared" si="219"/>
        <v>7174</v>
      </c>
      <c r="AB79" s="442">
        <f t="shared" si="219"/>
        <v>2952</v>
      </c>
      <c r="AC79" s="442">
        <f t="shared" si="219"/>
        <v>3241</v>
      </c>
      <c r="AD79" s="442">
        <f t="shared" si="219"/>
        <v>3222</v>
      </c>
      <c r="AE79" s="442">
        <f t="shared" si="219"/>
        <v>2992</v>
      </c>
      <c r="AF79" s="442">
        <f t="shared" si="219"/>
        <v>2815</v>
      </c>
      <c r="AG79" s="442">
        <f t="shared" si="219"/>
        <v>2850</v>
      </c>
      <c r="AH79" s="442">
        <f t="shared" si="219"/>
        <v>3030</v>
      </c>
      <c r="AI79" s="442">
        <f t="shared" si="219"/>
        <v>2896</v>
      </c>
      <c r="AJ79" s="442">
        <f t="shared" si="219"/>
        <v>3122</v>
      </c>
      <c r="AK79" s="442">
        <f t="shared" si="219"/>
        <v>3435</v>
      </c>
      <c r="AL79" s="442">
        <f t="shared" si="219"/>
        <v>3828</v>
      </c>
      <c r="AM79" s="442">
        <f t="shared" si="219"/>
        <v>4097</v>
      </c>
      <c r="AN79" s="442">
        <f t="shared" si="219"/>
        <v>4017</v>
      </c>
      <c r="AO79" s="442">
        <f t="shared" si="219"/>
        <v>4166</v>
      </c>
      <c r="AP79" s="442">
        <f t="shared" si="219"/>
        <v>3701</v>
      </c>
      <c r="AQ79" s="441">
        <f t="shared" si="219"/>
        <v>5911</v>
      </c>
      <c r="AR79" s="442">
        <f>AR8+AR9+AR17+AR18</f>
        <v>4112</v>
      </c>
      <c r="AS79" s="442">
        <f>AS8+AS9+AS17+AS18</f>
        <v>3574</v>
      </c>
      <c r="AT79" s="442">
        <f t="shared" si="219"/>
        <v>4226</v>
      </c>
      <c r="AU79" s="441">
        <f>AU8+AU9+AU17+AU18</f>
        <v>4678</v>
      </c>
      <c r="AV79" s="442">
        <f>AV8+AV9+AV17+AV18</f>
        <v>5056</v>
      </c>
      <c r="AW79" s="442">
        <f>AW8+AW9+AW17+AW18</f>
        <v>7705</v>
      </c>
      <c r="AX79" s="442">
        <f t="shared" si="219"/>
        <v>8290</v>
      </c>
      <c r="AY79" s="441">
        <f t="shared" ref="AY79:BG79" si="220">AY8+AY9+AY17+AY18</f>
        <v>8419</v>
      </c>
      <c r="AZ79" s="443">
        <f t="shared" si="220"/>
        <v>8657</v>
      </c>
      <c r="BA79" s="442">
        <f t="shared" si="220"/>
        <v>7808.2725488823908</v>
      </c>
      <c r="BB79" s="442">
        <f t="shared" si="220"/>
        <v>8011.4818115431226</v>
      </c>
      <c r="BC79" s="441">
        <f t="shared" si="220"/>
        <v>8100.9333549875992</v>
      </c>
      <c r="BD79" s="443">
        <f t="shared" si="220"/>
        <v>8212.955038450069</v>
      </c>
      <c r="BE79" s="442">
        <f t="shared" si="220"/>
        <v>8179.0668106489438</v>
      </c>
      <c r="BF79" s="442">
        <f t="shared" si="220"/>
        <v>8147.6930991123336</v>
      </c>
      <c r="BG79" s="441">
        <f t="shared" si="220"/>
        <v>8116.6835916909658</v>
      </c>
      <c r="BH79" s="443">
        <f t="shared" ref="BH79:BK79" si="221">BH8+BH9+BH17+BH18</f>
        <v>8177.6984614245566</v>
      </c>
      <c r="BI79" s="442">
        <f t="shared" si="221"/>
        <v>8187.9775238358379</v>
      </c>
      <c r="BJ79" s="442">
        <f t="shared" si="221"/>
        <v>8210.9880129270095</v>
      </c>
      <c r="BK79" s="441">
        <f t="shared" si="221"/>
        <v>8279.4804271332359</v>
      </c>
      <c r="BL79" s="231"/>
      <c r="BM79" s="439">
        <f>BM8+BM9+BM17</f>
        <v>1897.3379999999995</v>
      </c>
      <c r="BN79" s="439">
        <f>BN8+BN9+BN17</f>
        <v>2369.5790000000006</v>
      </c>
      <c r="BO79" s="439">
        <f>BO8+BO9+BO17</f>
        <v>2100.6680000000001</v>
      </c>
      <c r="BP79" s="439">
        <f t="shared" ref="BP79:BW79" si="222">BP8+BP9+BP17+BP18</f>
        <v>3266.8950000000004</v>
      </c>
      <c r="BQ79" s="439">
        <f t="shared" si="222"/>
        <v>3891.8649999999998</v>
      </c>
      <c r="BR79" s="439">
        <f t="shared" si="222"/>
        <v>7174</v>
      </c>
      <c r="BS79" s="439">
        <f t="shared" si="222"/>
        <v>2992</v>
      </c>
      <c r="BT79" s="439">
        <f t="shared" si="222"/>
        <v>2896</v>
      </c>
      <c r="BU79" s="439">
        <f t="shared" si="222"/>
        <v>4097</v>
      </c>
      <c r="BV79" s="439">
        <f t="shared" si="222"/>
        <v>5911</v>
      </c>
      <c r="BW79" s="439">
        <f t="shared" si="222"/>
        <v>4678</v>
      </c>
      <c r="BX79" s="439">
        <f>BX8+BX9+BX17+BX18</f>
        <v>8419</v>
      </c>
      <c r="BY79" s="439">
        <f>BY8+BY9+BY17+BY18</f>
        <v>8100.9333549875992</v>
      </c>
      <c r="BZ79" s="440">
        <f>BZ8+BZ9+BZ17+BZ18</f>
        <v>8116.6835916909658</v>
      </c>
      <c r="CA79" s="440">
        <f>CA8+CA9+CA17+CA18</f>
        <v>8279.4804271332359</v>
      </c>
      <c r="CB79" s="734"/>
      <c r="CC79" s="734"/>
      <c r="CD79" s="734"/>
      <c r="CK79" s="203"/>
    </row>
    <row r="80" spans="1:89" ht="14.25" customHeight="1">
      <c r="A80" s="203"/>
      <c r="B80" s="217" t="s">
        <v>379</v>
      </c>
      <c r="C80" s="216"/>
      <c r="D80" s="442">
        <f t="shared" ref="D80:AY80" si="223">D79/D75</f>
        <v>3.6116542767688644</v>
      </c>
      <c r="E80" s="442">
        <f t="shared" si="223"/>
        <v>3.6748199071611012</v>
      </c>
      <c r="F80" s="442">
        <f t="shared" si="223"/>
        <v>3.3004169293140024</v>
      </c>
      <c r="G80" s="441">
        <f t="shared" si="223"/>
        <v>2.1672826711790849</v>
      </c>
      <c r="H80" s="442">
        <f t="shared" si="223"/>
        <v>2.4206750252304099</v>
      </c>
      <c r="I80" s="442">
        <f t="shared" si="223"/>
        <v>2.3929380247361003</v>
      </c>
      <c r="J80" s="442">
        <f t="shared" si="223"/>
        <v>2.669823856788776</v>
      </c>
      <c r="K80" s="441">
        <f t="shared" si="223"/>
        <v>2.6587152264001883</v>
      </c>
      <c r="L80" s="442">
        <f t="shared" si="223"/>
        <v>2.4303887747979243</v>
      </c>
      <c r="M80" s="442">
        <f t="shared" si="223"/>
        <v>2.8018792497564289</v>
      </c>
      <c r="N80" s="442">
        <f t="shared" si="223"/>
        <v>2.7233278027899388</v>
      </c>
      <c r="O80" s="441">
        <f t="shared" si="223"/>
        <v>2.5685094052849733</v>
      </c>
      <c r="P80" s="443">
        <f t="shared" si="223"/>
        <v>2.3535471474688596</v>
      </c>
      <c r="Q80" s="442">
        <f t="shared" si="223"/>
        <v>2.3015718663481834</v>
      </c>
      <c r="R80" s="442">
        <f t="shared" si="223"/>
        <v>2.3467161387197568</v>
      </c>
      <c r="S80" s="441">
        <f t="shared" si="223"/>
        <v>2.4240682767785793</v>
      </c>
      <c r="T80" s="442">
        <f t="shared" si="223"/>
        <v>2.3713472543415781</v>
      </c>
      <c r="U80" s="442">
        <f t="shared" si="223"/>
        <v>2.6360404484944207</v>
      </c>
      <c r="V80" s="442">
        <f t="shared" si="223"/>
        <v>2.6895236386498298</v>
      </c>
      <c r="W80" s="441">
        <f t="shared" si="223"/>
        <v>2.9043768656716415</v>
      </c>
      <c r="X80" s="442">
        <f t="shared" si="223"/>
        <v>3.0689138576779027</v>
      </c>
      <c r="Y80" s="442">
        <f t="shared" si="223"/>
        <v>3.4336084021005253</v>
      </c>
      <c r="Z80" s="442">
        <f t="shared" si="223"/>
        <v>5.1195488721804514</v>
      </c>
      <c r="AA80" s="441">
        <f t="shared" si="223"/>
        <v>5.4307342922028763</v>
      </c>
      <c r="AB80" s="442">
        <f t="shared" si="223"/>
        <v>2.2534351145038167</v>
      </c>
      <c r="AC80" s="442">
        <f t="shared" si="223"/>
        <v>2.4911606456571866</v>
      </c>
      <c r="AD80" s="442">
        <f t="shared" si="223"/>
        <v>2.5410094637223977</v>
      </c>
      <c r="AE80" s="441">
        <f t="shared" si="223"/>
        <v>2.4246353322528362</v>
      </c>
      <c r="AF80" s="442">
        <f t="shared" si="223"/>
        <v>2.3226072607260728</v>
      </c>
      <c r="AG80" s="442">
        <f t="shared" si="223"/>
        <v>2.3418241577649961</v>
      </c>
      <c r="AH80" s="442">
        <f t="shared" si="223"/>
        <v>2.4836065573770494</v>
      </c>
      <c r="AI80" s="441">
        <f t="shared" si="223"/>
        <v>2.3698854337152211</v>
      </c>
      <c r="AJ80" s="442">
        <f t="shared" si="223"/>
        <v>2.5485714285714285</v>
      </c>
      <c r="AK80" s="442">
        <f t="shared" si="223"/>
        <v>2.7949552481692432</v>
      </c>
      <c r="AL80" s="442">
        <f t="shared" si="223"/>
        <v>3.1046228710462289</v>
      </c>
      <c r="AM80" s="441">
        <f t="shared" si="223"/>
        <v>3.3147249190938513</v>
      </c>
      <c r="AN80" s="443">
        <f t="shared" si="223"/>
        <v>3.2395161290322583</v>
      </c>
      <c r="AO80" s="442">
        <f t="shared" si="223"/>
        <v>3.3569701853344078</v>
      </c>
      <c r="AP80" s="442">
        <f t="shared" si="223"/>
        <v>3.0064987814784727</v>
      </c>
      <c r="AQ80" s="441">
        <f t="shared" si="223"/>
        <v>4.9672268907563026</v>
      </c>
      <c r="AR80" s="443">
        <f>AR79/AR75</f>
        <v>3.563258232235702</v>
      </c>
      <c r="AS80" s="442">
        <f>AS79/AS75</f>
        <v>3.1939231456657731</v>
      </c>
      <c r="AT80" s="442">
        <f t="shared" si="223"/>
        <v>3.8664226898444647</v>
      </c>
      <c r="AU80" s="441">
        <f>AU79/AU75</f>
        <v>4.2799634034766694</v>
      </c>
      <c r="AV80" s="443">
        <f>AV79/AV75</f>
        <v>4.6427915518824614</v>
      </c>
      <c r="AW80" s="442">
        <f>AW79/AW75</f>
        <v>7.0883164673413059</v>
      </c>
      <c r="AX80" s="442">
        <f t="shared" si="223"/>
        <v>7.6546629732225302</v>
      </c>
      <c r="AY80" s="441">
        <f t="shared" si="223"/>
        <v>7.824349442379182</v>
      </c>
      <c r="AZ80" s="443">
        <f t="shared" ref="AZ80:BG80" si="224">AZ79/AZ75</f>
        <v>8.0830999066293181</v>
      </c>
      <c r="BA80" s="442">
        <f t="shared" si="224"/>
        <v>7.3248335355369516</v>
      </c>
      <c r="BB80" s="442">
        <f t="shared" si="224"/>
        <v>7.5508782389661855</v>
      </c>
      <c r="BC80" s="441">
        <f t="shared" si="224"/>
        <v>7.6713384043443176</v>
      </c>
      <c r="BD80" s="443">
        <f t="shared" si="224"/>
        <v>7.7921774558349801</v>
      </c>
      <c r="BE80" s="442">
        <f t="shared" si="224"/>
        <v>7.774778337118768</v>
      </c>
      <c r="BF80" s="442">
        <f t="shared" si="224"/>
        <v>7.7597077134403181</v>
      </c>
      <c r="BG80" s="441">
        <f t="shared" si="224"/>
        <v>7.7449270913081731</v>
      </c>
      <c r="BH80" s="443">
        <f t="shared" ref="BH80:BK80" si="225">BH79/BH75</f>
        <v>7.806872039546116</v>
      </c>
      <c r="BI80" s="442">
        <f t="shared" si="225"/>
        <v>7.8204178833198066</v>
      </c>
      <c r="BJ80" s="442">
        <f t="shared" si="225"/>
        <v>7.8461423917123838</v>
      </c>
      <c r="BK80" s="441">
        <f t="shared" si="225"/>
        <v>7.9153732572975484</v>
      </c>
      <c r="BL80" s="231"/>
      <c r="BM80" s="439">
        <f t="shared" ref="BM80:BW80" si="226">BM79/BM75</f>
        <v>1.2163756411760516</v>
      </c>
      <c r="BN80" s="439">
        <f t="shared" si="226"/>
        <v>1.6843691911814362</v>
      </c>
      <c r="BO80" s="439">
        <f t="shared" si="226"/>
        <v>1.5347769408800134</v>
      </c>
      <c r="BP80" s="439">
        <f t="shared" si="226"/>
        <v>2.446232357236283</v>
      </c>
      <c r="BQ80" s="439">
        <f t="shared" si="226"/>
        <v>2.8877769968192171</v>
      </c>
      <c r="BR80" s="439">
        <f t="shared" si="226"/>
        <v>5.3949990599736797</v>
      </c>
      <c r="BS80" s="439">
        <f t="shared" si="226"/>
        <v>2.3407001760219051</v>
      </c>
      <c r="BT80" s="439">
        <f t="shared" si="226"/>
        <v>2.3781564360500922</v>
      </c>
      <c r="BU80" s="439">
        <f t="shared" si="226"/>
        <v>3.3288645135080235</v>
      </c>
      <c r="BV80" s="439">
        <f t="shared" si="226"/>
        <v>4.8233374133006937</v>
      </c>
      <c r="BW80" s="439">
        <f t="shared" si="226"/>
        <v>4.1964566046198701</v>
      </c>
      <c r="BX80" s="439">
        <f>BX79/BX75</f>
        <v>7.7683967704728953</v>
      </c>
      <c r="BY80" s="439">
        <f>BY79/BY75</f>
        <v>7.6172386976846251</v>
      </c>
      <c r="BZ80" s="440">
        <f>BZ79/BZ75</f>
        <v>7.7228197827697107</v>
      </c>
      <c r="CA80" s="440">
        <f>CA79/CA75</f>
        <v>7.9097018649469657</v>
      </c>
      <c r="CB80" s="734"/>
      <c r="CC80" s="734"/>
      <c r="CD80" s="734"/>
      <c r="CK80" s="203"/>
    </row>
    <row r="81" spans="1:89" ht="14.25" customHeight="1">
      <c r="A81" s="203"/>
      <c r="B81" s="217" t="s">
        <v>378</v>
      </c>
      <c r="C81" s="216"/>
      <c r="D81" s="442">
        <f t="shared" ref="D81:AX81" si="227">(D79-D30-D33-D35)/D75</f>
        <v>3.3567382700158257</v>
      </c>
      <c r="E81" s="442">
        <f t="shared" si="227"/>
        <v>3.4167223481534337</v>
      </c>
      <c r="F81" s="442">
        <f t="shared" si="227"/>
        <v>3.0383434179244406</v>
      </c>
      <c r="G81" s="441">
        <f t="shared" si="227"/>
        <v>1.8925142969721993</v>
      </c>
      <c r="H81" s="442">
        <f t="shared" si="227"/>
        <v>2.1316693801481037</v>
      </c>
      <c r="I81" s="442">
        <f t="shared" si="227"/>
        <v>2.103810610017375</v>
      </c>
      <c r="J81" s="442">
        <f t="shared" si="227"/>
        <v>2.3806940275598611</v>
      </c>
      <c r="K81" s="441">
        <f t="shared" si="227"/>
        <v>2.512783832863025</v>
      </c>
      <c r="L81" s="442">
        <f t="shared" si="227"/>
        <v>2.2821467953285173</v>
      </c>
      <c r="M81" s="442">
        <f t="shared" si="227"/>
        <v>2.6527880732301576</v>
      </c>
      <c r="N81" s="442">
        <f t="shared" si="227"/>
        <v>2.5749559250546779</v>
      </c>
      <c r="O81" s="441">
        <f t="shared" si="227"/>
        <v>2.4184129674125909</v>
      </c>
      <c r="P81" s="443">
        <f t="shared" si="227"/>
        <v>2.200710490263861</v>
      </c>
      <c r="Q81" s="442">
        <f t="shared" si="227"/>
        <v>2.1496483143342227</v>
      </c>
      <c r="R81" s="442">
        <f t="shared" si="227"/>
        <v>2.1949075886649294</v>
      </c>
      <c r="S81" s="441">
        <f t="shared" si="227"/>
        <v>2.2742609396367568</v>
      </c>
      <c r="T81" s="442">
        <f t="shared" si="227"/>
        <v>2.2135581264212894</v>
      </c>
      <c r="U81" s="442">
        <f t="shared" si="227"/>
        <v>2.4832420905684263</v>
      </c>
      <c r="V81" s="442">
        <f t="shared" si="227"/>
        <v>2.5365841543051344</v>
      </c>
      <c r="W81" s="441">
        <f t="shared" si="227"/>
        <v>2.7509970149253729</v>
      </c>
      <c r="X81" s="442">
        <f t="shared" si="227"/>
        <v>2.9153558052434456</v>
      </c>
      <c r="Y81" s="442">
        <f t="shared" si="227"/>
        <v>3.279819954988747</v>
      </c>
      <c r="Z81" s="442">
        <f t="shared" si="227"/>
        <v>3.6556390977443609</v>
      </c>
      <c r="AA81" s="441">
        <f t="shared" si="227"/>
        <v>3.9568508705526115</v>
      </c>
      <c r="AB81" s="442">
        <f t="shared" si="227"/>
        <v>0.7656488549618321</v>
      </c>
      <c r="AC81" s="442">
        <f t="shared" si="227"/>
        <v>0.99461952344350502</v>
      </c>
      <c r="AD81" s="442">
        <f t="shared" si="227"/>
        <v>1.0063091482649842</v>
      </c>
      <c r="AE81" s="441">
        <f t="shared" si="227"/>
        <v>0.57131280388978933</v>
      </c>
      <c r="AF81" s="442">
        <f t="shared" si="227"/>
        <v>0.46864686468646866</v>
      </c>
      <c r="AG81" s="442">
        <f t="shared" si="227"/>
        <v>0.49712407559572719</v>
      </c>
      <c r="AH81" s="442">
        <f t="shared" si="227"/>
        <v>0.64344262295081966</v>
      </c>
      <c r="AI81" s="441">
        <f t="shared" si="227"/>
        <v>0.77741407528641571</v>
      </c>
      <c r="AJ81" s="442">
        <f t="shared" si="227"/>
        <v>0.96</v>
      </c>
      <c r="AK81" s="442">
        <f t="shared" si="227"/>
        <v>1.210740439381611</v>
      </c>
      <c r="AL81" s="442">
        <f t="shared" si="227"/>
        <v>1.5255474452554745</v>
      </c>
      <c r="AM81" s="441">
        <f t="shared" si="227"/>
        <v>1.7394822006472492</v>
      </c>
      <c r="AN81" s="444">
        <f t="shared" si="227"/>
        <v>1.6693548387096775</v>
      </c>
      <c r="AO81" s="442">
        <f t="shared" si="227"/>
        <v>1.7880741337630943</v>
      </c>
      <c r="AP81" s="442">
        <f t="shared" si="227"/>
        <v>1.7497969130787978</v>
      </c>
      <c r="AQ81" s="441">
        <f t="shared" si="227"/>
        <v>1.1504201680672268</v>
      </c>
      <c r="AR81" s="444">
        <f>(AR79-AR30-AR33-AR35)/AR75</f>
        <v>0.66637781629116122</v>
      </c>
      <c r="AS81" s="442">
        <f>(AS79-AS30-AS33-AS35)/AS75</f>
        <v>0.2064343163538874</v>
      </c>
      <c r="AT81" s="442">
        <f t="shared" si="227"/>
        <v>0.80786825251601102</v>
      </c>
      <c r="AU81" s="441">
        <f>(AU79-AU30-AU33-AU35)/AU75</f>
        <v>1.2214089661482159</v>
      </c>
      <c r="AV81" s="444">
        <f>(AV79-AV30-AV33-AV35)/AV75</f>
        <v>1.7731864095500458</v>
      </c>
      <c r="AW81" s="442">
        <f>(AW79-AW30-AW33-AW35)/AW75</f>
        <v>2.2106715731370743</v>
      </c>
      <c r="AX81" s="442">
        <f t="shared" si="227"/>
        <v>2.7580794090489382</v>
      </c>
      <c r="AY81" s="663">
        <f t="shared" ref="AY81:BG81" si="228">(AY79-AY30-AY33-AY35)/AY75</f>
        <v>2.8949814126394053</v>
      </c>
      <c r="AZ81" s="443">
        <f t="shared" si="228"/>
        <v>2.0485527544351072</v>
      </c>
      <c r="BA81" s="442">
        <f t="shared" si="228"/>
        <v>1.2619817531729745</v>
      </c>
      <c r="BB81" s="442">
        <f t="shared" si="228"/>
        <v>1.4594550532922927</v>
      </c>
      <c r="BC81" s="663">
        <f t="shared" si="228"/>
        <v>1.551073252829166</v>
      </c>
      <c r="BD81" s="443">
        <f t="shared" si="228"/>
        <v>1.6602988979602173</v>
      </c>
      <c r="BE81" s="442">
        <f t="shared" si="228"/>
        <v>1.6312422154457642</v>
      </c>
      <c r="BF81" s="442">
        <f t="shared" si="228"/>
        <v>1.6044696182022224</v>
      </c>
      <c r="BG81" s="663">
        <f t="shared" si="228"/>
        <v>1.577942358483746</v>
      </c>
      <c r="BH81" s="443">
        <f t="shared" ref="BH81:BK81" si="229">(BH79-BH30-BH33-BH35)/BH75</f>
        <v>1.6369436385914622</v>
      </c>
      <c r="BI81" s="442">
        <f t="shared" si="229"/>
        <v>1.6475430027085367</v>
      </c>
      <c r="BJ81" s="442">
        <f t="shared" si="229"/>
        <v>1.6703182158882079</v>
      </c>
      <c r="BK81" s="663">
        <f t="shared" si="229"/>
        <v>1.7365969666665735</v>
      </c>
      <c r="BL81" s="231"/>
      <c r="BM81" s="439">
        <f t="shared" ref="BM81:BX81" si="230">(BM79-BM30-BM33-BM35)/BM75</f>
        <v>0.95529381746332398</v>
      </c>
      <c r="BN81" s="439">
        <f t="shared" si="230"/>
        <v>1.538761235565697</v>
      </c>
      <c r="BO81" s="439">
        <f t="shared" si="230"/>
        <v>1.3867224465916776</v>
      </c>
      <c r="BP81" s="439">
        <f t="shared" si="230"/>
        <v>2.295055280675248</v>
      </c>
      <c r="BQ81" s="439">
        <f t="shared" si="230"/>
        <v>2.7352737834808156</v>
      </c>
      <c r="BR81" s="439">
        <f t="shared" si="230"/>
        <v>3.9308140627937584</v>
      </c>
      <c r="BS81" s="439">
        <f t="shared" si="230"/>
        <v>0.55153530217093683</v>
      </c>
      <c r="BT81" s="439">
        <f t="shared" si="230"/>
        <v>0.78012728392527197</v>
      </c>
      <c r="BU81" s="439">
        <f t="shared" si="230"/>
        <v>1.7469022953483648</v>
      </c>
      <c r="BV81" s="439">
        <f t="shared" si="230"/>
        <v>1.117095063239494</v>
      </c>
      <c r="BW81" s="439">
        <f t="shared" si="230"/>
        <v>1.1975779322718099</v>
      </c>
      <c r="BX81" s="439">
        <f t="shared" si="230"/>
        <v>2.8742791234140714</v>
      </c>
      <c r="BY81" s="439">
        <f>(BY79-BY30-BY33-BY35)/BY75</f>
        <v>1.5401347954749405</v>
      </c>
      <c r="BZ81" s="440">
        <f>(BZ79-BZ30-BZ33-BZ35)/BZ75</f>
        <v>1.5734382413805574</v>
      </c>
      <c r="CA81" s="440">
        <f>(CA79-CA30-CA33-CA35)/CA75</f>
        <v>1.7353526889259479</v>
      </c>
      <c r="CB81" s="734"/>
      <c r="CC81" s="734"/>
      <c r="CD81" s="734"/>
      <c r="CK81" s="203"/>
    </row>
    <row r="82" spans="1:89" ht="14.25" customHeight="1">
      <c r="A82" s="203"/>
      <c r="B82" s="438" t="s">
        <v>158</v>
      </c>
      <c r="C82" s="437"/>
      <c r="D82" s="435">
        <f t="shared" ref="D82:AY82" si="231">D14-D31</f>
        <v>7662.8920000000007</v>
      </c>
      <c r="E82" s="435">
        <f t="shared" si="231"/>
        <v>5148.094000000001</v>
      </c>
      <c r="F82" s="435">
        <f t="shared" si="231"/>
        <v>4975.8719999999994</v>
      </c>
      <c r="G82" s="434">
        <f t="shared" si="231"/>
        <v>3644.9739999999993</v>
      </c>
      <c r="H82" s="435">
        <f t="shared" si="231"/>
        <v>3961.3890000000006</v>
      </c>
      <c r="I82" s="435">
        <f t="shared" si="231"/>
        <v>3900.9380000000019</v>
      </c>
      <c r="J82" s="435">
        <f t="shared" si="231"/>
        <v>4262.6719999999996</v>
      </c>
      <c r="K82" s="434">
        <f t="shared" si="231"/>
        <v>4232.2010000000009</v>
      </c>
      <c r="L82" s="435">
        <f t="shared" si="231"/>
        <v>3838.3360000000007</v>
      </c>
      <c r="M82" s="435">
        <f t="shared" si="231"/>
        <v>3899.5130000000004</v>
      </c>
      <c r="N82" s="435">
        <f t="shared" si="231"/>
        <v>3712.4990000000007</v>
      </c>
      <c r="O82" s="434">
        <f t="shared" si="231"/>
        <v>3718.6049999999996</v>
      </c>
      <c r="P82" s="436">
        <f t="shared" si="231"/>
        <v>3749.9370000000008</v>
      </c>
      <c r="Q82" s="435">
        <f t="shared" si="231"/>
        <v>3781.9730000000004</v>
      </c>
      <c r="R82" s="435">
        <f t="shared" si="231"/>
        <v>3725.8089999999997</v>
      </c>
      <c r="S82" s="434">
        <f t="shared" si="231"/>
        <v>3749.4900000000007</v>
      </c>
      <c r="T82" s="435">
        <f t="shared" si="231"/>
        <v>3571.3150000000001</v>
      </c>
      <c r="U82" s="435">
        <f t="shared" si="231"/>
        <v>3597.4740000000002</v>
      </c>
      <c r="V82" s="435">
        <f t="shared" si="231"/>
        <v>3662.2760000000007</v>
      </c>
      <c r="W82" s="434">
        <f t="shared" si="231"/>
        <v>3877.4389999999999</v>
      </c>
      <c r="X82" s="435">
        <f t="shared" si="231"/>
        <v>4228</v>
      </c>
      <c r="Y82" s="435">
        <f t="shared" si="231"/>
        <v>4693</v>
      </c>
      <c r="Z82" s="435">
        <f t="shared" si="231"/>
        <v>6995</v>
      </c>
      <c r="AA82" s="434">
        <f t="shared" si="231"/>
        <v>7561</v>
      </c>
      <c r="AB82" s="435">
        <f t="shared" si="231"/>
        <v>3663</v>
      </c>
      <c r="AC82" s="435">
        <f t="shared" si="231"/>
        <v>3664</v>
      </c>
      <c r="AD82" s="435">
        <f t="shared" si="231"/>
        <v>3457</v>
      </c>
      <c r="AE82" s="434">
        <f t="shared" si="231"/>
        <v>2837</v>
      </c>
      <c r="AF82" s="435">
        <f t="shared" si="231"/>
        <v>2800</v>
      </c>
      <c r="AG82" s="435">
        <f t="shared" si="231"/>
        <v>2912</v>
      </c>
      <c r="AH82" s="435">
        <f t="shared" si="231"/>
        <v>3035</v>
      </c>
      <c r="AI82" s="434">
        <f t="shared" si="231"/>
        <v>3199</v>
      </c>
      <c r="AJ82" s="435">
        <f t="shared" si="231"/>
        <v>3537</v>
      </c>
      <c r="AK82" s="435">
        <f t="shared" si="231"/>
        <v>3739</v>
      </c>
      <c r="AL82" s="435">
        <f t="shared" si="231"/>
        <v>3885</v>
      </c>
      <c r="AM82" s="434">
        <f t="shared" si="231"/>
        <v>4144</v>
      </c>
      <c r="AN82" s="436">
        <f t="shared" si="231"/>
        <v>4412</v>
      </c>
      <c r="AO82" s="435">
        <f t="shared" si="231"/>
        <v>4751</v>
      </c>
      <c r="AP82" s="435">
        <f t="shared" si="231"/>
        <v>4023</v>
      </c>
      <c r="AQ82" s="434">
        <f t="shared" si="231"/>
        <v>5463</v>
      </c>
      <c r="AR82" s="436">
        <f>AR14-AR31</f>
        <v>4603</v>
      </c>
      <c r="AS82" s="435">
        <f>AS14-AS31</f>
        <v>4117</v>
      </c>
      <c r="AT82" s="435">
        <f t="shared" si="231"/>
        <v>4435</v>
      </c>
      <c r="AU82" s="434">
        <f>AU14-AU31</f>
        <v>4721</v>
      </c>
      <c r="AV82" s="436">
        <f>AV14-AV31</f>
        <v>5286</v>
      </c>
      <c r="AW82" s="435">
        <f>AW14-AW31</f>
        <v>7921</v>
      </c>
      <c r="AX82" s="435">
        <f t="shared" si="231"/>
        <v>8360</v>
      </c>
      <c r="AY82" s="434">
        <f t="shared" si="231"/>
        <v>8803</v>
      </c>
      <c r="AZ82" s="436">
        <f t="shared" ref="AZ82:BG82" si="232">AZ14-AZ31</f>
        <v>8630</v>
      </c>
      <c r="BA82" s="435">
        <f t="shared" si="232"/>
        <v>8890.2623872056829</v>
      </c>
      <c r="BB82" s="435">
        <f t="shared" si="232"/>
        <v>8987.6865202825502</v>
      </c>
      <c r="BC82" s="434">
        <f t="shared" si="232"/>
        <v>9102.3788698217813</v>
      </c>
      <c r="BD82" s="436">
        <f t="shared" si="232"/>
        <v>9097.2961513049322</v>
      </c>
      <c r="BE82" s="435">
        <f t="shared" si="232"/>
        <v>9097.943524740127</v>
      </c>
      <c r="BF82" s="435">
        <f t="shared" si="232"/>
        <v>9095.6022001719793</v>
      </c>
      <c r="BG82" s="434">
        <f t="shared" si="232"/>
        <v>9117.6604560018022</v>
      </c>
      <c r="BH82" s="436">
        <f t="shared" ref="BH82:BK82" si="233">BH14-BH31</f>
        <v>9149.0704739339672</v>
      </c>
      <c r="BI82" s="435">
        <f t="shared" si="233"/>
        <v>9193.8602171578605</v>
      </c>
      <c r="BJ82" s="435">
        <f t="shared" si="233"/>
        <v>9257.7912884430461</v>
      </c>
      <c r="BK82" s="434">
        <f t="shared" si="233"/>
        <v>9330.3877864498118</v>
      </c>
      <c r="BL82" s="231"/>
      <c r="BM82" s="432">
        <f t="shared" ref="BM82:BX82" si="234">BM14-BM31</f>
        <v>3644.9739999999993</v>
      </c>
      <c r="BN82" s="432">
        <f t="shared" si="234"/>
        <v>4232.2010000000009</v>
      </c>
      <c r="BO82" s="432">
        <f t="shared" si="234"/>
        <v>3718.6049999999996</v>
      </c>
      <c r="BP82" s="432">
        <f t="shared" si="234"/>
        <v>3749.4900000000007</v>
      </c>
      <c r="BQ82" s="432">
        <f t="shared" si="234"/>
        <v>3877.4389999999999</v>
      </c>
      <c r="BR82" s="432">
        <f t="shared" si="234"/>
        <v>7561</v>
      </c>
      <c r="BS82" s="432">
        <f t="shared" si="234"/>
        <v>2837</v>
      </c>
      <c r="BT82" s="432">
        <f t="shared" si="234"/>
        <v>3199</v>
      </c>
      <c r="BU82" s="432">
        <f t="shared" si="234"/>
        <v>4144</v>
      </c>
      <c r="BV82" s="432">
        <f t="shared" si="234"/>
        <v>5463</v>
      </c>
      <c r="BW82" s="432">
        <f t="shared" si="234"/>
        <v>4721</v>
      </c>
      <c r="BX82" s="432">
        <f t="shared" si="234"/>
        <v>8803</v>
      </c>
      <c r="BY82" s="432">
        <f>BY14-BY31</f>
        <v>9102.3788698217813</v>
      </c>
      <c r="BZ82" s="433">
        <f>BZ14-BZ31</f>
        <v>9117.6604560018022</v>
      </c>
      <c r="CA82" s="433">
        <f>CA14-CA31</f>
        <v>9330.3877864498118</v>
      </c>
      <c r="CB82" s="734"/>
      <c r="CC82" s="734"/>
      <c r="CD82" s="734"/>
      <c r="CK82" s="203"/>
    </row>
    <row r="83" spans="1:89" ht="14.25" customHeight="1">
      <c r="A83" s="203"/>
      <c r="B83" s="204"/>
      <c r="C83" s="203"/>
      <c r="D83" s="203"/>
      <c r="E83" s="203"/>
      <c r="F83" s="203"/>
      <c r="G83" s="203"/>
      <c r="H83" s="203"/>
      <c r="I83" s="203"/>
      <c r="J83" s="203"/>
      <c r="K83" s="203"/>
      <c r="L83" s="203"/>
      <c r="M83" s="203"/>
      <c r="N83" s="203"/>
      <c r="O83" s="203"/>
      <c r="P83" s="203"/>
      <c r="Q83" s="203"/>
      <c r="R83" s="203"/>
      <c r="S83" s="203"/>
      <c r="T83" s="203"/>
      <c r="U83" s="203"/>
      <c r="V83" s="203"/>
      <c r="W83" s="203"/>
      <c r="X83" s="203"/>
      <c r="Y83" s="203"/>
      <c r="Z83" s="203"/>
      <c r="AA83" s="203"/>
      <c r="AB83" s="203"/>
      <c r="AC83" s="203"/>
      <c r="AD83" s="203"/>
      <c r="AE83" s="203"/>
      <c r="AF83" s="203"/>
      <c r="AG83" s="20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733"/>
      <c r="BE83" s="733"/>
      <c r="BF83" s="733"/>
      <c r="BG83" s="733"/>
      <c r="BH83" s="733"/>
      <c r="BI83" s="733"/>
      <c r="BJ83" s="733"/>
      <c r="BK83" s="733"/>
      <c r="BL83" s="203"/>
      <c r="BM83" s="203"/>
      <c r="BN83" s="203"/>
      <c r="BO83" s="203"/>
      <c r="BP83" s="203"/>
      <c r="BQ83" s="203"/>
      <c r="BR83" s="203"/>
      <c r="BS83" s="203"/>
      <c r="BT83" s="733"/>
      <c r="BU83" s="733"/>
      <c r="BV83" s="203"/>
      <c r="BW83" s="203"/>
      <c r="BX83" s="203"/>
      <c r="BY83" s="733"/>
      <c r="BZ83" s="203"/>
      <c r="CA83" s="733"/>
      <c r="CB83" s="734"/>
      <c r="CC83" s="734"/>
      <c r="CD83" s="734"/>
      <c r="CK83" s="203"/>
    </row>
    <row r="84" spans="1:89" ht="14.25" hidden="1" customHeight="1" outlineLevel="1">
      <c r="A84" s="203"/>
      <c r="B84" s="203"/>
      <c r="C84" s="203"/>
      <c r="D84" s="203"/>
      <c r="E84" s="203"/>
      <c r="F84" s="203"/>
      <c r="G84" s="203"/>
      <c r="H84" s="203"/>
      <c r="I84" s="203"/>
      <c r="J84" s="203"/>
      <c r="K84" s="203"/>
      <c r="L84" s="203"/>
      <c r="M84" s="203"/>
      <c r="N84" s="203"/>
      <c r="O84" s="203"/>
      <c r="P84" s="203"/>
      <c r="Q84" s="203"/>
      <c r="R84" s="203"/>
      <c r="S84" s="203"/>
      <c r="T84" s="203"/>
      <c r="U84" s="203"/>
      <c r="V84" s="203"/>
      <c r="W84" s="203"/>
      <c r="X84" s="203"/>
      <c r="Y84" s="203"/>
      <c r="Z84" s="203"/>
      <c r="AA84" s="203"/>
      <c r="AB84" s="203"/>
      <c r="AC84" s="203"/>
      <c r="AD84" s="203"/>
      <c r="AE84" s="203"/>
      <c r="AF84" s="203"/>
      <c r="AG84" s="203"/>
      <c r="AH84" s="203"/>
      <c r="AI84" s="203"/>
      <c r="AJ84" s="203"/>
      <c r="AK84" s="203"/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733"/>
      <c r="BE84" s="733"/>
      <c r="BF84" s="733"/>
      <c r="BG84" s="733"/>
      <c r="BH84" s="733"/>
      <c r="BI84" s="733"/>
      <c r="BJ84" s="733"/>
      <c r="BK84" s="733"/>
      <c r="BL84" s="203"/>
      <c r="BM84" s="203"/>
      <c r="BN84" s="203"/>
      <c r="BO84" s="203"/>
      <c r="BP84" s="203"/>
      <c r="BQ84" s="203"/>
      <c r="BR84" s="203"/>
      <c r="BS84" s="203"/>
      <c r="BT84" s="733"/>
      <c r="BU84" s="733"/>
      <c r="BV84" s="203"/>
      <c r="BW84" s="203"/>
      <c r="BX84" s="203"/>
      <c r="BY84" s="733"/>
      <c r="BZ84" s="203"/>
      <c r="CA84" s="733"/>
      <c r="CB84" s="734"/>
      <c r="CC84" s="734"/>
      <c r="CD84" s="734"/>
      <c r="CK84" s="203"/>
    </row>
    <row r="85" spans="1:89" ht="14.25" hidden="1" customHeight="1" outlineLevel="1">
      <c r="A85" s="203"/>
      <c r="B85" s="431" t="s">
        <v>147</v>
      </c>
      <c r="C85" s="203"/>
      <c r="D85" s="203"/>
      <c r="E85" s="203"/>
      <c r="F85" s="203"/>
      <c r="G85" s="203"/>
      <c r="H85" s="203"/>
      <c r="I85" s="203"/>
      <c r="J85" s="203"/>
      <c r="K85" s="203"/>
      <c r="L85" s="203"/>
      <c r="M85" s="203"/>
      <c r="N85" s="203"/>
      <c r="O85" s="203"/>
      <c r="P85" s="203"/>
      <c r="Q85" s="203"/>
      <c r="R85" s="203"/>
      <c r="S85" s="203"/>
      <c r="T85" s="203"/>
      <c r="U85" s="203"/>
      <c r="V85" s="203"/>
      <c r="W85" s="203"/>
      <c r="X85" s="203"/>
      <c r="Y85" s="203"/>
      <c r="Z85" s="203"/>
      <c r="AA85" s="203"/>
      <c r="AB85" s="203"/>
      <c r="AC85" s="203"/>
      <c r="AD85" s="203"/>
      <c r="AE85" s="203"/>
      <c r="AF85" s="427"/>
      <c r="AG85" s="427"/>
      <c r="AH85" s="427"/>
      <c r="AI85" s="427"/>
      <c r="AJ85" s="427"/>
      <c r="AK85" s="427"/>
      <c r="AL85" s="427"/>
      <c r="AM85" s="427"/>
      <c r="AN85" s="427"/>
      <c r="AO85" s="427"/>
      <c r="AP85" s="427"/>
      <c r="AQ85" s="427"/>
      <c r="AR85" s="203"/>
      <c r="AS85" s="427"/>
      <c r="AT85" s="203"/>
      <c r="AU85" s="427"/>
      <c r="AV85" s="203"/>
      <c r="AW85" s="427"/>
      <c r="AX85" s="203"/>
      <c r="AY85" s="203"/>
      <c r="AZ85" s="203"/>
      <c r="BA85" s="203"/>
      <c r="BB85" s="203"/>
      <c r="BC85" s="203"/>
      <c r="BD85" s="733"/>
      <c r="BE85" s="733"/>
      <c r="BF85" s="733"/>
      <c r="BG85" s="733"/>
      <c r="BH85" s="733"/>
      <c r="BI85" s="733"/>
      <c r="BJ85" s="733"/>
      <c r="BK85" s="733"/>
      <c r="BL85" s="203"/>
      <c r="BM85" s="203"/>
      <c r="BN85" s="203"/>
      <c r="BO85" s="203"/>
      <c r="BP85" s="203"/>
      <c r="BQ85" s="203"/>
      <c r="BR85" s="203"/>
      <c r="BS85" s="203"/>
      <c r="BT85" s="733"/>
      <c r="BU85" s="733"/>
      <c r="BV85" s="203"/>
      <c r="BW85" s="203"/>
      <c r="BX85" s="203"/>
      <c r="BY85" s="733"/>
      <c r="BZ85" s="203"/>
      <c r="CA85" s="733"/>
      <c r="CB85" s="734"/>
      <c r="CC85" s="734"/>
      <c r="CD85" s="734"/>
      <c r="CK85" s="203"/>
    </row>
    <row r="86" spans="1:89" ht="14.25" hidden="1" customHeight="1" outlineLevel="1">
      <c r="A86" s="203"/>
      <c r="B86" s="424" t="s">
        <v>148</v>
      </c>
      <c r="C86" s="203"/>
      <c r="D86" s="427">
        <f t="shared" ref="D86:AY86" si="235">D8</f>
        <v>1107.299</v>
      </c>
      <c r="E86" s="427">
        <f t="shared" si="235"/>
        <v>1376.68</v>
      </c>
      <c r="F86" s="427">
        <f t="shared" si="235"/>
        <v>1308.4569999999999</v>
      </c>
      <c r="G86" s="427">
        <f t="shared" si="235"/>
        <v>861.46299999999951</v>
      </c>
      <c r="H86" s="427">
        <f t="shared" si="235"/>
        <v>1068.615</v>
      </c>
      <c r="I86" s="427">
        <f t="shared" si="235"/>
        <v>932.04400000000112</v>
      </c>
      <c r="J86" s="427">
        <f t="shared" si="235"/>
        <v>1112.675</v>
      </c>
      <c r="K86" s="427">
        <f t="shared" si="235"/>
        <v>1202.7220000000004</v>
      </c>
      <c r="L86" s="427">
        <f t="shared" si="235"/>
        <v>1215.6490000000006</v>
      </c>
      <c r="M86" s="427">
        <f t="shared" si="235"/>
        <v>1098.2590000000007</v>
      </c>
      <c r="N86" s="427">
        <f t="shared" si="235"/>
        <v>1140.5320000000006</v>
      </c>
      <c r="O86" s="427">
        <f t="shared" si="235"/>
        <v>1411.624</v>
      </c>
      <c r="P86" s="427">
        <f t="shared" si="235"/>
        <v>1366.1960000000001</v>
      </c>
      <c r="Q86" s="427">
        <f t="shared" si="235"/>
        <v>1466.9760000000001</v>
      </c>
      <c r="R86" s="427">
        <f t="shared" si="235"/>
        <v>1555.47</v>
      </c>
      <c r="S86" s="427">
        <f t="shared" si="235"/>
        <v>1576.3810000000003</v>
      </c>
      <c r="T86" s="427">
        <f t="shared" si="235"/>
        <v>1399.0540000000003</v>
      </c>
      <c r="U86" s="427">
        <f t="shared" si="235"/>
        <v>1596.4290000000003</v>
      </c>
      <c r="V86" s="427">
        <f t="shared" si="235"/>
        <v>1564.337</v>
      </c>
      <c r="W86" s="427">
        <f t="shared" si="235"/>
        <v>1857.6639999999998</v>
      </c>
      <c r="X86" s="427">
        <f t="shared" si="235"/>
        <v>1974</v>
      </c>
      <c r="Y86" s="427">
        <f t="shared" si="235"/>
        <v>2558</v>
      </c>
      <c r="Z86" s="427">
        <f t="shared" si="235"/>
        <v>5018</v>
      </c>
      <c r="AA86" s="427">
        <f t="shared" si="235"/>
        <v>5960</v>
      </c>
      <c r="AB86" s="427">
        <f t="shared" si="235"/>
        <v>1681</v>
      </c>
      <c r="AC86" s="427">
        <f t="shared" si="235"/>
        <v>1761</v>
      </c>
      <c r="AD86" s="427">
        <f t="shared" si="235"/>
        <v>1529</v>
      </c>
      <c r="AE86" s="427">
        <f t="shared" si="235"/>
        <v>1392</v>
      </c>
      <c r="AF86" s="427">
        <f t="shared" si="235"/>
        <v>1523</v>
      </c>
      <c r="AG86" s="427">
        <f t="shared" si="235"/>
        <v>1545</v>
      </c>
      <c r="AH86" s="427">
        <f t="shared" si="235"/>
        <v>1745</v>
      </c>
      <c r="AI86" s="427">
        <f t="shared" si="235"/>
        <v>1711</v>
      </c>
      <c r="AJ86" s="427">
        <f t="shared" si="235"/>
        <v>2144</v>
      </c>
      <c r="AK86" s="427">
        <f t="shared" si="235"/>
        <v>2453</v>
      </c>
      <c r="AL86" s="427">
        <f t="shared" si="235"/>
        <v>2726</v>
      </c>
      <c r="AM86" s="427">
        <f t="shared" si="235"/>
        <v>3002</v>
      </c>
      <c r="AN86" s="427">
        <f t="shared" si="235"/>
        <v>2929</v>
      </c>
      <c r="AO86" s="427">
        <f t="shared" si="235"/>
        <v>3067</v>
      </c>
      <c r="AP86" s="427">
        <f t="shared" si="235"/>
        <v>2574</v>
      </c>
      <c r="AQ86" s="427">
        <f t="shared" si="235"/>
        <v>4797</v>
      </c>
      <c r="AR86" s="427">
        <f t="shared" si="235"/>
        <v>2962</v>
      </c>
      <c r="AS86" s="427">
        <f t="shared" si="235"/>
        <v>2470</v>
      </c>
      <c r="AT86" s="427">
        <f t="shared" si="235"/>
        <v>2828</v>
      </c>
      <c r="AU86" s="427">
        <f>AU8</f>
        <v>3406</v>
      </c>
      <c r="AV86" s="427">
        <f t="shared" ref="AV86" si="236">AV8</f>
        <v>3491</v>
      </c>
      <c r="AW86" s="427">
        <f t="shared" si="235"/>
        <v>4944</v>
      </c>
      <c r="AX86" s="427">
        <f t="shared" si="235"/>
        <v>5278</v>
      </c>
      <c r="AY86" s="427">
        <f t="shared" si="235"/>
        <v>5010</v>
      </c>
      <c r="AZ86" s="427">
        <f t="shared" ref="AZ86:BC87" si="237">AZ8</f>
        <v>6799</v>
      </c>
      <c r="BA86" s="427">
        <f t="shared" si="237"/>
        <v>5930.2725488823908</v>
      </c>
      <c r="BB86" s="427">
        <f t="shared" si="237"/>
        <v>6113.4818115431226</v>
      </c>
      <c r="BC86" s="427">
        <f t="shared" si="237"/>
        <v>6182.9333549875992</v>
      </c>
      <c r="BD86" s="427">
        <f t="shared" ref="BD86:BG86" si="238">BD8</f>
        <v>6274.955038450069</v>
      </c>
      <c r="BE86" s="427">
        <f t="shared" si="238"/>
        <v>6221.0668106489438</v>
      </c>
      <c r="BF86" s="427">
        <f t="shared" si="238"/>
        <v>6169.6930991123336</v>
      </c>
      <c r="BG86" s="427">
        <f t="shared" si="238"/>
        <v>6118.6835916909658</v>
      </c>
      <c r="BH86" s="427">
        <f t="shared" ref="BH86:BK86" si="239">BH8</f>
        <v>6159.6984614245566</v>
      </c>
      <c r="BI86" s="427">
        <f t="shared" si="239"/>
        <v>6149.9775238358379</v>
      </c>
      <c r="BJ86" s="427">
        <f t="shared" si="239"/>
        <v>6152.9880129270095</v>
      </c>
      <c r="BK86" s="427">
        <f t="shared" si="239"/>
        <v>6201.4804271332368</v>
      </c>
      <c r="BL86" s="203"/>
      <c r="BM86" s="203"/>
      <c r="BN86" s="203"/>
      <c r="BO86" s="203"/>
      <c r="BP86" s="203"/>
      <c r="BQ86" s="203"/>
      <c r="BR86" s="203"/>
      <c r="BS86" s="203"/>
      <c r="BT86" s="733"/>
      <c r="BU86" s="733"/>
      <c r="BV86" s="203"/>
      <c r="BW86" s="203"/>
      <c r="BX86" s="203"/>
      <c r="BY86" s="733"/>
      <c r="BZ86" s="203"/>
      <c r="CA86" s="733"/>
      <c r="CB86" s="734"/>
      <c r="CC86" s="734"/>
      <c r="CD86" s="734"/>
      <c r="CK86" s="203"/>
    </row>
    <row r="87" spans="1:89" ht="14.25" hidden="1" customHeight="1" outlineLevel="1">
      <c r="A87" s="203"/>
      <c r="B87" s="424" t="s">
        <v>159</v>
      </c>
      <c r="C87" s="203"/>
      <c r="D87" s="427">
        <f t="shared" ref="D87:AY87" si="240">D9</f>
        <v>4700.8370000000004</v>
      </c>
      <c r="E87" s="427">
        <f t="shared" si="240"/>
        <v>1952.097</v>
      </c>
      <c r="F87" s="427">
        <f t="shared" si="240"/>
        <v>1524.319</v>
      </c>
      <c r="G87" s="427">
        <f t="shared" si="240"/>
        <v>1035.875</v>
      </c>
      <c r="H87" s="427">
        <f t="shared" si="240"/>
        <v>1014.205</v>
      </c>
      <c r="I87" s="427">
        <f t="shared" si="240"/>
        <v>1085.749</v>
      </c>
      <c r="J87" s="427">
        <f t="shared" si="240"/>
        <v>1295.261</v>
      </c>
      <c r="K87" s="427">
        <f t="shared" si="240"/>
        <v>1166.857</v>
      </c>
      <c r="L87" s="427">
        <f t="shared" si="240"/>
        <v>689.90700000000004</v>
      </c>
      <c r="M87" s="427">
        <f t="shared" si="240"/>
        <v>1357.097</v>
      </c>
      <c r="N87" s="427">
        <f t="shared" si="240"/>
        <v>1157.143</v>
      </c>
      <c r="O87" s="427">
        <f t="shared" si="240"/>
        <v>689.04399999999998</v>
      </c>
      <c r="P87" s="427">
        <f t="shared" si="240"/>
        <v>551.19600000000003</v>
      </c>
      <c r="Q87" s="427">
        <f t="shared" si="240"/>
        <v>597.38900000000001</v>
      </c>
      <c r="R87" s="427">
        <f t="shared" si="240"/>
        <v>583.18799999999999</v>
      </c>
      <c r="S87" s="427">
        <f t="shared" si="240"/>
        <v>638.34900000000005</v>
      </c>
      <c r="T87" s="427">
        <f t="shared" si="240"/>
        <v>755.12199999999996</v>
      </c>
      <c r="U87" s="427">
        <f t="shared" si="240"/>
        <v>738.43299999999999</v>
      </c>
      <c r="V87" s="427">
        <f t="shared" si="240"/>
        <v>783.79899999999998</v>
      </c>
      <c r="W87" s="427">
        <f t="shared" si="240"/>
        <v>726.91800000000001</v>
      </c>
      <c r="X87" s="427">
        <f t="shared" si="240"/>
        <v>772</v>
      </c>
      <c r="Y87" s="427">
        <f t="shared" si="240"/>
        <v>750</v>
      </c>
      <c r="Z87" s="427">
        <f t="shared" si="240"/>
        <v>739</v>
      </c>
      <c r="AA87" s="427">
        <f t="shared" si="240"/>
        <v>283</v>
      </c>
      <c r="AB87" s="427">
        <f t="shared" si="240"/>
        <v>316</v>
      </c>
      <c r="AC87" s="427">
        <f t="shared" si="240"/>
        <v>409</v>
      </c>
      <c r="AD87" s="427">
        <f t="shared" si="240"/>
        <v>635</v>
      </c>
      <c r="AE87" s="427">
        <f t="shared" si="240"/>
        <v>545</v>
      </c>
      <c r="AF87" s="427">
        <f t="shared" si="240"/>
        <v>230</v>
      </c>
      <c r="AG87" s="427">
        <f t="shared" si="240"/>
        <v>225</v>
      </c>
      <c r="AH87" s="427">
        <f t="shared" si="240"/>
        <v>230</v>
      </c>
      <c r="AI87" s="427">
        <f t="shared" si="240"/>
        <v>180</v>
      </c>
      <c r="AJ87" s="427">
        <f t="shared" si="240"/>
        <v>145</v>
      </c>
      <c r="AK87" s="427">
        <f t="shared" si="240"/>
        <v>146</v>
      </c>
      <c r="AL87" s="427">
        <f t="shared" si="240"/>
        <v>145</v>
      </c>
      <c r="AM87" s="427">
        <f t="shared" si="240"/>
        <v>160</v>
      </c>
      <c r="AN87" s="427">
        <f t="shared" si="240"/>
        <v>158</v>
      </c>
      <c r="AO87" s="427">
        <f t="shared" si="240"/>
        <v>163</v>
      </c>
      <c r="AP87" s="427">
        <f t="shared" si="240"/>
        <v>169</v>
      </c>
      <c r="AQ87" s="427">
        <f t="shared" si="240"/>
        <v>168</v>
      </c>
      <c r="AR87" s="427">
        <f t="shared" si="240"/>
        <v>154</v>
      </c>
      <c r="AS87" s="427">
        <f t="shared" si="240"/>
        <v>170</v>
      </c>
      <c r="AT87" s="427">
        <f t="shared" si="240"/>
        <v>438</v>
      </c>
      <c r="AU87" s="427">
        <f>AU9</f>
        <v>343</v>
      </c>
      <c r="AV87" s="427">
        <f t="shared" ref="AV87" si="241">AV9</f>
        <v>656</v>
      </c>
      <c r="AW87" s="427">
        <f t="shared" si="240"/>
        <v>1800</v>
      </c>
      <c r="AX87" s="427">
        <f t="shared" si="240"/>
        <v>1953</v>
      </c>
      <c r="AY87" s="427">
        <f t="shared" si="240"/>
        <v>2266</v>
      </c>
      <c r="AZ87" s="427">
        <f t="shared" si="237"/>
        <v>655</v>
      </c>
      <c r="BA87" s="427">
        <f t="shared" si="237"/>
        <v>675</v>
      </c>
      <c r="BB87" s="427">
        <f t="shared" si="237"/>
        <v>695</v>
      </c>
      <c r="BC87" s="427">
        <f t="shared" si="237"/>
        <v>715</v>
      </c>
      <c r="BD87" s="427">
        <f t="shared" ref="BD87:BG87" si="242">BD9</f>
        <v>735</v>
      </c>
      <c r="BE87" s="427">
        <f t="shared" si="242"/>
        <v>755</v>
      </c>
      <c r="BF87" s="427">
        <f t="shared" si="242"/>
        <v>775</v>
      </c>
      <c r="BG87" s="427">
        <f t="shared" si="242"/>
        <v>795</v>
      </c>
      <c r="BH87" s="427">
        <f t="shared" ref="BH87:BK87" si="243">BH9</f>
        <v>815</v>
      </c>
      <c r="BI87" s="427">
        <f t="shared" si="243"/>
        <v>835</v>
      </c>
      <c r="BJ87" s="427">
        <f t="shared" si="243"/>
        <v>855</v>
      </c>
      <c r="BK87" s="427">
        <f t="shared" si="243"/>
        <v>875</v>
      </c>
      <c r="BL87" s="203"/>
      <c r="BM87" s="203"/>
      <c r="BN87" s="203"/>
      <c r="BO87" s="203"/>
      <c r="BP87" s="203"/>
      <c r="BQ87" s="203"/>
      <c r="BR87" s="203"/>
      <c r="BS87" s="203"/>
      <c r="BT87" s="733"/>
      <c r="BU87" s="733"/>
      <c r="BV87" s="203"/>
      <c r="BW87" s="203"/>
      <c r="BX87" s="203"/>
      <c r="BY87" s="733"/>
      <c r="BZ87" s="203"/>
      <c r="CA87" s="204"/>
      <c r="CB87" s="734"/>
      <c r="CC87" s="734"/>
      <c r="CD87" s="734"/>
      <c r="CK87" s="203"/>
    </row>
    <row r="88" spans="1:89" ht="14.25" hidden="1" customHeight="1" outlineLevel="1">
      <c r="A88" s="203"/>
      <c r="B88" s="428" t="s">
        <v>149</v>
      </c>
      <c r="C88" s="203"/>
      <c r="D88" s="427">
        <f t="shared" ref="D88:AY88" si="244">D87+D86</f>
        <v>5808.1360000000004</v>
      </c>
      <c r="E88" s="427">
        <f t="shared" si="244"/>
        <v>3328.777</v>
      </c>
      <c r="F88" s="427">
        <f t="shared" si="244"/>
        <v>2832.7759999999998</v>
      </c>
      <c r="G88" s="427">
        <f t="shared" si="244"/>
        <v>1897.3379999999995</v>
      </c>
      <c r="H88" s="427">
        <f t="shared" si="244"/>
        <v>2082.8200000000002</v>
      </c>
      <c r="I88" s="427">
        <f t="shared" si="244"/>
        <v>2017.793000000001</v>
      </c>
      <c r="J88" s="427">
        <f t="shared" si="244"/>
        <v>2407.9359999999997</v>
      </c>
      <c r="K88" s="427">
        <f t="shared" si="244"/>
        <v>2369.5790000000006</v>
      </c>
      <c r="L88" s="427">
        <f t="shared" si="244"/>
        <v>1905.5560000000005</v>
      </c>
      <c r="M88" s="427">
        <f t="shared" si="244"/>
        <v>2455.3560000000007</v>
      </c>
      <c r="N88" s="427">
        <f t="shared" si="244"/>
        <v>2297.6750000000006</v>
      </c>
      <c r="O88" s="427">
        <f t="shared" si="244"/>
        <v>2100.6680000000001</v>
      </c>
      <c r="P88" s="427">
        <f t="shared" si="244"/>
        <v>1917.3920000000003</v>
      </c>
      <c r="Q88" s="427">
        <f t="shared" si="244"/>
        <v>2064.3650000000002</v>
      </c>
      <c r="R88" s="427">
        <f t="shared" si="244"/>
        <v>2138.6579999999999</v>
      </c>
      <c r="S88" s="427">
        <f t="shared" si="244"/>
        <v>2214.7300000000005</v>
      </c>
      <c r="T88" s="427">
        <f t="shared" si="244"/>
        <v>2154.1760000000004</v>
      </c>
      <c r="U88" s="427">
        <f t="shared" si="244"/>
        <v>2334.8620000000001</v>
      </c>
      <c r="V88" s="427">
        <f t="shared" si="244"/>
        <v>2348.136</v>
      </c>
      <c r="W88" s="427">
        <f t="shared" si="244"/>
        <v>2584.5819999999999</v>
      </c>
      <c r="X88" s="427">
        <f t="shared" si="244"/>
        <v>2746</v>
      </c>
      <c r="Y88" s="427">
        <f t="shared" si="244"/>
        <v>3308</v>
      </c>
      <c r="Z88" s="427">
        <f t="shared" si="244"/>
        <v>5757</v>
      </c>
      <c r="AA88" s="427">
        <f t="shared" si="244"/>
        <v>6243</v>
      </c>
      <c r="AB88" s="427">
        <f t="shared" si="244"/>
        <v>1997</v>
      </c>
      <c r="AC88" s="427">
        <f t="shared" si="244"/>
        <v>2170</v>
      </c>
      <c r="AD88" s="427">
        <f t="shared" si="244"/>
        <v>2164</v>
      </c>
      <c r="AE88" s="427">
        <f t="shared" si="244"/>
        <v>1937</v>
      </c>
      <c r="AF88" s="427">
        <f t="shared" si="244"/>
        <v>1753</v>
      </c>
      <c r="AG88" s="427">
        <f t="shared" si="244"/>
        <v>1770</v>
      </c>
      <c r="AH88" s="427">
        <f t="shared" si="244"/>
        <v>1975</v>
      </c>
      <c r="AI88" s="427">
        <f t="shared" si="244"/>
        <v>1891</v>
      </c>
      <c r="AJ88" s="427">
        <f t="shared" si="244"/>
        <v>2289</v>
      </c>
      <c r="AK88" s="427">
        <f t="shared" si="244"/>
        <v>2599</v>
      </c>
      <c r="AL88" s="427">
        <f t="shared" si="244"/>
        <v>2871</v>
      </c>
      <c r="AM88" s="427">
        <f t="shared" si="244"/>
        <v>3162</v>
      </c>
      <c r="AN88" s="427">
        <f t="shared" si="244"/>
        <v>3087</v>
      </c>
      <c r="AO88" s="427">
        <f t="shared" si="244"/>
        <v>3230</v>
      </c>
      <c r="AP88" s="427">
        <f t="shared" si="244"/>
        <v>2743</v>
      </c>
      <c r="AQ88" s="427">
        <f t="shared" si="244"/>
        <v>4965</v>
      </c>
      <c r="AR88" s="427">
        <f t="shared" si="244"/>
        <v>3116</v>
      </c>
      <c r="AS88" s="427">
        <f t="shared" si="244"/>
        <v>2640</v>
      </c>
      <c r="AT88" s="427">
        <f t="shared" si="244"/>
        <v>3266</v>
      </c>
      <c r="AU88" s="427">
        <f>AU87+AU86</f>
        <v>3749</v>
      </c>
      <c r="AV88" s="427">
        <f t="shared" ref="AV88" si="245">AV87+AV86</f>
        <v>4147</v>
      </c>
      <c r="AW88" s="427">
        <f t="shared" si="244"/>
        <v>6744</v>
      </c>
      <c r="AX88" s="427">
        <f t="shared" si="244"/>
        <v>7231</v>
      </c>
      <c r="AY88" s="427">
        <f t="shared" si="244"/>
        <v>7276</v>
      </c>
      <c r="AZ88" s="427">
        <f t="shared" ref="AZ88:BG88" si="246">AZ87+AZ86</f>
        <v>7454</v>
      </c>
      <c r="BA88" s="427">
        <f t="shared" si="246"/>
        <v>6605.2725488823908</v>
      </c>
      <c r="BB88" s="427">
        <f t="shared" si="246"/>
        <v>6808.4818115431226</v>
      </c>
      <c r="BC88" s="427">
        <f t="shared" si="246"/>
        <v>6897.9333549875992</v>
      </c>
      <c r="BD88" s="427">
        <f t="shared" si="246"/>
        <v>7009.955038450069</v>
      </c>
      <c r="BE88" s="427">
        <f t="shared" si="246"/>
        <v>6976.0668106489438</v>
      </c>
      <c r="BF88" s="427">
        <f t="shared" si="246"/>
        <v>6944.6930991123336</v>
      </c>
      <c r="BG88" s="427">
        <f t="shared" si="246"/>
        <v>6913.6835916909658</v>
      </c>
      <c r="BH88" s="427">
        <f t="shared" ref="BH88:BK88" si="247">BH87+BH86</f>
        <v>6974.6984614245566</v>
      </c>
      <c r="BI88" s="427">
        <f t="shared" si="247"/>
        <v>6984.9775238358379</v>
      </c>
      <c r="BJ88" s="427">
        <f t="shared" si="247"/>
        <v>7007.9880129270095</v>
      </c>
      <c r="BK88" s="427">
        <f t="shared" si="247"/>
        <v>7076.4804271332368</v>
      </c>
      <c r="BL88" s="203"/>
      <c r="BM88" s="203"/>
      <c r="BN88" s="203"/>
      <c r="BO88" s="203"/>
      <c r="BP88" s="203"/>
      <c r="BQ88" s="203"/>
      <c r="BR88" s="203"/>
      <c r="BS88" s="203"/>
      <c r="BT88" s="733"/>
      <c r="BU88" s="733"/>
      <c r="BV88" s="203"/>
      <c r="BW88" s="203"/>
      <c r="BX88" s="203"/>
      <c r="BY88" s="733"/>
      <c r="BZ88" s="203"/>
      <c r="CA88" s="204"/>
      <c r="CB88" s="734"/>
      <c r="CC88" s="734"/>
      <c r="CD88" s="734"/>
      <c r="CK88" s="203"/>
    </row>
    <row r="89" spans="1:89" ht="14.25" hidden="1" customHeight="1" outlineLevel="1">
      <c r="A89" s="203"/>
      <c r="B89" s="424"/>
      <c r="C89" s="203"/>
      <c r="D89" s="427"/>
      <c r="E89" s="427"/>
      <c r="F89" s="427"/>
      <c r="G89" s="427"/>
      <c r="H89" s="427"/>
      <c r="I89" s="427"/>
      <c r="J89" s="427"/>
      <c r="K89" s="427"/>
      <c r="L89" s="427"/>
      <c r="M89" s="427"/>
      <c r="N89" s="427"/>
      <c r="O89" s="427"/>
      <c r="P89" s="427"/>
      <c r="Q89" s="427"/>
      <c r="R89" s="427"/>
      <c r="S89" s="427"/>
      <c r="T89" s="427"/>
      <c r="U89" s="427"/>
      <c r="V89" s="427"/>
      <c r="W89" s="427"/>
      <c r="X89" s="427"/>
      <c r="Y89" s="427"/>
      <c r="Z89" s="427"/>
      <c r="AA89" s="427"/>
      <c r="AB89" s="427"/>
      <c r="AC89" s="427"/>
      <c r="AD89" s="427"/>
      <c r="AE89" s="427"/>
      <c r="AF89" s="427"/>
      <c r="AG89" s="427"/>
      <c r="AH89" s="427"/>
      <c r="AI89" s="427"/>
      <c r="AJ89" s="427"/>
      <c r="AK89" s="427"/>
      <c r="AL89" s="427"/>
      <c r="AM89" s="427"/>
      <c r="AN89" s="427"/>
      <c r="AO89" s="427"/>
      <c r="AP89" s="427"/>
      <c r="AQ89" s="427"/>
      <c r="AR89" s="427"/>
      <c r="AS89" s="427"/>
      <c r="AT89" s="427"/>
      <c r="AU89" s="427"/>
      <c r="AV89" s="427"/>
      <c r="AW89" s="427"/>
      <c r="AX89" s="427"/>
      <c r="AY89" s="427"/>
      <c r="AZ89" s="427"/>
      <c r="BA89" s="427"/>
      <c r="BB89" s="427"/>
      <c r="BC89" s="427"/>
      <c r="BD89" s="427"/>
      <c r="BE89" s="427"/>
      <c r="BF89" s="427"/>
      <c r="BG89" s="427"/>
      <c r="BH89" s="427"/>
      <c r="BI89" s="427"/>
      <c r="BJ89" s="427"/>
      <c r="BK89" s="427"/>
      <c r="BL89" s="203"/>
      <c r="BM89" s="203"/>
      <c r="BN89" s="203"/>
      <c r="BO89" s="203"/>
      <c r="BP89" s="203"/>
      <c r="BQ89" s="203"/>
      <c r="BR89" s="203"/>
      <c r="BS89" s="203"/>
      <c r="BT89" s="733"/>
      <c r="BU89" s="733"/>
      <c r="BV89" s="203"/>
      <c r="BW89" s="203"/>
      <c r="BX89" s="203"/>
      <c r="BY89" s="733"/>
      <c r="BZ89" s="203"/>
      <c r="CA89" s="204"/>
      <c r="CB89" s="734"/>
      <c r="CC89" s="734"/>
      <c r="CD89" s="734"/>
      <c r="CK89" s="203"/>
    </row>
    <row r="90" spans="1:89" ht="14.25" hidden="1" customHeight="1" outlineLevel="1">
      <c r="A90" s="203"/>
      <c r="B90" s="424" t="s">
        <v>150</v>
      </c>
      <c r="C90" s="203"/>
      <c r="D90" s="427">
        <f t="shared" ref="D90:AY90" si="248">D30</f>
        <v>2.5670000000000002</v>
      </c>
      <c r="E90" s="427">
        <f t="shared" si="248"/>
        <v>2.5419999999999998</v>
      </c>
      <c r="F90" s="427">
        <f t="shared" si="248"/>
        <v>2.5499999999999998</v>
      </c>
      <c r="G90" s="427">
        <f t="shared" si="248"/>
        <v>202.535</v>
      </c>
      <c r="H90" s="427">
        <f t="shared" si="248"/>
        <v>202.52099999999999</v>
      </c>
      <c r="I90" s="427">
        <f t="shared" si="248"/>
        <v>202.535</v>
      </c>
      <c r="J90" s="427">
        <f t="shared" si="248"/>
        <v>202.52799999999999</v>
      </c>
      <c r="K90" s="427">
        <f t="shared" si="248"/>
        <v>2.5609999999999999</v>
      </c>
      <c r="L90" s="427">
        <f t="shared" si="248"/>
        <v>2.6739999999999999</v>
      </c>
      <c r="M90" s="427">
        <f t="shared" si="248"/>
        <v>2.7490000000000001</v>
      </c>
      <c r="N90" s="427">
        <f t="shared" si="248"/>
        <v>0.98099999999999998</v>
      </c>
      <c r="O90" s="427">
        <f t="shared" si="248"/>
        <v>1.0680000000000001</v>
      </c>
      <c r="P90" s="427">
        <f t="shared" si="248"/>
        <v>1.2589999999999999</v>
      </c>
      <c r="Q90" s="427">
        <f t="shared" si="248"/>
        <v>1.1559999999999999</v>
      </c>
      <c r="R90" s="427">
        <f t="shared" si="248"/>
        <v>1.2030000000000001</v>
      </c>
      <c r="S90" s="427">
        <f t="shared" si="248"/>
        <v>1.24</v>
      </c>
      <c r="T90" s="427">
        <f t="shared" si="248"/>
        <v>2.4</v>
      </c>
      <c r="U90" s="427">
        <f t="shared" si="248"/>
        <v>1.8029999999999999</v>
      </c>
      <c r="V90" s="427">
        <f t="shared" si="248"/>
        <v>1.8480000000000001</v>
      </c>
      <c r="W90" s="427">
        <f t="shared" si="248"/>
        <v>1.258</v>
      </c>
      <c r="X90" s="427">
        <f t="shared" si="248"/>
        <v>1</v>
      </c>
      <c r="Y90" s="427">
        <f t="shared" si="248"/>
        <v>1</v>
      </c>
      <c r="Z90" s="427">
        <f t="shared" si="248"/>
        <v>0</v>
      </c>
      <c r="AA90" s="427">
        <f t="shared" si="248"/>
        <v>0</v>
      </c>
      <c r="AB90" s="427">
        <f t="shared" si="248"/>
        <v>2</v>
      </c>
      <c r="AC90" s="427">
        <f t="shared" si="248"/>
        <v>1</v>
      </c>
      <c r="AD90" s="427">
        <f t="shared" si="248"/>
        <v>0</v>
      </c>
      <c r="AE90" s="427">
        <f t="shared" si="248"/>
        <v>0</v>
      </c>
      <c r="AF90" s="427">
        <f t="shared" si="248"/>
        <v>0</v>
      </c>
      <c r="AG90" s="427">
        <f t="shared" si="248"/>
        <v>0</v>
      </c>
      <c r="AH90" s="427">
        <f t="shared" si="248"/>
        <v>0</v>
      </c>
      <c r="AI90" s="427">
        <f t="shared" si="248"/>
        <v>0</v>
      </c>
      <c r="AJ90" s="427">
        <f t="shared" si="248"/>
        <v>0</v>
      </c>
      <c r="AK90" s="427">
        <f t="shared" si="248"/>
        <v>0</v>
      </c>
      <c r="AL90" s="427">
        <f t="shared" si="248"/>
        <v>0</v>
      </c>
      <c r="AM90" s="427">
        <f t="shared" si="248"/>
        <v>0</v>
      </c>
      <c r="AN90" s="427">
        <f t="shared" si="248"/>
        <v>0</v>
      </c>
      <c r="AO90" s="427">
        <f t="shared" si="248"/>
        <v>0</v>
      </c>
      <c r="AP90" s="427">
        <f t="shared" si="248"/>
        <v>0</v>
      </c>
      <c r="AQ90" s="427">
        <f t="shared" si="248"/>
        <v>1200</v>
      </c>
      <c r="AR90" s="427">
        <f t="shared" si="248"/>
        <v>0</v>
      </c>
      <c r="AS90" s="427">
        <f t="shared" si="248"/>
        <v>0</v>
      </c>
      <c r="AT90" s="427">
        <f t="shared" si="248"/>
        <v>0</v>
      </c>
      <c r="AU90" s="427">
        <f>AU30</f>
        <v>200</v>
      </c>
      <c r="AV90" s="427">
        <f t="shared" ref="AV90" si="249">AV30</f>
        <v>0</v>
      </c>
      <c r="AW90" s="427">
        <f t="shared" si="248"/>
        <v>0</v>
      </c>
      <c r="AX90" s="427">
        <f t="shared" si="248"/>
        <v>0</v>
      </c>
      <c r="AY90" s="427">
        <f t="shared" si="248"/>
        <v>0</v>
      </c>
      <c r="AZ90" s="427">
        <f t="shared" ref="AZ90:BG90" si="250">AZ30</f>
        <v>0</v>
      </c>
      <c r="BA90" s="427">
        <f t="shared" si="250"/>
        <v>0</v>
      </c>
      <c r="BB90" s="427">
        <f t="shared" si="250"/>
        <v>0</v>
      </c>
      <c r="BC90" s="427">
        <f t="shared" si="250"/>
        <v>0</v>
      </c>
      <c r="BD90" s="427">
        <f t="shared" si="250"/>
        <v>0</v>
      </c>
      <c r="BE90" s="427">
        <f t="shared" si="250"/>
        <v>0</v>
      </c>
      <c r="BF90" s="427">
        <f t="shared" si="250"/>
        <v>0</v>
      </c>
      <c r="BG90" s="427">
        <f t="shared" si="250"/>
        <v>0</v>
      </c>
      <c r="BH90" s="427">
        <f t="shared" ref="BH90:BK90" si="251">BH30</f>
        <v>0</v>
      </c>
      <c r="BI90" s="427">
        <f t="shared" si="251"/>
        <v>0</v>
      </c>
      <c r="BJ90" s="427">
        <f t="shared" si="251"/>
        <v>0</v>
      </c>
      <c r="BK90" s="427">
        <f t="shared" si="251"/>
        <v>0</v>
      </c>
      <c r="BL90" s="203"/>
      <c r="BM90" s="203"/>
      <c r="BN90" s="203"/>
      <c r="BO90" s="203"/>
      <c r="BP90" s="203"/>
      <c r="BQ90" s="203"/>
      <c r="BR90" s="203"/>
      <c r="BS90" s="203"/>
      <c r="BT90" s="733"/>
      <c r="BU90" s="733"/>
      <c r="BV90" s="203"/>
      <c r="BW90" s="203"/>
      <c r="BX90" s="203"/>
      <c r="BY90" s="733"/>
      <c r="BZ90" s="203"/>
      <c r="CA90" s="204"/>
      <c r="CB90" s="734"/>
      <c r="CC90" s="734"/>
      <c r="CD90" s="734"/>
      <c r="CK90" s="203"/>
    </row>
    <row r="91" spans="1:89" ht="14.25" hidden="1" customHeight="1" outlineLevel="1">
      <c r="A91" s="203"/>
      <c r="B91" s="424" t="s">
        <v>151</v>
      </c>
      <c r="C91" s="430"/>
      <c r="D91" s="429">
        <f t="shared" ref="D91:AY91" si="252">D33</f>
        <v>407.38</v>
      </c>
      <c r="E91" s="429">
        <f t="shared" si="252"/>
        <v>406.90499999999997</v>
      </c>
      <c r="F91" s="429">
        <f t="shared" si="252"/>
        <v>406.97</v>
      </c>
      <c r="G91" s="429">
        <f t="shared" si="252"/>
        <v>204.708</v>
      </c>
      <c r="H91" s="429">
        <f t="shared" si="252"/>
        <v>204.69200000000001</v>
      </c>
      <c r="I91" s="429">
        <f t="shared" si="252"/>
        <v>204.34100000000001</v>
      </c>
      <c r="J91" s="429">
        <f t="shared" si="252"/>
        <v>204.35400000000001</v>
      </c>
      <c r="K91" s="429">
        <f t="shared" si="252"/>
        <v>202.28100000000001</v>
      </c>
      <c r="L91" s="429">
        <f t="shared" si="252"/>
        <v>202.476</v>
      </c>
      <c r="M91" s="429">
        <f t="shared" si="252"/>
        <v>202</v>
      </c>
      <c r="N91" s="429">
        <f t="shared" si="252"/>
        <v>201.92599999999999</v>
      </c>
      <c r="O91" s="429">
        <f t="shared" si="252"/>
        <v>201.57599999999999</v>
      </c>
      <c r="P91" s="429">
        <f t="shared" si="252"/>
        <v>201.89500000000001</v>
      </c>
      <c r="Q91" s="429">
        <f t="shared" si="252"/>
        <v>201.16499999999999</v>
      </c>
      <c r="R91" s="429">
        <f t="shared" si="252"/>
        <v>201.2</v>
      </c>
      <c r="S91" s="429">
        <f t="shared" si="252"/>
        <v>200.654</v>
      </c>
      <c r="T91" s="429">
        <f t="shared" si="252"/>
        <v>210.547</v>
      </c>
      <c r="U91" s="429">
        <f t="shared" si="252"/>
        <v>204.84700000000001</v>
      </c>
      <c r="V91" s="429">
        <f t="shared" si="252"/>
        <v>204.43799999999999</v>
      </c>
      <c r="W91" s="429">
        <f t="shared" si="252"/>
        <v>204.27099999999999</v>
      </c>
      <c r="X91" s="429">
        <f t="shared" si="252"/>
        <v>204</v>
      </c>
      <c r="Y91" s="429">
        <f t="shared" si="252"/>
        <v>204</v>
      </c>
      <c r="Z91" s="429">
        <f t="shared" si="252"/>
        <v>1947</v>
      </c>
      <c r="AA91" s="429">
        <f t="shared" si="252"/>
        <v>1947</v>
      </c>
      <c r="AB91" s="429">
        <f t="shared" si="252"/>
        <v>1947</v>
      </c>
      <c r="AC91" s="429">
        <f t="shared" si="252"/>
        <v>1946</v>
      </c>
      <c r="AD91" s="429">
        <f t="shared" si="252"/>
        <v>1946</v>
      </c>
      <c r="AE91" s="429">
        <f t="shared" si="252"/>
        <v>1946</v>
      </c>
      <c r="AF91" s="429">
        <f t="shared" si="252"/>
        <v>1946</v>
      </c>
      <c r="AG91" s="429">
        <f t="shared" si="252"/>
        <v>1946</v>
      </c>
      <c r="AH91" s="429">
        <f t="shared" si="252"/>
        <v>1946</v>
      </c>
      <c r="AI91" s="429">
        <f t="shared" si="252"/>
        <v>1946</v>
      </c>
      <c r="AJ91" s="429">
        <f t="shared" si="252"/>
        <v>1946</v>
      </c>
      <c r="AK91" s="429">
        <f t="shared" si="252"/>
        <v>1947</v>
      </c>
      <c r="AL91" s="429">
        <f t="shared" si="252"/>
        <v>1947</v>
      </c>
      <c r="AM91" s="429">
        <f t="shared" si="252"/>
        <v>1947</v>
      </c>
      <c r="AN91" s="429">
        <f t="shared" si="252"/>
        <v>1947</v>
      </c>
      <c r="AO91" s="429">
        <f t="shared" si="252"/>
        <v>1947</v>
      </c>
      <c r="AP91" s="429">
        <f t="shared" si="252"/>
        <v>1547</v>
      </c>
      <c r="AQ91" s="429">
        <f t="shared" si="252"/>
        <v>3342</v>
      </c>
      <c r="AR91" s="429">
        <f t="shared" si="252"/>
        <v>3343</v>
      </c>
      <c r="AS91" s="429">
        <f t="shared" si="252"/>
        <v>3343</v>
      </c>
      <c r="AT91" s="429">
        <f t="shared" si="252"/>
        <v>3343</v>
      </c>
      <c r="AU91" s="429">
        <f>AU33</f>
        <v>3143</v>
      </c>
      <c r="AV91" s="429">
        <f t="shared" ref="AV91" si="253">AV33</f>
        <v>3125</v>
      </c>
      <c r="AW91" s="429">
        <f t="shared" si="252"/>
        <v>5302</v>
      </c>
      <c r="AX91" s="429">
        <f t="shared" si="252"/>
        <v>5303</v>
      </c>
      <c r="AY91" s="429">
        <f t="shared" si="252"/>
        <v>5304</v>
      </c>
      <c r="AZ91" s="429">
        <f t="shared" ref="AZ91:BG91" si="254">AZ33</f>
        <v>5305</v>
      </c>
      <c r="BA91" s="429">
        <f t="shared" si="254"/>
        <v>5305</v>
      </c>
      <c r="BB91" s="429">
        <f t="shared" si="254"/>
        <v>5305</v>
      </c>
      <c r="BC91" s="429">
        <f t="shared" si="254"/>
        <v>5305</v>
      </c>
      <c r="BD91" s="429">
        <f t="shared" si="254"/>
        <v>5305</v>
      </c>
      <c r="BE91" s="429">
        <f t="shared" si="254"/>
        <v>5305</v>
      </c>
      <c r="BF91" s="429">
        <f t="shared" si="254"/>
        <v>5305</v>
      </c>
      <c r="BG91" s="429">
        <f t="shared" si="254"/>
        <v>5305</v>
      </c>
      <c r="BH91" s="429">
        <f t="shared" ref="BH91:BK91" si="255">BH33</f>
        <v>5305</v>
      </c>
      <c r="BI91" s="429">
        <f t="shared" si="255"/>
        <v>5305</v>
      </c>
      <c r="BJ91" s="429">
        <f t="shared" si="255"/>
        <v>5305</v>
      </c>
      <c r="BK91" s="429">
        <f t="shared" si="255"/>
        <v>5305</v>
      </c>
      <c r="BL91" s="203"/>
      <c r="BM91" s="203"/>
      <c r="BN91" s="203"/>
      <c r="BO91" s="203"/>
      <c r="BP91" s="203"/>
      <c r="BQ91" s="203"/>
      <c r="BR91" s="203"/>
      <c r="BS91" s="203"/>
      <c r="BT91" s="733"/>
      <c r="BU91" s="733"/>
      <c r="BV91" s="203"/>
      <c r="BW91" s="203"/>
      <c r="BX91" s="203"/>
      <c r="BY91" s="733"/>
      <c r="BZ91" s="203"/>
      <c r="CA91" s="204"/>
      <c r="CB91" s="734"/>
      <c r="CC91" s="734"/>
      <c r="CD91" s="734"/>
      <c r="CK91" s="203"/>
    </row>
    <row r="92" spans="1:89" ht="14.25" hidden="1" customHeight="1" outlineLevel="1">
      <c r="A92" s="203"/>
      <c r="B92" s="428" t="s">
        <v>152</v>
      </c>
      <c r="C92" s="203"/>
      <c r="D92" s="427">
        <f t="shared" ref="D92:AY92" si="256">D90+D91</f>
        <v>409.947</v>
      </c>
      <c r="E92" s="427">
        <f t="shared" si="256"/>
        <v>409.44699999999995</v>
      </c>
      <c r="F92" s="427">
        <f t="shared" si="256"/>
        <v>409.52000000000004</v>
      </c>
      <c r="G92" s="427">
        <f t="shared" si="256"/>
        <v>407.24299999999999</v>
      </c>
      <c r="H92" s="427">
        <f t="shared" si="256"/>
        <v>407.21299999999997</v>
      </c>
      <c r="I92" s="427">
        <f t="shared" si="256"/>
        <v>406.87599999999998</v>
      </c>
      <c r="J92" s="427">
        <f t="shared" si="256"/>
        <v>406.88200000000001</v>
      </c>
      <c r="K92" s="427">
        <f t="shared" si="256"/>
        <v>204.84200000000001</v>
      </c>
      <c r="L92" s="427">
        <f t="shared" si="256"/>
        <v>205.15</v>
      </c>
      <c r="M92" s="427">
        <f t="shared" si="256"/>
        <v>204.749</v>
      </c>
      <c r="N92" s="427">
        <f t="shared" si="256"/>
        <v>202.90699999999998</v>
      </c>
      <c r="O92" s="427">
        <f t="shared" si="256"/>
        <v>202.64400000000001</v>
      </c>
      <c r="P92" s="427">
        <f t="shared" si="256"/>
        <v>203.154</v>
      </c>
      <c r="Q92" s="427">
        <f t="shared" si="256"/>
        <v>202.321</v>
      </c>
      <c r="R92" s="427">
        <f t="shared" si="256"/>
        <v>202.40299999999999</v>
      </c>
      <c r="S92" s="427">
        <f t="shared" si="256"/>
        <v>201.89400000000001</v>
      </c>
      <c r="T92" s="427">
        <f t="shared" si="256"/>
        <v>212.947</v>
      </c>
      <c r="U92" s="427">
        <f t="shared" si="256"/>
        <v>206.65</v>
      </c>
      <c r="V92" s="427">
        <f t="shared" si="256"/>
        <v>206.286</v>
      </c>
      <c r="W92" s="427">
        <f t="shared" si="256"/>
        <v>205.529</v>
      </c>
      <c r="X92" s="427">
        <f t="shared" si="256"/>
        <v>205</v>
      </c>
      <c r="Y92" s="427">
        <f t="shared" si="256"/>
        <v>205</v>
      </c>
      <c r="Z92" s="427">
        <f t="shared" si="256"/>
        <v>1947</v>
      </c>
      <c r="AA92" s="427">
        <f t="shared" si="256"/>
        <v>1947</v>
      </c>
      <c r="AB92" s="427">
        <f t="shared" si="256"/>
        <v>1949</v>
      </c>
      <c r="AC92" s="427">
        <f t="shared" si="256"/>
        <v>1947</v>
      </c>
      <c r="AD92" s="427">
        <f t="shared" si="256"/>
        <v>1946</v>
      </c>
      <c r="AE92" s="427">
        <f t="shared" si="256"/>
        <v>1946</v>
      </c>
      <c r="AF92" s="427">
        <f t="shared" si="256"/>
        <v>1946</v>
      </c>
      <c r="AG92" s="427">
        <f t="shared" si="256"/>
        <v>1946</v>
      </c>
      <c r="AH92" s="427">
        <f t="shared" si="256"/>
        <v>1946</v>
      </c>
      <c r="AI92" s="427">
        <f t="shared" si="256"/>
        <v>1946</v>
      </c>
      <c r="AJ92" s="427">
        <f t="shared" si="256"/>
        <v>1946</v>
      </c>
      <c r="AK92" s="427">
        <f t="shared" si="256"/>
        <v>1947</v>
      </c>
      <c r="AL92" s="427">
        <f t="shared" si="256"/>
        <v>1947</v>
      </c>
      <c r="AM92" s="427">
        <f t="shared" si="256"/>
        <v>1947</v>
      </c>
      <c r="AN92" s="427">
        <f t="shared" si="256"/>
        <v>1947</v>
      </c>
      <c r="AO92" s="427">
        <f t="shared" si="256"/>
        <v>1947</v>
      </c>
      <c r="AP92" s="427">
        <f t="shared" si="256"/>
        <v>1547</v>
      </c>
      <c r="AQ92" s="427">
        <f t="shared" si="256"/>
        <v>4542</v>
      </c>
      <c r="AR92" s="427">
        <f t="shared" si="256"/>
        <v>3343</v>
      </c>
      <c r="AS92" s="427">
        <f t="shared" si="256"/>
        <v>3343</v>
      </c>
      <c r="AT92" s="427">
        <f t="shared" si="256"/>
        <v>3343</v>
      </c>
      <c r="AU92" s="427">
        <f>AU90+AU91</f>
        <v>3343</v>
      </c>
      <c r="AV92" s="427">
        <f t="shared" ref="AV92" si="257">AV90+AV91</f>
        <v>3125</v>
      </c>
      <c r="AW92" s="427">
        <f t="shared" si="256"/>
        <v>5302</v>
      </c>
      <c r="AX92" s="427">
        <f t="shared" si="256"/>
        <v>5303</v>
      </c>
      <c r="AY92" s="427">
        <f t="shared" si="256"/>
        <v>5304</v>
      </c>
      <c r="AZ92" s="427">
        <f t="shared" ref="AZ92:BG92" si="258">AZ90+AZ91</f>
        <v>5305</v>
      </c>
      <c r="BA92" s="427">
        <f t="shared" si="258"/>
        <v>5305</v>
      </c>
      <c r="BB92" s="427">
        <f t="shared" si="258"/>
        <v>5305</v>
      </c>
      <c r="BC92" s="427">
        <f t="shared" si="258"/>
        <v>5305</v>
      </c>
      <c r="BD92" s="427">
        <f t="shared" si="258"/>
        <v>5305</v>
      </c>
      <c r="BE92" s="427">
        <f t="shared" si="258"/>
        <v>5305</v>
      </c>
      <c r="BF92" s="427">
        <f t="shared" si="258"/>
        <v>5305</v>
      </c>
      <c r="BG92" s="427">
        <f t="shared" si="258"/>
        <v>5305</v>
      </c>
      <c r="BH92" s="427">
        <f t="shared" ref="BH92:BK92" si="259">BH90+BH91</f>
        <v>5305</v>
      </c>
      <c r="BI92" s="427">
        <f t="shared" si="259"/>
        <v>5305</v>
      </c>
      <c r="BJ92" s="427">
        <f t="shared" si="259"/>
        <v>5305</v>
      </c>
      <c r="BK92" s="427">
        <f t="shared" si="259"/>
        <v>5305</v>
      </c>
      <c r="BL92" s="203"/>
      <c r="BM92" s="203"/>
      <c r="BN92" s="203"/>
      <c r="BO92" s="203"/>
      <c r="BP92" s="203"/>
      <c r="BQ92" s="203"/>
      <c r="BR92" s="203"/>
      <c r="BS92" s="203"/>
      <c r="BT92" s="733"/>
      <c r="BU92" s="733"/>
      <c r="BV92" s="203"/>
      <c r="BW92" s="203"/>
      <c r="BX92" s="203"/>
      <c r="BY92" s="733"/>
      <c r="BZ92" s="203"/>
      <c r="CA92" s="204"/>
      <c r="CB92" s="734"/>
      <c r="CC92" s="734"/>
      <c r="CD92" s="734"/>
      <c r="CK92" s="203"/>
    </row>
    <row r="93" spans="1:89" ht="14.25" hidden="1" customHeight="1" outlineLevel="1">
      <c r="A93" s="203"/>
      <c r="B93" s="203"/>
      <c r="C93" s="203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27"/>
      <c r="BC93" s="427"/>
      <c r="BD93" s="427"/>
      <c r="BE93" s="427"/>
      <c r="BF93" s="427"/>
      <c r="BG93" s="427"/>
      <c r="BH93" s="427"/>
      <c r="BI93" s="427"/>
      <c r="BJ93" s="427"/>
      <c r="BK93" s="427"/>
      <c r="BL93" s="203"/>
      <c r="BM93" s="203"/>
      <c r="BN93" s="203"/>
      <c r="BO93" s="203"/>
      <c r="BP93" s="203"/>
      <c r="BQ93" s="203"/>
      <c r="BR93" s="203"/>
      <c r="BS93" s="203"/>
      <c r="BT93" s="733"/>
      <c r="BU93" s="733"/>
      <c r="BV93" s="203"/>
      <c r="BW93" s="203"/>
      <c r="BX93" s="203"/>
      <c r="BY93" s="733"/>
      <c r="BZ93" s="203"/>
      <c r="CA93" s="204"/>
      <c r="CB93" s="734"/>
      <c r="CC93" s="734"/>
      <c r="CD93" s="734"/>
      <c r="CK93" s="203"/>
    </row>
    <row r="94" spans="1:89" ht="14.25" hidden="1" customHeight="1" outlineLevel="1">
      <c r="A94" s="203"/>
      <c r="B94" s="424" t="s">
        <v>153</v>
      </c>
      <c r="C94" s="203"/>
      <c r="D94" s="427">
        <f t="shared" ref="D94:AY94" si="260">D92-D88</f>
        <v>-5398.1890000000003</v>
      </c>
      <c r="E94" s="427">
        <f t="shared" si="260"/>
        <v>-2919.33</v>
      </c>
      <c r="F94" s="427">
        <f t="shared" si="260"/>
        <v>-2423.2559999999999</v>
      </c>
      <c r="G94" s="427">
        <f t="shared" si="260"/>
        <v>-1490.0949999999996</v>
      </c>
      <c r="H94" s="427">
        <f t="shared" si="260"/>
        <v>-1675.6070000000002</v>
      </c>
      <c r="I94" s="427">
        <f t="shared" si="260"/>
        <v>-1610.9170000000011</v>
      </c>
      <c r="J94" s="427">
        <f t="shared" si="260"/>
        <v>-2001.0539999999996</v>
      </c>
      <c r="K94" s="427">
        <f t="shared" si="260"/>
        <v>-2164.7370000000005</v>
      </c>
      <c r="L94" s="427">
        <f t="shared" si="260"/>
        <v>-1700.4060000000004</v>
      </c>
      <c r="M94" s="427">
        <f t="shared" si="260"/>
        <v>-2250.6070000000009</v>
      </c>
      <c r="N94" s="427">
        <f t="shared" si="260"/>
        <v>-2094.7680000000005</v>
      </c>
      <c r="O94" s="427">
        <f t="shared" si="260"/>
        <v>-1898.0240000000001</v>
      </c>
      <c r="P94" s="427">
        <f t="shared" si="260"/>
        <v>-1714.2380000000003</v>
      </c>
      <c r="Q94" s="427">
        <f t="shared" si="260"/>
        <v>-1862.0440000000003</v>
      </c>
      <c r="R94" s="427">
        <f t="shared" si="260"/>
        <v>-1936.2549999999999</v>
      </c>
      <c r="S94" s="427">
        <f t="shared" si="260"/>
        <v>-2012.8360000000005</v>
      </c>
      <c r="T94" s="427">
        <f t="shared" si="260"/>
        <v>-1941.2290000000003</v>
      </c>
      <c r="U94" s="427">
        <f t="shared" si="260"/>
        <v>-2128.212</v>
      </c>
      <c r="V94" s="427">
        <f t="shared" si="260"/>
        <v>-2141.85</v>
      </c>
      <c r="W94" s="427">
        <f t="shared" si="260"/>
        <v>-2379.0529999999999</v>
      </c>
      <c r="X94" s="427">
        <f t="shared" si="260"/>
        <v>-2541</v>
      </c>
      <c r="Y94" s="427">
        <f t="shared" si="260"/>
        <v>-3103</v>
      </c>
      <c r="Z94" s="427">
        <f t="shared" si="260"/>
        <v>-3810</v>
      </c>
      <c r="AA94" s="427">
        <f t="shared" si="260"/>
        <v>-4296</v>
      </c>
      <c r="AB94" s="427">
        <f t="shared" si="260"/>
        <v>-48</v>
      </c>
      <c r="AC94" s="427">
        <f t="shared" si="260"/>
        <v>-223</v>
      </c>
      <c r="AD94" s="427">
        <f t="shared" si="260"/>
        <v>-218</v>
      </c>
      <c r="AE94" s="427">
        <f t="shared" si="260"/>
        <v>9</v>
      </c>
      <c r="AF94" s="427">
        <f t="shared" si="260"/>
        <v>193</v>
      </c>
      <c r="AG94" s="427">
        <f t="shared" si="260"/>
        <v>176</v>
      </c>
      <c r="AH94" s="427">
        <f t="shared" si="260"/>
        <v>-29</v>
      </c>
      <c r="AI94" s="427">
        <f t="shared" si="260"/>
        <v>55</v>
      </c>
      <c r="AJ94" s="427">
        <f t="shared" si="260"/>
        <v>-343</v>
      </c>
      <c r="AK94" s="427">
        <f t="shared" si="260"/>
        <v>-652</v>
      </c>
      <c r="AL94" s="427">
        <f t="shared" si="260"/>
        <v>-924</v>
      </c>
      <c r="AM94" s="427">
        <f t="shared" si="260"/>
        <v>-1215</v>
      </c>
      <c r="AN94" s="427">
        <f t="shared" si="260"/>
        <v>-1140</v>
      </c>
      <c r="AO94" s="427">
        <f t="shared" si="260"/>
        <v>-1283</v>
      </c>
      <c r="AP94" s="427">
        <f t="shared" si="260"/>
        <v>-1196</v>
      </c>
      <c r="AQ94" s="427">
        <f t="shared" si="260"/>
        <v>-423</v>
      </c>
      <c r="AR94" s="427">
        <f t="shared" si="260"/>
        <v>227</v>
      </c>
      <c r="AS94" s="427">
        <f t="shared" si="260"/>
        <v>703</v>
      </c>
      <c r="AT94" s="427">
        <f t="shared" si="260"/>
        <v>77</v>
      </c>
      <c r="AU94" s="427">
        <f>AU92-AU88</f>
        <v>-406</v>
      </c>
      <c r="AV94" s="427">
        <f t="shared" ref="AV94" si="261">AV92-AV88</f>
        <v>-1022</v>
      </c>
      <c r="AW94" s="427">
        <f t="shared" si="260"/>
        <v>-1442</v>
      </c>
      <c r="AX94" s="427">
        <f t="shared" si="260"/>
        <v>-1928</v>
      </c>
      <c r="AY94" s="427">
        <f t="shared" si="260"/>
        <v>-1972</v>
      </c>
      <c r="AZ94" s="427">
        <f t="shared" ref="AZ94:BG94" si="262">AZ92-AZ88</f>
        <v>-2149</v>
      </c>
      <c r="BA94" s="427">
        <f t="shared" si="262"/>
        <v>-1300.2725488823908</v>
      </c>
      <c r="BB94" s="427">
        <f t="shared" si="262"/>
        <v>-1503.4818115431226</v>
      </c>
      <c r="BC94" s="427">
        <f t="shared" si="262"/>
        <v>-1592.9333549875992</v>
      </c>
      <c r="BD94" s="427">
        <f t="shared" si="262"/>
        <v>-1704.955038450069</v>
      </c>
      <c r="BE94" s="427">
        <f t="shared" si="262"/>
        <v>-1671.0668106489438</v>
      </c>
      <c r="BF94" s="427">
        <f t="shared" si="262"/>
        <v>-1639.6930991123336</v>
      </c>
      <c r="BG94" s="427">
        <f t="shared" si="262"/>
        <v>-1608.6835916909658</v>
      </c>
      <c r="BH94" s="427">
        <f t="shared" ref="BH94:BK94" si="263">BH92-BH88</f>
        <v>-1669.6984614245566</v>
      </c>
      <c r="BI94" s="427">
        <f t="shared" si="263"/>
        <v>-1679.9775238358379</v>
      </c>
      <c r="BJ94" s="427">
        <f t="shared" si="263"/>
        <v>-1702.9880129270095</v>
      </c>
      <c r="BK94" s="427">
        <f t="shared" si="263"/>
        <v>-1771.4804271332368</v>
      </c>
      <c r="BL94" s="203"/>
      <c r="BM94" s="203"/>
      <c r="BN94" s="203"/>
      <c r="BO94" s="203"/>
      <c r="BP94" s="203"/>
      <c r="BQ94" s="203"/>
      <c r="BR94" s="203"/>
      <c r="BS94" s="203"/>
      <c r="BT94" s="733"/>
      <c r="BU94" s="733"/>
      <c r="BV94" s="203"/>
      <c r="BW94" s="203"/>
      <c r="BX94" s="203"/>
      <c r="BY94" s="733"/>
      <c r="BZ94" s="203"/>
      <c r="CA94" s="204"/>
      <c r="CB94" s="734"/>
      <c r="CC94" s="734"/>
      <c r="CD94" s="734"/>
      <c r="CK94" s="203"/>
    </row>
    <row r="95" spans="1:89" ht="14.25" hidden="1" customHeight="1" outlineLevel="1">
      <c r="A95" s="203"/>
      <c r="B95" s="424" t="s">
        <v>154</v>
      </c>
      <c r="C95" s="203"/>
      <c r="D95" s="426">
        <f t="shared" ref="D95:AY95" si="264">D81</f>
        <v>3.3567382700158257</v>
      </c>
      <c r="E95" s="426">
        <f t="shared" si="264"/>
        <v>3.4167223481534337</v>
      </c>
      <c r="F95" s="426">
        <f t="shared" si="264"/>
        <v>3.0383434179244406</v>
      </c>
      <c r="G95" s="426">
        <f t="shared" si="264"/>
        <v>1.8925142969721993</v>
      </c>
      <c r="H95" s="426">
        <f t="shared" si="264"/>
        <v>2.1316693801481037</v>
      </c>
      <c r="I95" s="426">
        <f t="shared" si="264"/>
        <v>2.103810610017375</v>
      </c>
      <c r="J95" s="426">
        <f t="shared" si="264"/>
        <v>2.3806940275598611</v>
      </c>
      <c r="K95" s="426">
        <f t="shared" si="264"/>
        <v>2.512783832863025</v>
      </c>
      <c r="L95" s="426">
        <f t="shared" si="264"/>
        <v>2.2821467953285173</v>
      </c>
      <c r="M95" s="426">
        <f t="shared" si="264"/>
        <v>2.6527880732301576</v>
      </c>
      <c r="N95" s="426">
        <f t="shared" si="264"/>
        <v>2.5749559250546779</v>
      </c>
      <c r="O95" s="426">
        <f t="shared" si="264"/>
        <v>2.4184129674125909</v>
      </c>
      <c r="P95" s="426">
        <f t="shared" si="264"/>
        <v>2.200710490263861</v>
      </c>
      <c r="Q95" s="426">
        <f t="shared" si="264"/>
        <v>2.1496483143342227</v>
      </c>
      <c r="R95" s="426">
        <f t="shared" si="264"/>
        <v>2.1949075886649294</v>
      </c>
      <c r="S95" s="426">
        <f t="shared" si="264"/>
        <v>2.2742609396367568</v>
      </c>
      <c r="T95" s="426">
        <f t="shared" si="264"/>
        <v>2.2135581264212894</v>
      </c>
      <c r="U95" s="426">
        <f t="shared" si="264"/>
        <v>2.4832420905684263</v>
      </c>
      <c r="V95" s="426">
        <f t="shared" si="264"/>
        <v>2.5365841543051344</v>
      </c>
      <c r="W95" s="426">
        <f t="shared" si="264"/>
        <v>2.7509970149253729</v>
      </c>
      <c r="X95" s="426">
        <f t="shared" si="264"/>
        <v>2.9153558052434456</v>
      </c>
      <c r="Y95" s="426">
        <f t="shared" si="264"/>
        <v>3.279819954988747</v>
      </c>
      <c r="Z95" s="426">
        <f t="shared" si="264"/>
        <v>3.6556390977443609</v>
      </c>
      <c r="AA95" s="426">
        <f t="shared" si="264"/>
        <v>3.9568508705526115</v>
      </c>
      <c r="AB95" s="426">
        <f t="shared" si="264"/>
        <v>0.7656488549618321</v>
      </c>
      <c r="AC95" s="426">
        <f t="shared" si="264"/>
        <v>0.99461952344350502</v>
      </c>
      <c r="AD95" s="426">
        <f t="shared" si="264"/>
        <v>1.0063091482649842</v>
      </c>
      <c r="AE95" s="426">
        <f t="shared" si="264"/>
        <v>0.57131280388978933</v>
      </c>
      <c r="AF95" s="426">
        <f t="shared" si="264"/>
        <v>0.46864686468646866</v>
      </c>
      <c r="AG95" s="426">
        <f t="shared" si="264"/>
        <v>0.49712407559572719</v>
      </c>
      <c r="AH95" s="426">
        <f t="shared" si="264"/>
        <v>0.64344262295081966</v>
      </c>
      <c r="AI95" s="426">
        <f t="shared" si="264"/>
        <v>0.77741407528641571</v>
      </c>
      <c r="AJ95" s="426">
        <f t="shared" si="264"/>
        <v>0.96</v>
      </c>
      <c r="AK95" s="426">
        <f t="shared" si="264"/>
        <v>1.210740439381611</v>
      </c>
      <c r="AL95" s="426">
        <f t="shared" si="264"/>
        <v>1.5255474452554745</v>
      </c>
      <c r="AM95" s="426">
        <f t="shared" si="264"/>
        <v>1.7394822006472492</v>
      </c>
      <c r="AN95" s="426">
        <f t="shared" si="264"/>
        <v>1.6693548387096775</v>
      </c>
      <c r="AO95" s="426">
        <f t="shared" si="264"/>
        <v>1.7880741337630943</v>
      </c>
      <c r="AP95" s="426">
        <f t="shared" si="264"/>
        <v>1.7497969130787978</v>
      </c>
      <c r="AQ95" s="426">
        <f t="shared" si="264"/>
        <v>1.1504201680672268</v>
      </c>
      <c r="AR95" s="426">
        <f t="shared" si="264"/>
        <v>0.66637781629116122</v>
      </c>
      <c r="AS95" s="426">
        <f t="shared" si="264"/>
        <v>0.2064343163538874</v>
      </c>
      <c r="AT95" s="673">
        <f t="shared" si="264"/>
        <v>0.80786825251601102</v>
      </c>
      <c r="AU95" s="426">
        <f>AU81</f>
        <v>1.2214089661482159</v>
      </c>
      <c r="AV95" s="426">
        <f t="shared" ref="AV95" si="265">AV81</f>
        <v>1.7731864095500458</v>
      </c>
      <c r="AW95" s="426">
        <f t="shared" si="264"/>
        <v>2.2106715731370743</v>
      </c>
      <c r="AX95" s="426">
        <f t="shared" si="264"/>
        <v>2.7580794090489382</v>
      </c>
      <c r="AY95" s="426">
        <f t="shared" si="264"/>
        <v>2.8949814126394053</v>
      </c>
      <c r="AZ95" s="426">
        <f t="shared" ref="AZ95:BG95" si="266">AZ81</f>
        <v>2.0485527544351072</v>
      </c>
      <c r="BA95" s="426">
        <f t="shared" si="266"/>
        <v>1.2619817531729745</v>
      </c>
      <c r="BB95" s="426">
        <f t="shared" si="266"/>
        <v>1.4594550532922927</v>
      </c>
      <c r="BC95" s="426">
        <f t="shared" si="266"/>
        <v>1.551073252829166</v>
      </c>
      <c r="BD95" s="426">
        <f t="shared" si="266"/>
        <v>1.6602988979602173</v>
      </c>
      <c r="BE95" s="426">
        <f t="shared" si="266"/>
        <v>1.6312422154457642</v>
      </c>
      <c r="BF95" s="426">
        <f t="shared" si="266"/>
        <v>1.6044696182022224</v>
      </c>
      <c r="BG95" s="426">
        <f t="shared" si="266"/>
        <v>1.577942358483746</v>
      </c>
      <c r="BH95" s="426">
        <f t="shared" ref="BH95:BK95" si="267">BH81</f>
        <v>1.6369436385914622</v>
      </c>
      <c r="BI95" s="426">
        <f t="shared" si="267"/>
        <v>1.6475430027085367</v>
      </c>
      <c r="BJ95" s="426">
        <f t="shared" si="267"/>
        <v>1.6703182158882079</v>
      </c>
      <c r="BK95" s="426">
        <f t="shared" si="267"/>
        <v>1.7365969666665735</v>
      </c>
      <c r="BL95" s="203"/>
      <c r="BM95" s="203"/>
      <c r="BN95" s="203"/>
      <c r="BO95" s="203"/>
      <c r="BP95" s="203"/>
      <c r="BQ95" s="203"/>
      <c r="BR95" s="203"/>
      <c r="BS95" s="203"/>
      <c r="BT95" s="733"/>
      <c r="BU95" s="733"/>
      <c r="BV95" s="203"/>
      <c r="BW95" s="203"/>
      <c r="BX95" s="203"/>
      <c r="BY95" s="733"/>
      <c r="BZ95" s="203"/>
      <c r="CA95" s="204"/>
      <c r="CB95" s="734"/>
      <c r="CC95" s="734"/>
      <c r="CD95" s="734"/>
      <c r="CK95" s="203"/>
    </row>
    <row r="96" spans="1:89" ht="14.25" hidden="1" customHeight="1" outlineLevel="1">
      <c r="A96" s="203"/>
      <c r="B96" s="424"/>
      <c r="C96" s="203"/>
      <c r="D96" s="426"/>
      <c r="E96" s="426"/>
      <c r="F96" s="426"/>
      <c r="G96" s="426"/>
      <c r="H96" s="426"/>
      <c r="I96" s="426"/>
      <c r="J96" s="426"/>
      <c r="K96" s="426"/>
      <c r="L96" s="426"/>
      <c r="M96" s="426"/>
      <c r="N96" s="426"/>
      <c r="O96" s="426"/>
      <c r="P96" s="426"/>
      <c r="Q96" s="426"/>
      <c r="R96" s="426"/>
      <c r="S96" s="426"/>
      <c r="T96" s="426"/>
      <c r="U96" s="426"/>
      <c r="V96" s="426"/>
      <c r="W96" s="426"/>
      <c r="X96" s="426"/>
      <c r="Y96" s="426"/>
      <c r="Z96" s="426"/>
      <c r="AA96" s="426"/>
      <c r="AB96" s="426"/>
      <c r="AC96" s="426"/>
      <c r="AD96" s="426"/>
      <c r="AE96" s="426"/>
      <c r="AF96" s="426"/>
      <c r="AG96" s="426"/>
      <c r="AH96" s="426"/>
      <c r="AI96" s="426"/>
      <c r="AJ96" s="426"/>
      <c r="AK96" s="426"/>
      <c r="AL96" s="426"/>
      <c r="AM96" s="426"/>
      <c r="AN96" s="426"/>
      <c r="AO96" s="426"/>
      <c r="AP96" s="426"/>
      <c r="AQ96" s="426"/>
      <c r="AR96" s="426"/>
      <c r="AS96" s="426"/>
      <c r="AT96" s="426"/>
      <c r="AU96" s="426"/>
      <c r="AV96" s="426"/>
      <c r="AW96" s="426"/>
      <c r="AX96" s="426"/>
      <c r="AY96" s="426"/>
      <c r="AZ96" s="426"/>
      <c r="BA96" s="426"/>
      <c r="BB96" s="426"/>
      <c r="BC96" s="426"/>
      <c r="BD96" s="426"/>
      <c r="BE96" s="426"/>
      <c r="BF96" s="426"/>
      <c r="BG96" s="426"/>
      <c r="BH96" s="426"/>
      <c r="BI96" s="426"/>
      <c r="BJ96" s="426"/>
      <c r="BK96" s="426"/>
      <c r="BL96" s="203"/>
      <c r="BM96" s="203"/>
      <c r="BN96" s="203"/>
      <c r="BO96" s="203"/>
      <c r="BP96" s="203"/>
      <c r="BQ96" s="203"/>
      <c r="BR96" s="203"/>
      <c r="BS96" s="203"/>
      <c r="BT96" s="733"/>
      <c r="BU96" s="733"/>
      <c r="BV96" s="203"/>
      <c r="BW96" s="203"/>
      <c r="BX96" s="203"/>
      <c r="BY96" s="733"/>
      <c r="BZ96" s="203"/>
      <c r="CA96" s="204"/>
      <c r="CB96" s="734"/>
      <c r="CC96" s="734"/>
      <c r="CD96" s="734"/>
      <c r="CK96" s="203"/>
    </row>
    <row r="97" spans="1:89" ht="14.25" hidden="1" customHeight="1" outlineLevel="1">
      <c r="A97" s="203"/>
      <c r="B97" s="424" t="s">
        <v>377</v>
      </c>
      <c r="C97" s="203"/>
      <c r="D97" s="425">
        <f>D94/(IS!D177*4)</f>
        <v>-6.3176614469957615</v>
      </c>
      <c r="E97" s="425">
        <f>E94/(IS!E177*4)</f>
        <v>-1.1641761403967719</v>
      </c>
      <c r="F97" s="425">
        <f>F94/(IS!F177*4)</f>
        <v>-0.81574411702924088</v>
      </c>
      <c r="G97" s="425">
        <f>G94/(IS!G177*4)</f>
        <v>-0.52626903983567319</v>
      </c>
      <c r="H97" s="425">
        <f>H94/(IS!H177*4)</f>
        <v>-0.68624043706895166</v>
      </c>
      <c r="I97" s="425">
        <f>I94/(IS!I177*4)</f>
        <v>-0.61759007081757678</v>
      </c>
      <c r="J97" s="425">
        <f>J94/(IS!J177*4)</f>
        <v>-0.68045101020955012</v>
      </c>
      <c r="K97" s="425">
        <f>K94/(IS!K177*4)</f>
        <v>-0.84281121226939615</v>
      </c>
      <c r="L97" s="425">
        <f>L94/(IS!L177*4)</f>
        <v>-0.94182985973409095</v>
      </c>
      <c r="M97" s="425">
        <f>M94/(IS!M177*4)</f>
        <v>-1.0955100097741819</v>
      </c>
      <c r="N97" s="425">
        <f>N94/(IS!N177*4)</f>
        <v>-1.6675433848113372</v>
      </c>
      <c r="O97" s="425">
        <f>O94/(IS!O177*4)</f>
        <v>-1.2665652359598549</v>
      </c>
      <c r="P97" s="425">
        <f>P94/(IS!P177*4)</f>
        <v>3.432210244746285</v>
      </c>
      <c r="Q97" s="425">
        <f>Q94/(IS!Q177*4)</f>
        <v>2.1314313448075355</v>
      </c>
      <c r="R97" s="425">
        <f>R94/(IS!R177*4)</f>
        <v>131.46761271048334</v>
      </c>
      <c r="S97" s="425">
        <f>S94/(IS!S177*4)</f>
        <v>-2.0578115287728602</v>
      </c>
      <c r="T97" s="425">
        <f>T94/(IS!T177*4)</f>
        <v>-2.5177414334258508</v>
      </c>
      <c r="U97" s="425">
        <f>U94/(IS!U177*4)</f>
        <v>-1.1259642224531299</v>
      </c>
      <c r="V97" s="425">
        <f>V94/(IS!V177*4)</f>
        <v>-2.0980839684187846</v>
      </c>
      <c r="W97" s="425">
        <f>W94/(IS!W177*4)</f>
        <v>-0.77496410292492757</v>
      </c>
      <c r="X97" s="425">
        <f>X94/(IS!X177*4)</f>
        <v>-0.86194029850746268</v>
      </c>
      <c r="Y97" s="425">
        <f>Y94/(IS!Y177*4)</f>
        <v>-1.0454851752021563</v>
      </c>
      <c r="Z97" s="425">
        <f>Z94/(IS!Z177*4)</f>
        <v>-1.2768096514745308</v>
      </c>
      <c r="AA97" s="425">
        <f>AA94/(IS!AA177*4)</f>
        <v>-2.5571428571428569</v>
      </c>
      <c r="AB97" s="425">
        <f>AB94/(IS!AB177*4)</f>
        <v>-4.1237113402061855E-2</v>
      </c>
      <c r="AC97" s="425">
        <f>AC94/(IS!AC177*4)</f>
        <v>-0.10783365570599614</v>
      </c>
      <c r="AD97" s="425">
        <f>AD94/(IS!AD177*4)</f>
        <v>-0.12763466042154567</v>
      </c>
      <c r="AE97" s="425">
        <f>AE94/(IS!AE177*4)</f>
        <v>-5.597014925373134E-3</v>
      </c>
      <c r="AF97" s="425">
        <f>AF94/(IS!AF177*4)</f>
        <v>0.33275862068965517</v>
      </c>
      <c r="AG97" s="425">
        <f>AG94/(IS!AG177*4)</f>
        <v>1.1578947368421053</v>
      </c>
      <c r="AH97" s="425">
        <f>AH94/(IS!AH177*4)</f>
        <v>-2.0714285714285713E-2</v>
      </c>
      <c r="AI97" s="425">
        <f>AI94/(IS!AI177*4)</f>
        <v>4.4498381877022652E-2</v>
      </c>
      <c r="AJ97" s="425">
        <f>AJ94/(IS!AJ177*4)</f>
        <v>-0.20224056603773585</v>
      </c>
      <c r="AK97" s="425">
        <f>AK94/(IS!AK177*4)</f>
        <v>-0.3388773388773389</v>
      </c>
      <c r="AL97" s="425">
        <f>AL94/(IS!AL177*4)</f>
        <v>-0.47727272727272729</v>
      </c>
      <c r="AM97" s="425">
        <f>AM94/(IS!AM177*4)</f>
        <v>-0.60029644268774707</v>
      </c>
      <c r="AN97" s="425">
        <f>AN94/(IS!AN177*4)</f>
        <v>-0.51818181818181819</v>
      </c>
      <c r="AO97" s="425">
        <f>AO94/(IS!AO177*4)</f>
        <v>-0.63389328063241102</v>
      </c>
      <c r="AP97" s="425">
        <f>AP94/(IS!AP177*4)</f>
        <v>-0.61145194274028625</v>
      </c>
      <c r="AQ97" s="425">
        <f>AQ94/(IS!AQ177*4)</f>
        <v>-0.20375722543352601</v>
      </c>
      <c r="AR97" s="425">
        <f>AR94/(IS!AR177*4)</f>
        <v>0.12611111111111112</v>
      </c>
      <c r="AS97" s="425">
        <f>AS94/(IS!AS177*4)</f>
        <v>0.33733205374280228</v>
      </c>
      <c r="AT97" s="425">
        <f>AT94/(IS!AT177*4)</f>
        <v>2.7777777777777776E-2</v>
      </c>
      <c r="AU97" s="425">
        <f>AU94/(IS!AU177*4)</f>
        <v>-0.11573546180159636</v>
      </c>
      <c r="AV97" s="425">
        <f>AV94/(IS!AV177*4)</f>
        <v>-0.28263274336283184</v>
      </c>
      <c r="AW97" s="425">
        <f>AW94/(IS!AW177*4)</f>
        <v>-0.34563758389261745</v>
      </c>
      <c r="AX97" s="425">
        <f>AX94/(IS!AX177*4)</f>
        <v>-0.42844444444444446</v>
      </c>
      <c r="AY97" s="425">
        <f>AY94/(IS!AY177*4)</f>
        <v>-0.40980881130507063</v>
      </c>
      <c r="AZ97" s="425">
        <f>AZ94/(IS!AZ177*4)</f>
        <v>-0.40855513307984792</v>
      </c>
      <c r="BA97" s="425">
        <f>BA94/(IS!BA177*4)</f>
        <v>-0.23246562752008237</v>
      </c>
      <c r="BB97" s="425">
        <f>BB94/(IS!BB177*4)</f>
        <v>-0.28155617288464818</v>
      </c>
      <c r="BC97" s="425">
        <f>BC94/(IS!BC177*4)</f>
        <v>-0.29433655200413489</v>
      </c>
      <c r="BD97" s="425">
        <f>BD94/(IS!BD177*4)</f>
        <v>-0.32886886038496665</v>
      </c>
      <c r="BE97" s="425">
        <f>BE94/(IS!BE177*4)</f>
        <v>-0.31987534197509077</v>
      </c>
      <c r="BF97" s="425">
        <f>BF94/(IS!BF177*4)</f>
        <v>-0.31536507344146991</v>
      </c>
      <c r="BG97" s="425">
        <f>BG94/(IS!BG177*4)</f>
        <v>-0.30208540588508526</v>
      </c>
      <c r="BH97" s="425">
        <f>BH94/(IS!BH177*4)</f>
        <v>-0.31216000552064138</v>
      </c>
      <c r="BI97" s="425">
        <f>BI94/(IS!BI177*4)</f>
        <v>-0.31048155382218784</v>
      </c>
      <c r="BJ97" s="425">
        <f>BJ94/(IS!BJ177*4)</f>
        <v>-0.30932500981965017</v>
      </c>
      <c r="BK97" s="425">
        <f>BK94/(IS!BK177*4)</f>
        <v>-0.32000805870294513</v>
      </c>
      <c r="BL97" s="203"/>
      <c r="BM97" s="203"/>
      <c r="BN97" s="203"/>
      <c r="BO97" s="203"/>
      <c r="BP97" s="203"/>
      <c r="BQ97" s="203"/>
      <c r="BR97" s="203"/>
      <c r="BS97" s="203"/>
      <c r="BT97" s="733"/>
      <c r="BU97" s="733"/>
      <c r="BV97" s="203"/>
      <c r="BW97" s="203"/>
      <c r="BX97" s="203"/>
      <c r="BY97" s="733"/>
      <c r="BZ97" s="203"/>
      <c r="CA97" s="204"/>
      <c r="CB97" s="734"/>
      <c r="CC97" s="734"/>
      <c r="CD97" s="734"/>
      <c r="CK97" s="203"/>
    </row>
    <row r="98" spans="1:89" ht="14.25" hidden="1" customHeight="1" outlineLevel="1">
      <c r="A98" s="203"/>
      <c r="B98" s="424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3"/>
      <c r="AA98" s="203"/>
      <c r="AB98" s="203"/>
      <c r="AC98" s="203"/>
      <c r="AD98" s="203"/>
      <c r="AE98" s="203"/>
      <c r="AF98" s="203"/>
      <c r="AG98" s="203"/>
      <c r="AH98" s="203"/>
      <c r="AI98" s="203"/>
      <c r="AJ98" s="203"/>
      <c r="AK98" s="203"/>
      <c r="AL98" s="203"/>
      <c r="AM98" s="203"/>
      <c r="AN98" s="42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733"/>
      <c r="BE98" s="733"/>
      <c r="BF98" s="733"/>
      <c r="BG98" s="733"/>
      <c r="BH98" s="733"/>
      <c r="BI98" s="733"/>
      <c r="BJ98" s="733"/>
      <c r="BK98" s="733"/>
      <c r="BL98" s="203"/>
      <c r="BM98" s="203"/>
      <c r="BN98" s="203"/>
      <c r="BO98" s="203"/>
      <c r="BP98" s="203"/>
      <c r="BQ98" s="203"/>
      <c r="BR98" s="203"/>
      <c r="BS98" s="203"/>
      <c r="BT98" s="733"/>
      <c r="BU98" s="733"/>
      <c r="BV98" s="203"/>
      <c r="BW98" s="203"/>
      <c r="BX98" s="203"/>
      <c r="BY98" s="733"/>
      <c r="BZ98" s="203"/>
      <c r="CA98" s="204"/>
      <c r="CB98" s="734"/>
      <c r="CC98" s="734"/>
      <c r="CD98" s="734"/>
      <c r="CK98" s="203"/>
    </row>
    <row r="99" spans="1:89" customFormat="1" ht="14.25" hidden="1" customHeight="1" outlineLevel="1"/>
    <row r="100" spans="1:89" ht="14.25" hidden="1" customHeight="1" outlineLevel="1">
      <c r="A100" s="203"/>
      <c r="B100" s="205" t="s">
        <v>295</v>
      </c>
      <c r="C100" s="205"/>
      <c r="D100" s="207" t="e">
        <f>IS!D165</f>
        <v>#NAME?</v>
      </c>
      <c r="E100" s="207" t="e">
        <f>IS!E165</f>
        <v>#NAME?</v>
      </c>
      <c r="F100" s="207" t="e">
        <f>IS!F165</f>
        <v>#NAME?</v>
      </c>
      <c r="G100" s="207" t="e">
        <f>IS!G165</f>
        <v>#NAME?</v>
      </c>
      <c r="H100" s="207" t="e">
        <f>IS!H165</f>
        <v>#NAME?</v>
      </c>
      <c r="I100" s="207" t="e">
        <f>IS!I165</f>
        <v>#NAME?</v>
      </c>
      <c r="J100" s="207" t="e">
        <f>IS!J165</f>
        <v>#NAME?</v>
      </c>
      <c r="K100" s="207" t="e">
        <f>IS!K165</f>
        <v>#NAME?</v>
      </c>
      <c r="L100" s="207" t="e">
        <f>IS!L165</f>
        <v>#NAME?</v>
      </c>
      <c r="M100" s="207" t="e">
        <f>IS!M165</f>
        <v>#NAME?</v>
      </c>
      <c r="N100" s="207" t="e">
        <f>IS!N165</f>
        <v>#NAME?</v>
      </c>
      <c r="O100" s="207" t="e">
        <f>IS!O165</f>
        <v>#NAME?</v>
      </c>
      <c r="P100" s="207" t="e">
        <f>IS!P165</f>
        <v>#NAME?</v>
      </c>
      <c r="Q100" s="207" t="e">
        <f>IS!Q165</f>
        <v>#NAME?</v>
      </c>
      <c r="R100" s="207" t="e">
        <f>IS!R165</f>
        <v>#NAME?</v>
      </c>
      <c r="S100" s="207" t="e">
        <f>IS!S165</f>
        <v>#NAME?</v>
      </c>
      <c r="T100" s="207" t="e">
        <f>IS!T165</f>
        <v>#NAME?</v>
      </c>
      <c r="U100" s="207" t="e">
        <f>IS!U165</f>
        <v>#NAME?</v>
      </c>
      <c r="V100" s="207" t="e">
        <f>IS!V165</f>
        <v>#NAME?</v>
      </c>
      <c r="W100" s="207" t="e">
        <f>IS!W165</f>
        <v>#NAME?</v>
      </c>
      <c r="X100" s="207" t="e">
        <f>IS!X165</f>
        <v>#NAME?</v>
      </c>
      <c r="Y100" s="207" t="e">
        <f>IS!Y165</f>
        <v>#NAME?</v>
      </c>
      <c r="Z100" s="207" t="e">
        <f>IS!Z165</f>
        <v>#NAME?</v>
      </c>
      <c r="AA100" s="207" t="e">
        <f>IS!AA165</f>
        <v>#NAME?</v>
      </c>
      <c r="AB100" s="207" t="e">
        <f>IS!AB165</f>
        <v>#NAME?</v>
      </c>
      <c r="AC100" s="207" t="e">
        <f>IS!AC165</f>
        <v>#NAME?</v>
      </c>
      <c r="AD100" s="207" t="e">
        <f>IS!AD165</f>
        <v>#NAME?</v>
      </c>
      <c r="AE100" s="207" t="e">
        <f>IS!AE165</f>
        <v>#NAME?</v>
      </c>
      <c r="AF100" s="207" t="e">
        <f>IS!AF165</f>
        <v>#NAME?</v>
      </c>
      <c r="AG100" s="207" t="e">
        <f>IS!AG165</f>
        <v>#NAME?</v>
      </c>
      <c r="AH100" s="207" t="e">
        <f>IS!AH165</f>
        <v>#NAME?</v>
      </c>
      <c r="AI100" s="207" t="e">
        <f>IS!AI165</f>
        <v>#NAME?</v>
      </c>
      <c r="AJ100" s="207" t="e">
        <f>IS!AJ165</f>
        <v>#NAME?</v>
      </c>
      <c r="AK100" s="207" t="e">
        <f>IS!AK165</f>
        <v>#NAME?</v>
      </c>
      <c r="AL100" s="207" t="e">
        <f>IS!AL165</f>
        <v>#NAME?</v>
      </c>
      <c r="AM100" s="207" t="s">
        <v>124</v>
      </c>
      <c r="AN100" s="207" t="e">
        <f>IS!AN165</f>
        <v>#NAME?</v>
      </c>
      <c r="AO100" s="207" t="e">
        <f>IS!AO165</f>
        <v>#NAME?</v>
      </c>
      <c r="AP100" s="207" t="e">
        <f>IS!AP165</f>
        <v>#NAME?</v>
      </c>
      <c r="AQ100" s="207" t="e">
        <f>IS!AQ165</f>
        <v>#NAME?</v>
      </c>
      <c r="AR100" s="207" t="e">
        <f>IS!AR165</f>
        <v>#NAME?</v>
      </c>
      <c r="AS100" s="207" t="str">
        <f>IS!AS165</f>
        <v>A</v>
      </c>
      <c r="AT100" s="207" t="str">
        <f>IS!AT165</f>
        <v>A</v>
      </c>
      <c r="AU100" s="207" t="e">
        <f>IS!AU165</f>
        <v>#NAME?</v>
      </c>
      <c r="AV100" s="207" t="e">
        <f>IS!AV165</f>
        <v>#NAME?</v>
      </c>
      <c r="AW100" s="207" t="e">
        <f>IS!AW165</f>
        <v>#NAME?</v>
      </c>
      <c r="AX100" s="207" t="e">
        <f>IS!AX165</f>
        <v>#NAME?</v>
      </c>
      <c r="AY100" s="207" t="e">
        <f>IS!AY165</f>
        <v>#NAME?</v>
      </c>
      <c r="AZ100" s="207" t="e">
        <f>IS!AZ165</f>
        <v>#NAME?</v>
      </c>
      <c r="BA100" s="207" t="e">
        <f>IS!BA165</f>
        <v>#NAME?</v>
      </c>
      <c r="BB100" s="207" t="e">
        <f>IS!BB165</f>
        <v>#NAME?</v>
      </c>
      <c r="BC100" s="207" t="e">
        <f>IS!BC165</f>
        <v>#NAME?</v>
      </c>
      <c r="BD100" s="207" t="e">
        <f>IS!BD165</f>
        <v>#NAME?</v>
      </c>
      <c r="BE100" s="207" t="e">
        <f>IS!BE165</f>
        <v>#NAME?</v>
      </c>
      <c r="BF100" s="207" t="e">
        <f>IS!BF165</f>
        <v>#NAME?</v>
      </c>
      <c r="BG100" s="207" t="e">
        <f>IS!BG165</f>
        <v>#NAME?</v>
      </c>
      <c r="BH100" s="207" t="e">
        <f>IS!BH165</f>
        <v>#NAME?</v>
      </c>
      <c r="BI100" s="207" t="e">
        <f>IS!BI165</f>
        <v>#NAME?</v>
      </c>
      <c r="BJ100" s="207" t="e">
        <f>IS!BJ165</f>
        <v>#NAME?</v>
      </c>
      <c r="BK100" s="207" t="e">
        <f>IS!BK165</f>
        <v>#NAME?</v>
      </c>
      <c r="BL100" s="207"/>
      <c r="BM100" s="207" t="e">
        <f>IS!BM165</f>
        <v>#NAME?</v>
      </c>
      <c r="BN100" s="207" t="e">
        <f>IS!BN165</f>
        <v>#NAME?</v>
      </c>
      <c r="BO100" s="207" t="e">
        <f>IS!BO165</f>
        <v>#NAME?</v>
      </c>
      <c r="BP100" s="207" t="e">
        <f>IS!BP165</f>
        <v>#NAME?</v>
      </c>
      <c r="BQ100" s="207" t="e">
        <f>IS!BQ165</f>
        <v>#NAME?</v>
      </c>
      <c r="BR100" s="207" t="e">
        <f>IS!BR165</f>
        <v>#NAME?</v>
      </c>
      <c r="BS100" s="207" t="e">
        <f>IS!BS165</f>
        <v>#NAME?</v>
      </c>
      <c r="BT100" s="207" t="e">
        <f>IS!BT165</f>
        <v>#NAME?</v>
      </c>
      <c r="BU100" s="207" t="e">
        <f>IS!BU165</f>
        <v>#NAME?</v>
      </c>
      <c r="BV100" s="207" t="e">
        <f>IS!BV165</f>
        <v>#NAME?</v>
      </c>
      <c r="BW100" s="207" t="e">
        <f>IS!BW165</f>
        <v>#NAME?</v>
      </c>
      <c r="BX100" s="207" t="e">
        <f>IS!BX165</f>
        <v>#NAME?</v>
      </c>
      <c r="BY100" s="207" t="e">
        <f>IS!BY165</f>
        <v>#NAME?</v>
      </c>
      <c r="BZ100" s="207" t="e">
        <f>IS!BZ165</f>
        <v>#NAME?</v>
      </c>
      <c r="CA100" s="207" t="e">
        <f>IS!CA165</f>
        <v>#NAME?</v>
      </c>
      <c r="CB100" s="734"/>
      <c r="CC100" s="734"/>
      <c r="CD100" s="734"/>
      <c r="CK100" s="203"/>
    </row>
    <row r="101" spans="1:89" ht="14.25" hidden="1" customHeight="1" outlineLevel="2">
      <c r="A101" s="203"/>
      <c r="B101" s="209" t="s">
        <v>126</v>
      </c>
      <c r="C101" s="209"/>
      <c r="D101" s="422" t="s">
        <v>125</v>
      </c>
      <c r="E101" s="422" t="s">
        <v>125</v>
      </c>
      <c r="F101" s="422" t="s">
        <v>125</v>
      </c>
      <c r="G101" s="422" t="s">
        <v>125</v>
      </c>
      <c r="H101" s="422" t="s">
        <v>125</v>
      </c>
      <c r="I101" s="422" t="s">
        <v>125</v>
      </c>
      <c r="J101" s="422" t="s">
        <v>125</v>
      </c>
      <c r="K101" s="422" t="s">
        <v>125</v>
      </c>
      <c r="L101" s="422" t="s">
        <v>125</v>
      </c>
      <c r="M101" s="422" t="s">
        <v>125</v>
      </c>
      <c r="N101" s="422" t="s">
        <v>125</v>
      </c>
      <c r="O101" s="422" t="s">
        <v>125</v>
      </c>
      <c r="P101" s="422" t="s">
        <v>125</v>
      </c>
      <c r="Q101" s="422" t="s">
        <v>125</v>
      </c>
      <c r="R101" s="422" t="s">
        <v>125</v>
      </c>
      <c r="S101" s="422" t="s">
        <v>125</v>
      </c>
      <c r="T101" s="422" t="s">
        <v>125</v>
      </c>
      <c r="U101" s="422" t="s">
        <v>125</v>
      </c>
      <c r="V101" s="422" t="s">
        <v>125</v>
      </c>
      <c r="W101" s="422" t="s">
        <v>125</v>
      </c>
      <c r="X101" s="422" t="s">
        <v>125</v>
      </c>
      <c r="Y101" s="422" t="s">
        <v>125</v>
      </c>
      <c r="Z101" s="422" t="s">
        <v>125</v>
      </c>
      <c r="AA101" s="422" t="s">
        <v>125</v>
      </c>
      <c r="AB101" s="422" t="s">
        <v>125</v>
      </c>
      <c r="AC101" s="422" t="s">
        <v>125</v>
      </c>
      <c r="AD101" s="422" t="s">
        <v>125</v>
      </c>
      <c r="AE101" s="422" t="s">
        <v>125</v>
      </c>
      <c r="AF101" s="422" t="s">
        <v>125</v>
      </c>
      <c r="AG101" s="422" t="s">
        <v>125</v>
      </c>
      <c r="AH101" s="422" t="s">
        <v>125</v>
      </c>
      <c r="AI101" s="422" t="s">
        <v>125</v>
      </c>
      <c r="AJ101" s="422" t="s">
        <v>125</v>
      </c>
      <c r="AK101" s="422" t="s">
        <v>125</v>
      </c>
      <c r="AL101" s="422" t="s">
        <v>125</v>
      </c>
      <c r="AM101" s="422" t="s">
        <v>125</v>
      </c>
      <c r="AN101" s="422" t="s">
        <v>125</v>
      </c>
      <c r="AO101" s="422" t="s">
        <v>125</v>
      </c>
      <c r="AP101" s="422" t="s">
        <v>125</v>
      </c>
      <c r="AQ101" s="422" t="s">
        <v>125</v>
      </c>
      <c r="AR101" s="422" t="s">
        <v>125</v>
      </c>
      <c r="AS101" s="422" t="s">
        <v>125</v>
      </c>
      <c r="AT101" s="422" t="s">
        <v>125</v>
      </c>
      <c r="AU101" s="422" t="s">
        <v>125</v>
      </c>
      <c r="AV101" s="422" t="s">
        <v>125</v>
      </c>
      <c r="AW101" s="422" t="s">
        <v>125</v>
      </c>
      <c r="AX101" s="422" t="s">
        <v>125</v>
      </c>
      <c r="AY101" s="422" t="s">
        <v>125</v>
      </c>
      <c r="AZ101" s="422" t="s">
        <v>125</v>
      </c>
      <c r="BA101" s="422" t="s">
        <v>125</v>
      </c>
      <c r="BB101" s="422" t="s">
        <v>125</v>
      </c>
      <c r="BC101" s="422" t="s">
        <v>125</v>
      </c>
      <c r="BD101" s="422" t="s">
        <v>125</v>
      </c>
      <c r="BE101" s="422" t="s">
        <v>125</v>
      </c>
      <c r="BF101" s="422" t="s">
        <v>125</v>
      </c>
      <c r="BG101" s="422" t="s">
        <v>125</v>
      </c>
      <c r="BH101" s="422" t="s">
        <v>125</v>
      </c>
      <c r="BI101" s="422" t="s">
        <v>125</v>
      </c>
      <c r="BJ101" s="422" t="s">
        <v>125</v>
      </c>
      <c r="BK101" s="422" t="s">
        <v>125</v>
      </c>
      <c r="BL101" s="203"/>
      <c r="BM101" s="422" t="s">
        <v>125</v>
      </c>
      <c r="BN101" s="422" t="s">
        <v>125</v>
      </c>
      <c r="BO101" s="422" t="s">
        <v>125</v>
      </c>
      <c r="BP101" s="422" t="s">
        <v>125</v>
      </c>
      <c r="BQ101" s="422" t="s">
        <v>125</v>
      </c>
      <c r="BR101" s="422" t="s">
        <v>125</v>
      </c>
      <c r="BS101" s="422" t="s">
        <v>125</v>
      </c>
      <c r="BT101" s="422" t="s">
        <v>125</v>
      </c>
      <c r="BU101" s="422" t="s">
        <v>125</v>
      </c>
      <c r="BV101" s="422" t="s">
        <v>125</v>
      </c>
      <c r="BW101" s="422" t="s">
        <v>125</v>
      </c>
      <c r="BX101" s="422" t="s">
        <v>125</v>
      </c>
      <c r="BY101" s="422" t="s">
        <v>125</v>
      </c>
      <c r="BZ101" s="422" t="s">
        <v>125</v>
      </c>
      <c r="CA101" s="422" t="s">
        <v>125</v>
      </c>
      <c r="CB101" s="734"/>
      <c r="CC101" s="734"/>
      <c r="CD101" s="734"/>
      <c r="CK101" s="203"/>
    </row>
    <row r="102" spans="1:89" ht="14.25" hidden="1" customHeight="1" outlineLevel="1">
      <c r="A102" s="203"/>
      <c r="B102" s="209" t="s">
        <v>128</v>
      </c>
      <c r="C102" s="421"/>
      <c r="D102" s="421"/>
      <c r="E102" s="421">
        <f>E62-D62+E66-D66-E60+D60-E58+D58+E65-D65-IS!E125</f>
        <v>-440.12899999999883</v>
      </c>
      <c r="F102" s="421">
        <f>F62-E62+F66-E66-F60+E60-F58+E58+F65-E65-IS!F125</f>
        <v>-487.91399999999999</v>
      </c>
      <c r="G102" s="421">
        <f>G62-F62+G66-F66-G60+F60-G58+F58+G65-F65-IS!G125</f>
        <v>-2486.0929999999994</v>
      </c>
      <c r="H102" s="421">
        <f>H62-G62+H66-G66-H60+G60-H58+G58+H65-G65-IS!H125</f>
        <v>-91.879000000000985</v>
      </c>
      <c r="I102" s="421">
        <f>I62-H62+I66-H66-I60+H60-I58+H58+I65-H65-IS!I125</f>
        <v>-344.23699999999906</v>
      </c>
      <c r="J102" s="421">
        <f>J62-I62+J66-I66-J60+I60-J58+I58+J65-I65-IS!J125</f>
        <v>-146.35100000000097</v>
      </c>
      <c r="K102" s="421">
        <f>K62-J62+K66-J66-K60+J60-K58+J58+K65-J65-IS!K125</f>
        <v>11.916999999999916</v>
      </c>
      <c r="L102" s="421">
        <f>L62-K62+L66-K66-L60+K60-L58+K58+L65-K65-IS!L125</f>
        <v>-630.96499999999912</v>
      </c>
      <c r="M102" s="421">
        <f>M62-L62+M66-L66-M60+L60-M58+L58+M65-L65-IS!M125</f>
        <v>-35.734000000002538</v>
      </c>
      <c r="N102" s="421">
        <f>N62-M62+N66-M66-N60+M60-N58+M58+N65-M65-IS!N125</f>
        <v>-323.79099999999715</v>
      </c>
      <c r="O102" s="421">
        <f>O62-N62+O66-N66-O60+N60-O58+N58+O65-N65-IS!O125</f>
        <v>-304.78399999999846</v>
      </c>
      <c r="P102" s="421">
        <f>P62-O62+P66-O66-P60+O60-P58+O58+P65-O65-IS!P125</f>
        <v>25.580999999999023</v>
      </c>
      <c r="Q102" s="421">
        <f>Q62-P62+Q66-P66-Q60+P60-Q58+P58+Q65-P65-IS!Q125</f>
        <v>-13.357999999999606</v>
      </c>
      <c r="R102" s="421">
        <f>R62-Q62+R66-Q66-R60+Q60-R58+Q58+R65-Q65-IS!R125</f>
        <v>-36.700999999998899</v>
      </c>
      <c r="S102" s="421">
        <f>S62-R62+S66-R66-S60+R60-S58+R58+S65-R65-IS!S125</f>
        <v>-49.434999999998524</v>
      </c>
      <c r="T102" s="421">
        <f>T62-S62+T66-S66-T60+S60-T58+S58+T65-S65-IS!T125</f>
        <v>-30.385000000001924</v>
      </c>
      <c r="U102" s="421">
        <f>U62-T62+U66-T66-U60+T60-U58+T58+U65-T65-IS!U125</f>
        <v>-90.841999999999075</v>
      </c>
      <c r="V102" s="421">
        <f>V62-U62+V66-U66-V60+U60-V58+U58+V65-U65-IS!V125</f>
        <v>-173.31100000000009</v>
      </c>
      <c r="W102" s="421">
        <f>W62-V62+W66-V66-W60+V60-W58+V58+W65-V65-IS!W125</f>
        <v>-204.91900000000118</v>
      </c>
      <c r="X102" s="421">
        <f>X62-W62+X66-W66-X60+W60-X58+W58+X65-W65-IS!X125</f>
        <v>-201.44700000000194</v>
      </c>
      <c r="Y102" s="421">
        <f>Y62-X62+Y66-X66-Y60+X60-Y58+X58+Y65-X65-IS!Y125</f>
        <v>-146</v>
      </c>
      <c r="Z102" s="421">
        <f>Z62-Y62+Z66-Y66-Z60+Y60-Z58+Y58+Z65-Y65-IS!Z125</f>
        <v>-103</v>
      </c>
      <c r="AA102" s="421">
        <f>AA62-Z62+AA66-Z66-AA60+Z60-AA58+Z58+AA65-Z65-IS!AA125</f>
        <v>-217</v>
      </c>
      <c r="AB102" s="421">
        <f>AB62-AA62+AB66-AA66-AB60+AA60-AB58+AA58+AB65-AA65-IS!AB125</f>
        <v>-268</v>
      </c>
      <c r="AC102" s="421">
        <f>AC62-AB62+AC66-AB66-AC60+AB60-AC58+AB58+AC65-AB65-IS!AC125</f>
        <v>-236</v>
      </c>
      <c r="AD102" s="421">
        <f>AD62-AC62+AD66-AC66-AD60+AC60-AD58+AC58+AD65-AC65-IS!AD125</f>
        <v>-570</v>
      </c>
      <c r="AE102" s="421">
        <f>AE62-AD62+AE66-AD66-AE60+AD60-AE58+AD58+AE65-AD65-IS!AE125</f>
        <v>-533</v>
      </c>
      <c r="AF102" s="421">
        <f>AF62-AE62+AF66-AE66-AF60+AE60-AF58+AE58+AF65-AE65-IS!AF125</f>
        <v>-127</v>
      </c>
      <c r="AG102" s="421">
        <f>AG62-AF62+AG66-AF66-AG60+AF60-AG58+AF58+AG65-AF65-IS!AG125</f>
        <v>-122</v>
      </c>
      <c r="AH102" s="421">
        <f>AH62-AG62+AH66-AG66-AH60+AG60-AH58+AG58+AH65-AG65-IS!AH125</f>
        <v>-105</v>
      </c>
      <c r="AI102" s="421">
        <f>AI62-AH62+AI66-AH66-AI60+AH60-AI58+AH58+AI65-AH65-IS!AI125</f>
        <v>-72</v>
      </c>
      <c r="AJ102" s="421">
        <f>AJ62-AI62+AJ66-AI66-AJ60+AI60-AJ58+AI58+AJ65-AI65-IS!AJ125</f>
        <v>-94</v>
      </c>
      <c r="AK102" s="421">
        <f>AK62-AJ62+AK66-AJ66-AK60+AJ60-AK58+AJ58+AK65-AJ65-IS!AK125</f>
        <v>-31</v>
      </c>
      <c r="AL102" s="421">
        <f>AL62-AK62+AL66-AK66-AL60+AK60-AL58+AK58+AL65-AK65-IS!AL125</f>
        <v>-91</v>
      </c>
      <c r="AM102" s="421">
        <f>AM62-AL62+AM66-AL66-AM60+AL60-AM58+AL58+AM65-AL65-IS!AM125</f>
        <v>-38</v>
      </c>
      <c r="AN102" s="421">
        <f>AN62-AM62+AN66-AM66-AN60+AM60-AN58+AM58+AN65-AM65-IS!AN125</f>
        <v>-144</v>
      </c>
      <c r="AO102" s="421">
        <f>AO62-AN62+AO66-AN66-AO60+AN60-AO58+AN58+AO65-AN65-IS!AO125</f>
        <v>-36</v>
      </c>
      <c r="AP102" s="421">
        <f>AP62-AO62+AP66-AO66-AP60+AO60-AP58+AO58+AP65-AO65-IS!AP125</f>
        <v>-710</v>
      </c>
      <c r="AQ102" s="421">
        <f>AQ62-AP62+AQ66-AP66-AQ60+AP60-AQ58+AP58+AQ65-AP65-IS!AQ125</f>
        <v>-726</v>
      </c>
      <c r="AR102" s="421">
        <f>AR62-AQ62+AR66-AQ66-AR60+AQ60-AR58+AQ58+AR65-AQ65-IS!AR125</f>
        <v>-729</v>
      </c>
      <c r="AS102" s="421">
        <f>AS62-AR62+AS66-AR66-AS60+AR60-AS58+AR58+AS65-AR65-IS!AS125</f>
        <v>13356</v>
      </c>
      <c r="AT102" s="421">
        <f>AT62-AS62+AT66-AS66-AT60+AS60-AT58+AS58+AT65-AS65-IS!AT125</f>
        <v>-14537</v>
      </c>
      <c r="AU102" s="421">
        <f>AU62-AT62+AU66-AT66-AU60+AT60-AU58+AT58+AU65-AT65-IS!AU125</f>
        <v>-184</v>
      </c>
      <c r="AV102" s="421">
        <f>AV62-AU62+AV66-AU66-AV60+AU60-AV58+AU58+AV65-AU65-IS!AV125</f>
        <v>-242</v>
      </c>
      <c r="AW102" s="421">
        <f>AW62-AV62+AW66-AV66-AW60+AV60-AW58+AV58+AW65-AV65-IS!AW125</f>
        <v>-295</v>
      </c>
      <c r="AX102" s="421">
        <f>AX62-AW62+AX66-AW66-AX60+AW60-AX58+AW58+AX65-AW65-IS!AX125</f>
        <v>-430</v>
      </c>
      <c r="AY102" s="421">
        <f>AY62-AX62+AY66-AX66-AY60+AX60-AY58+AX58+AY65-AX65-IS!AY125</f>
        <v>-386</v>
      </c>
      <c r="AZ102" s="421">
        <f>AZ62-AY62+AZ66-AY66-AZ60+AY60-AZ58+AY58+AZ65-AY65-IS!AZ125</f>
        <v>-823</v>
      </c>
      <c r="BA102" s="421">
        <f>BA62-AZ62+BA66-AZ66-BA60+AZ60-BA58+AZ58+BA65-AZ65-IS!BA125</f>
        <v>-823.60000000000014</v>
      </c>
      <c r="BB102" s="421">
        <f>BB62-BA62+BB66-BA66-BB60+BA60-BB58+BA58+BB65-BA65-IS!BB125</f>
        <v>-929.19999999999914</v>
      </c>
      <c r="BC102" s="421">
        <f>BC62-BB62+BC66-BB66-BC60+BB60-BC58+BB58+BC65-BB65-IS!BC125</f>
        <v>-928.2000000000005</v>
      </c>
      <c r="BD102" s="421">
        <f>BD62-BC62+BD66-BC66-BD60+BC60-BD58+BC58+BD65-BC65-IS!BD125</f>
        <v>-927.80000000000109</v>
      </c>
      <c r="BE102" s="421">
        <f>BE62-BD62+BE66-BD66-BE60+BD60-BE58+BD58+BE65-BD65-IS!BE125</f>
        <v>-927.40000000000191</v>
      </c>
      <c r="BF102" s="421">
        <f>BF62-BE62+BF66-BE66-BF60+BE60-BF58+BE58+BF65-BE65-IS!BF125</f>
        <v>-927.00000000000125</v>
      </c>
      <c r="BG102" s="421">
        <f>BG62-BF62+BG66-BF66-BG60+BF60-BG58+BF58+BG65-BF65-IS!BG125</f>
        <v>-926.59999999999832</v>
      </c>
      <c r="BH102" s="421">
        <f>BH62-BG62+BH66-BG66-BH60+BG60-BH58+BG58+BH65-BG65-IS!BH125</f>
        <v>-926.49999999999829</v>
      </c>
      <c r="BI102" s="421">
        <f>BI62-BH62+BI66-BH66-BI60+BH60-BI58+BH58+BI65-BH65-IS!BI125</f>
        <v>-926.40000000000327</v>
      </c>
      <c r="BJ102" s="421">
        <f>BJ62-BI62+BJ66-BI66-BJ60+BI60-BJ58+BI58+BJ65-BI65-IS!BJ125</f>
        <v>-926.29999999999791</v>
      </c>
      <c r="BK102" s="421">
        <f>BK62-BJ62+BK66-BJ66-BK60+BJ60-BK58+BJ58+BK65-BJ65-IS!BK125</f>
        <v>-926.20000000000061</v>
      </c>
      <c r="BL102" s="421"/>
      <c r="BM102" s="421"/>
      <c r="BN102" s="421">
        <f>BN62-BM62+BN66-BM66-BN60+BM60-BN58+BM58+BN65-BM65-IS!BN125</f>
        <v>-570.55000000000109</v>
      </c>
      <c r="BO102" s="421">
        <f>BO62-BN62+BO66-BN66-BO60+BN60-BO58+BN58+BO65-BN65-IS!BO125</f>
        <v>-1295.273999999999</v>
      </c>
      <c r="BP102" s="421">
        <f>BP62-BO62+BP66-BO66-BP60+BO60-BP58+BO58+BP65-BO65-IS!BP125</f>
        <v>-73.912999999999784</v>
      </c>
      <c r="BQ102" s="421">
        <f>BQ62-BP62+BQ66-BP66-BQ60+BP60-BQ58+BP58+BQ65-BP65-IS!BQ125</f>
        <v>-499.45699999999954</v>
      </c>
      <c r="BR102" s="421">
        <f>BR62-BQ62+BR66-BQ66-BR60+BQ60-BR58+BQ58+BR65-BQ65-IS!BR125</f>
        <v>-667.44700000000194</v>
      </c>
      <c r="BS102" s="421">
        <f>BS62-BR62+BS66-BR66-BS60+BR60-BS58+BR58+BS65-BR65-IS!BS125</f>
        <v>-1607</v>
      </c>
      <c r="BT102" s="421">
        <f>BT62-BS62+BT66-BS66-BT60+BS60-BT58+BS58+BT65-BS65-IS!BT125</f>
        <v>-426</v>
      </c>
      <c r="BU102" s="421">
        <f>BU62-BT62+BU66-BT66-BU60+BT60-BU58+BT58+BU65-BT65-IS!BU125</f>
        <v>-254</v>
      </c>
      <c r="BV102" s="421">
        <f>BV62-BU62+BV66-BU66-BV60+BU60-BV58+BU58+BV65-BU65-IS!BV125</f>
        <v>-1616</v>
      </c>
      <c r="BW102" s="421">
        <f>BW62-BV62+BW66-BV66-BW60+BV60-BW58+BV58+BW65-BV65-IS!BW125</f>
        <v>-2094</v>
      </c>
      <c r="BX102" s="421">
        <f>BX62-BW62+BX66-BW66-BX60+BW60-BX58+BW58+BX65-BW65-IS!BX125</f>
        <v>-1353</v>
      </c>
      <c r="BY102" s="421">
        <f>BY62-BX62+BY66-BX66-BY60+BX60-BY58+BX58+BY65-BX65-IS!BY125</f>
        <v>-3503.9999999999991</v>
      </c>
      <c r="BZ102" s="421">
        <f>BZ62-BY62+BZ66-BY66-BZ60+BY60-BZ58+BY58+BZ65-BY65-IS!BZ125</f>
        <v>-3708.800000000002</v>
      </c>
      <c r="CA102" s="421">
        <f>CA62-BZ62+CA66-BZ66-CA60+BZ60-CA58+BZ58+CA65-BZ65-IS!CA125</f>
        <v>-3705.4</v>
      </c>
      <c r="CB102" s="734"/>
      <c r="CC102" s="734"/>
      <c r="CD102" s="734"/>
      <c r="CK102" s="203"/>
    </row>
    <row r="103" spans="1:89" ht="14.25" hidden="1" customHeight="1" outlineLevel="1">
      <c r="A103" s="200"/>
      <c r="B103" s="420"/>
      <c r="C103" s="42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0"/>
      <c r="AP103" s="200"/>
      <c r="AQ103" s="200"/>
      <c r="AR103" s="200"/>
      <c r="AS103" s="200"/>
      <c r="AT103" s="200"/>
      <c r="AU103" s="200"/>
      <c r="AV103" s="200"/>
      <c r="AW103" s="200"/>
      <c r="AX103" s="200"/>
      <c r="AY103" s="200"/>
      <c r="AZ103" s="200"/>
      <c r="BA103" s="200"/>
      <c r="BB103" s="200"/>
      <c r="BC103" s="200"/>
      <c r="BD103" s="200"/>
      <c r="BE103" s="200"/>
      <c r="BF103" s="200"/>
      <c r="BG103" s="200"/>
      <c r="BH103" s="200"/>
      <c r="BI103" s="200"/>
      <c r="BJ103" s="200"/>
      <c r="BK103" s="200"/>
      <c r="BL103" s="200"/>
      <c r="BM103" s="200"/>
      <c r="BN103" s="200"/>
      <c r="BO103" s="200"/>
      <c r="BP103" s="200"/>
      <c r="BQ103" s="200"/>
      <c r="BR103" s="200"/>
      <c r="BS103" s="200"/>
      <c r="BT103" s="200"/>
      <c r="BU103" s="200"/>
      <c r="BV103" s="200"/>
      <c r="BW103" s="200"/>
      <c r="BX103" s="200"/>
      <c r="BY103" s="200"/>
      <c r="BZ103" s="200"/>
      <c r="CA103" s="201"/>
      <c r="CB103" s="201"/>
      <c r="CC103" s="201"/>
      <c r="CD103" s="201"/>
      <c r="CK103" s="200"/>
    </row>
    <row r="104" spans="1:89" ht="14.25" customHeight="1" collapsed="1"/>
  </sheetData>
  <conditionalFormatting sqref="AN74 BZ57 D74:AL74 D57:AM57 D4:AR6 AQ74 AQ57 D46:AQ46 BM57:BS57 BM46:BS46 BM74:BS74 BM6:BS6 AT46 AT57 AT74 AT4:AV6 BZ74 BZ46 AX57:AY57 AX46:AY46 AX4:BC6 BZ6 BV6:BX6 BV74:BX74 BV46:BX46 BV57:BW57">
    <cfRule type="expression" dxfId="311" priority="75" stopIfTrue="1">
      <formula>D$100="A"</formula>
    </cfRule>
    <cfRule type="expression" dxfId="310" priority="76" stopIfTrue="1">
      <formula>D$100="E"</formula>
    </cfRule>
  </conditionalFormatting>
  <conditionalFormatting sqref="AM74">
    <cfRule type="expression" dxfId="309" priority="73" stopIfTrue="1">
      <formula>AM$100="A"</formula>
    </cfRule>
    <cfRule type="expression" dxfId="308" priority="74" stopIfTrue="1">
      <formula>AM$100="E"</formula>
    </cfRule>
  </conditionalFormatting>
  <conditionalFormatting sqref="AX74:AY74">
    <cfRule type="expression" dxfId="307" priority="71" stopIfTrue="1">
      <formula>AX$100="A"</formula>
    </cfRule>
    <cfRule type="expression" dxfId="306" priority="72" stopIfTrue="1">
      <formula>AX$100="E"</formula>
    </cfRule>
  </conditionalFormatting>
  <conditionalFormatting sqref="BX57">
    <cfRule type="expression" dxfId="305" priority="69" stopIfTrue="1">
      <formula>BX$100="A"</formula>
    </cfRule>
    <cfRule type="expression" dxfId="304" priority="70" stopIfTrue="1">
      <formula>BX$100="E"</formula>
    </cfRule>
  </conditionalFormatting>
  <conditionalFormatting sqref="AO74:AP74">
    <cfRule type="expression" dxfId="303" priority="67" stopIfTrue="1">
      <formula>AO$100="A"</formula>
    </cfRule>
    <cfRule type="expression" dxfId="302" priority="68" stopIfTrue="1">
      <formula>AO$100="E"</formula>
    </cfRule>
  </conditionalFormatting>
  <conditionalFormatting sqref="AN57:AP57">
    <cfRule type="expression" dxfId="301" priority="65" stopIfTrue="1">
      <formula>AN$100="A"</formula>
    </cfRule>
    <cfRule type="expression" dxfId="300" priority="66" stopIfTrue="1">
      <formula>AN$100="E"</formula>
    </cfRule>
  </conditionalFormatting>
  <conditionalFormatting sqref="AR74 AR46">
    <cfRule type="expression" dxfId="299" priority="57" stopIfTrue="1">
      <formula>AR$100="A"</formula>
    </cfRule>
    <cfRule type="expression" dxfId="298" priority="58" stopIfTrue="1">
      <formula>AR$100="E"</formula>
    </cfRule>
  </conditionalFormatting>
  <conditionalFormatting sqref="AR57">
    <cfRule type="expression" dxfId="297" priority="55" stopIfTrue="1">
      <formula>AR$100="A"</formula>
    </cfRule>
    <cfRule type="expression" dxfId="296" priority="56" stopIfTrue="1">
      <formula>AR$100="E"</formula>
    </cfRule>
  </conditionalFormatting>
  <conditionalFormatting sqref="AS4:AS6 AS46">
    <cfRule type="expression" dxfId="295" priority="49" stopIfTrue="1">
      <formula>AS$100="A"</formula>
    </cfRule>
    <cfRule type="expression" dxfId="294" priority="50" stopIfTrue="1">
      <formula>AS$100="E"</formula>
    </cfRule>
  </conditionalFormatting>
  <conditionalFormatting sqref="AS74">
    <cfRule type="expression" dxfId="293" priority="47" stopIfTrue="1">
      <formula>AS$100="A"</formula>
    </cfRule>
    <cfRule type="expression" dxfId="292" priority="48" stopIfTrue="1">
      <formula>AS$100="E"</formula>
    </cfRule>
  </conditionalFormatting>
  <conditionalFormatting sqref="AS57">
    <cfRule type="expression" dxfId="291" priority="45" stopIfTrue="1">
      <formula>AS$100="A"</formula>
    </cfRule>
    <cfRule type="expression" dxfId="290" priority="46" stopIfTrue="1">
      <formula>AS$100="E"</formula>
    </cfRule>
  </conditionalFormatting>
  <conditionalFormatting sqref="AZ46:BC46 AZ57:BC57">
    <cfRule type="expression" dxfId="289" priority="43" stopIfTrue="1">
      <formula>AZ$100="A"</formula>
    </cfRule>
    <cfRule type="expression" dxfId="288" priority="44" stopIfTrue="1">
      <formula>AZ$100="E"</formula>
    </cfRule>
  </conditionalFormatting>
  <conditionalFormatting sqref="AZ74:BC74">
    <cfRule type="expression" dxfId="287" priority="41" stopIfTrue="1">
      <formula>AZ$100="A"</formula>
    </cfRule>
    <cfRule type="expression" dxfId="286" priority="42" stopIfTrue="1">
      <formula>AZ$100="E"</formula>
    </cfRule>
  </conditionalFormatting>
  <conditionalFormatting sqref="AU74 AU57 AU46">
    <cfRule type="expression" dxfId="285" priority="35" stopIfTrue="1">
      <formula>AU$100="A"</formula>
    </cfRule>
    <cfRule type="expression" dxfId="284" priority="36" stopIfTrue="1">
      <formula>AU$100="E"</formula>
    </cfRule>
  </conditionalFormatting>
  <conditionalFormatting sqref="AV74 AV46">
    <cfRule type="expression" dxfId="283" priority="33" stopIfTrue="1">
      <formula>AV$100="A"</formula>
    </cfRule>
    <cfRule type="expression" dxfId="282" priority="34" stopIfTrue="1">
      <formula>AV$100="E"</formula>
    </cfRule>
  </conditionalFormatting>
  <conditionalFormatting sqref="AV57">
    <cfRule type="expression" dxfId="281" priority="31" stopIfTrue="1">
      <formula>AV$100="A"</formula>
    </cfRule>
    <cfRule type="expression" dxfId="280" priority="32" stopIfTrue="1">
      <formula>AV$100="E"</formula>
    </cfRule>
  </conditionalFormatting>
  <conditionalFormatting sqref="AW4:AW6 AW46">
    <cfRule type="expression" dxfId="279" priority="29" stopIfTrue="1">
      <formula>AW$100="A"</formula>
    </cfRule>
    <cfRule type="expression" dxfId="278" priority="30" stopIfTrue="1">
      <formula>AW$100="E"</formula>
    </cfRule>
  </conditionalFormatting>
  <conditionalFormatting sqref="AW74">
    <cfRule type="expression" dxfId="277" priority="27" stopIfTrue="1">
      <formula>AW$100="A"</formula>
    </cfRule>
    <cfRule type="expression" dxfId="276" priority="28" stopIfTrue="1">
      <formula>AW$100="E"</formula>
    </cfRule>
  </conditionalFormatting>
  <conditionalFormatting sqref="AW57">
    <cfRule type="expression" dxfId="275" priority="25" stopIfTrue="1">
      <formula>AW$100="A"</formula>
    </cfRule>
    <cfRule type="expression" dxfId="274" priority="26" stopIfTrue="1">
      <formula>AW$100="E"</formula>
    </cfRule>
  </conditionalFormatting>
  <conditionalFormatting sqref="BD4:BG6">
    <cfRule type="expression" dxfId="273" priority="23" stopIfTrue="1">
      <formula>BD$100="A"</formula>
    </cfRule>
    <cfRule type="expression" dxfId="272" priority="24" stopIfTrue="1">
      <formula>BD$100="E"</formula>
    </cfRule>
  </conditionalFormatting>
  <conditionalFormatting sqref="BD46:BG46 BD57:BG57">
    <cfRule type="expression" dxfId="271" priority="17" stopIfTrue="1">
      <formula>BD$100="A"</formula>
    </cfRule>
    <cfRule type="expression" dxfId="270" priority="18" stopIfTrue="1">
      <formula>BD$100="E"</formula>
    </cfRule>
  </conditionalFormatting>
  <conditionalFormatting sqref="BD74:BG74">
    <cfRule type="expression" dxfId="269" priority="15" stopIfTrue="1">
      <formula>BD$100="A"</formula>
    </cfRule>
    <cfRule type="expression" dxfId="268" priority="16" stopIfTrue="1">
      <formula>BD$100="E"</formula>
    </cfRule>
  </conditionalFormatting>
  <conditionalFormatting sqref="BY46 BY74 BY6">
    <cfRule type="expression" dxfId="267" priority="13" stopIfTrue="1">
      <formula>BY$100="A"</formula>
    </cfRule>
    <cfRule type="expression" dxfId="266" priority="14" stopIfTrue="1">
      <formula>BY$100="E"</formula>
    </cfRule>
  </conditionalFormatting>
  <conditionalFormatting sqref="BY57">
    <cfRule type="expression" dxfId="265" priority="11" stopIfTrue="1">
      <formula>BY$100="A"</formula>
    </cfRule>
    <cfRule type="expression" dxfId="264" priority="12" stopIfTrue="1">
      <formula>BY$100="E"</formula>
    </cfRule>
  </conditionalFormatting>
  <conditionalFormatting sqref="BH4:BK6">
    <cfRule type="expression" dxfId="263" priority="9" stopIfTrue="1">
      <formula>BH$100="A"</formula>
    </cfRule>
    <cfRule type="expression" dxfId="262" priority="10" stopIfTrue="1">
      <formula>BH$100="E"</formula>
    </cfRule>
  </conditionalFormatting>
  <conditionalFormatting sqref="BH46:BK46 BH57:BK57">
    <cfRule type="expression" dxfId="261" priority="7" stopIfTrue="1">
      <formula>BH$100="A"</formula>
    </cfRule>
    <cfRule type="expression" dxfId="260" priority="8" stopIfTrue="1">
      <formula>BH$100="E"</formula>
    </cfRule>
  </conditionalFormatting>
  <conditionalFormatting sqref="BH74:BK74">
    <cfRule type="expression" dxfId="259" priority="5" stopIfTrue="1">
      <formula>BH$100="A"</formula>
    </cfRule>
    <cfRule type="expression" dxfId="258" priority="6" stopIfTrue="1">
      <formula>BH$100="E"</formula>
    </cfRule>
  </conditionalFormatting>
  <conditionalFormatting sqref="CA57 CA74 CA46 CA6">
    <cfRule type="expression" dxfId="257" priority="3" stopIfTrue="1">
      <formula>CA$100="A"</formula>
    </cfRule>
    <cfRule type="expression" dxfId="256" priority="4" stopIfTrue="1">
      <formula>CA$100="E"</formula>
    </cfRule>
  </conditionalFormatting>
  <conditionalFormatting sqref="BT57:BU57 BT46:BU46 BT74:BU74 BT6:BU6">
    <cfRule type="expression" dxfId="255" priority="1" stopIfTrue="1">
      <formula>BT$100="A"</formula>
    </cfRule>
    <cfRule type="expression" dxfId="254" priority="2" stopIfTrue="1">
      <formula>BT$100="E"</formula>
    </cfRule>
  </conditionalFormatting>
  <pageMargins left="0" right="0" top="0" bottom="0" header="0" footer="0"/>
  <pageSetup paperSize="5" scale="5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17"/>
    <pageSetUpPr fitToPage="1"/>
  </sheetPr>
  <dimension ref="A1:CK158"/>
  <sheetViews>
    <sheetView showGridLines="0" zoomScale="85" zoomScaleNormal="85" workbookViewId="0">
      <pane xSplit="3" ySplit="6" topLeftCell="AV36" activePane="bottomRight" state="frozen"/>
      <selection activeCell="AV40" sqref="AV40"/>
      <selection pane="topRight" activeCell="AV40" sqref="AV40"/>
      <selection pane="bottomLeft" activeCell="AV40" sqref="AV40"/>
      <selection pane="bottomRight" activeCell="B4" sqref="B4:BZ54"/>
    </sheetView>
  </sheetViews>
  <sheetFormatPr defaultRowHeight="14.25" customHeight="1" outlineLevelCol="1"/>
  <cols>
    <col min="1" max="1" width="1.7109375" style="182" customWidth="1"/>
    <col min="2" max="2" width="56" customWidth="1"/>
    <col min="3" max="3" width="1.7109375" style="182" customWidth="1"/>
    <col min="4" max="34" width="11.42578125" style="182" hidden="1" customWidth="1" outlineLevel="1"/>
    <col min="35" max="35" width="10.5703125" style="182" hidden="1" customWidth="1" outlineLevel="1"/>
    <col min="36" max="39" width="11.42578125" style="182" hidden="1" customWidth="1" outlineLevel="1"/>
    <col min="40" max="40" width="11.42578125" style="182" hidden="1" customWidth="1" outlineLevel="1" collapsed="1"/>
    <col min="41" max="47" width="11.42578125" style="182" hidden="1" customWidth="1" outlineLevel="1"/>
    <col min="48" max="48" width="11.42578125" style="182" customWidth="1" collapsed="1"/>
    <col min="49" max="59" width="11.42578125" style="182" customWidth="1"/>
    <col min="60" max="63" width="11.42578125" style="182" hidden="1" customWidth="1" outlineLevel="1"/>
    <col min="64" max="64" width="9.5703125" style="182" customWidth="1" collapsed="1"/>
    <col min="65" max="69" width="11.42578125" style="182" hidden="1" customWidth="1" outlineLevel="1"/>
    <col min="70" max="75" width="11.42578125" style="182" hidden="1" customWidth="1" outlineLevel="1" collapsed="1"/>
    <col min="76" max="76" width="11.42578125" style="182" customWidth="1" collapsed="1"/>
    <col min="77" max="78" width="11.42578125" style="182" customWidth="1"/>
    <col min="79" max="79" width="11.42578125" style="182" hidden="1" customWidth="1" outlineLevel="1" collapsed="1"/>
    <col min="80" max="80" width="11.42578125" style="182" customWidth="1" collapsed="1"/>
    <col min="81" max="81" width="11.42578125" style="182" customWidth="1"/>
    <col min="82" max="82" width="11.42578125" style="183" customWidth="1"/>
    <col min="83" max="88" width="9.140625" hidden="1" customWidth="1" outlineLevel="1"/>
    <col min="89" max="89" width="9.140625" style="182" customWidth="1" collapsed="1"/>
    <col min="90" max="16384" width="9.140625" style="182"/>
  </cols>
  <sheetData>
    <row r="1" spans="1:82" ht="20.25">
      <c r="A1" s="200"/>
      <c r="B1" s="202"/>
      <c r="C1" s="200"/>
      <c r="D1" s="417" t="s">
        <v>6</v>
      </c>
      <c r="E1" s="417"/>
      <c r="F1" s="417" t="s">
        <v>6</v>
      </c>
      <c r="G1" s="417"/>
      <c r="H1" s="417" t="s">
        <v>6</v>
      </c>
      <c r="I1" s="417"/>
      <c r="J1" s="417" t="s">
        <v>6</v>
      </c>
      <c r="K1" s="417"/>
      <c r="L1" s="417" t="s">
        <v>6</v>
      </c>
      <c r="M1" s="417"/>
      <c r="N1" s="417" t="s">
        <v>6</v>
      </c>
      <c r="O1" s="417"/>
      <c r="P1" s="417" t="s">
        <v>6</v>
      </c>
      <c r="Q1" s="417"/>
      <c r="R1" s="417" t="s">
        <v>6</v>
      </c>
      <c r="S1" s="417"/>
      <c r="T1" s="417" t="s">
        <v>6</v>
      </c>
      <c r="U1" s="417"/>
      <c r="V1" s="417" t="s">
        <v>6</v>
      </c>
      <c r="W1" s="417"/>
      <c r="X1" s="417" t="s">
        <v>6</v>
      </c>
      <c r="Y1" s="417"/>
      <c r="Z1" s="417" t="s">
        <v>6</v>
      </c>
      <c r="AA1" s="417"/>
      <c r="AB1" s="417" t="s">
        <v>6</v>
      </c>
      <c r="AC1" s="417"/>
      <c r="AD1" s="417" t="s">
        <v>6</v>
      </c>
      <c r="AE1" s="417"/>
      <c r="AF1" s="417" t="s">
        <v>6</v>
      </c>
      <c r="AG1" s="417"/>
      <c r="AH1" s="417" t="s">
        <v>6</v>
      </c>
      <c r="AI1" s="417"/>
      <c r="AJ1" s="417" t="s">
        <v>6</v>
      </c>
      <c r="AK1" s="417"/>
      <c r="AL1" s="417" t="s">
        <v>6</v>
      </c>
      <c r="AM1" s="417"/>
      <c r="AN1" s="417"/>
      <c r="AO1" s="417"/>
      <c r="AP1" s="417"/>
      <c r="AQ1" s="417"/>
      <c r="AR1" s="417"/>
      <c r="AS1" s="417"/>
      <c r="AT1" s="417"/>
      <c r="AU1" s="417"/>
      <c r="AV1" s="417"/>
      <c r="AW1" s="417"/>
      <c r="AX1" s="417"/>
      <c r="AY1" s="417"/>
      <c r="AZ1" s="417"/>
      <c r="BA1" s="417"/>
      <c r="BB1" s="417"/>
      <c r="BC1" s="417"/>
      <c r="BD1" s="417"/>
      <c r="BE1" s="417"/>
      <c r="BF1" s="417"/>
      <c r="BG1" s="417"/>
      <c r="BH1" s="417"/>
      <c r="BI1" s="417"/>
      <c r="BJ1" s="417"/>
      <c r="BK1" s="417"/>
      <c r="BL1" s="417" t="s">
        <v>6</v>
      </c>
      <c r="BM1" s="417"/>
      <c r="BN1" s="417" t="s">
        <v>6</v>
      </c>
      <c r="BO1" s="417"/>
      <c r="BP1" s="417" t="s">
        <v>6</v>
      </c>
      <c r="BQ1" s="417"/>
      <c r="BR1" s="417" t="s">
        <v>6</v>
      </c>
      <c r="BS1" s="417"/>
      <c r="BT1" s="417" t="s">
        <v>6</v>
      </c>
      <c r="BU1" s="417"/>
      <c r="BV1" s="417"/>
      <c r="BW1" s="417"/>
      <c r="BX1" s="417" t="s">
        <v>6</v>
      </c>
      <c r="BY1" s="417"/>
      <c r="BZ1" s="417" t="s">
        <v>6</v>
      </c>
      <c r="CA1" s="417"/>
      <c r="CB1" s="417"/>
      <c r="CC1" s="417"/>
      <c r="CD1" s="201"/>
    </row>
    <row r="2" spans="1:82" ht="60" customHeight="1">
      <c r="A2" s="200"/>
      <c r="B2" s="416" t="str">
        <f>IS!B2</f>
        <v>Applied Materials Inc.</v>
      </c>
      <c r="C2" s="416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1"/>
    </row>
    <row r="3" spans="1:82" ht="14.25" customHeight="1">
      <c r="A3" s="200"/>
      <c r="B3" s="200"/>
      <c r="C3" s="415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01"/>
    </row>
    <row r="4" spans="1:82" ht="14.25" customHeight="1">
      <c r="A4" s="203"/>
      <c r="B4" s="238" t="s">
        <v>417</v>
      </c>
      <c r="C4" s="410"/>
      <c r="D4" s="541" t="str">
        <f>IS!D4</f>
        <v>1FQ2006</v>
      </c>
      <c r="E4" s="540" t="str">
        <f>IS!E4</f>
        <v>2FQ2006</v>
      </c>
      <c r="F4" s="540" t="str">
        <f>IS!F4</f>
        <v>3FQ2006</v>
      </c>
      <c r="G4" s="539" t="str">
        <f>IS!G4</f>
        <v>4FQ2006</v>
      </c>
      <c r="H4" s="541" t="str">
        <f>IS!H4</f>
        <v>1FQ2007</v>
      </c>
      <c r="I4" s="540" t="str">
        <f>IS!I4</f>
        <v>2FQ2007</v>
      </c>
      <c r="J4" s="540" t="str">
        <f>IS!J4</f>
        <v>3FQ2007</v>
      </c>
      <c r="K4" s="539" t="str">
        <f>IS!K4</f>
        <v>4FQ2007</v>
      </c>
      <c r="L4" s="541" t="str">
        <f>IS!L4</f>
        <v>1FQ2008</v>
      </c>
      <c r="M4" s="540" t="str">
        <f>IS!M4</f>
        <v>2FQ2008</v>
      </c>
      <c r="N4" s="540" t="str">
        <f>IS!N4</f>
        <v>3FQ2008</v>
      </c>
      <c r="O4" s="539" t="str">
        <f>IS!O4</f>
        <v>4FQ2008</v>
      </c>
      <c r="P4" s="541" t="str">
        <f>IS!P4</f>
        <v>1FQ2009</v>
      </c>
      <c r="Q4" s="540" t="str">
        <f>IS!Q4</f>
        <v>2FQ2009</v>
      </c>
      <c r="R4" s="540" t="str">
        <f>IS!R4</f>
        <v>3FQ2009</v>
      </c>
      <c r="S4" s="539" t="str">
        <f>IS!S4</f>
        <v>4FQ2009</v>
      </c>
      <c r="T4" s="541" t="str">
        <f>IS!T4</f>
        <v>1FQ2010</v>
      </c>
      <c r="U4" s="540" t="str">
        <f>IS!U4</f>
        <v>2FQ2010</v>
      </c>
      <c r="V4" s="540" t="str">
        <f>IS!V4</f>
        <v>3FQ2010</v>
      </c>
      <c r="W4" s="539" t="str">
        <f>IS!W4</f>
        <v>4FQ2010</v>
      </c>
      <c r="X4" s="541" t="str">
        <f>IS!X4</f>
        <v>1FQ2011</v>
      </c>
      <c r="Y4" s="540" t="str">
        <f>IS!Y4</f>
        <v>2FQ2011</v>
      </c>
      <c r="Z4" s="540" t="str">
        <f>IS!Z4</f>
        <v>3FQ2011</v>
      </c>
      <c r="AA4" s="539" t="str">
        <f>IS!AA4</f>
        <v>4FQ2011</v>
      </c>
      <c r="AB4" s="541" t="str">
        <f>IS!AB4</f>
        <v>1FQ2012</v>
      </c>
      <c r="AC4" s="540" t="str">
        <f>IS!AC4</f>
        <v>2FQ2012</v>
      </c>
      <c r="AD4" s="540" t="str">
        <f>IS!AD4</f>
        <v>3FQ2012</v>
      </c>
      <c r="AE4" s="539" t="str">
        <f>IS!AE4</f>
        <v>4FQ2012</v>
      </c>
      <c r="AF4" s="541" t="str">
        <f>IS!AF4</f>
        <v>1FQ2013</v>
      </c>
      <c r="AG4" s="540" t="str">
        <f>IS!AG4</f>
        <v>2FQ2013</v>
      </c>
      <c r="AH4" s="540" t="str">
        <f>IS!AH4</f>
        <v>3FQ2013</v>
      </c>
      <c r="AI4" s="539" t="str">
        <f>IS!AI4</f>
        <v>4FQ2013</v>
      </c>
      <c r="AJ4" s="541" t="str">
        <f>IS!AJ4</f>
        <v>1FQ2014</v>
      </c>
      <c r="AK4" s="540" t="str">
        <f>IS!AK4</f>
        <v>2FQ2014</v>
      </c>
      <c r="AL4" s="540" t="str">
        <f>IS!AL4</f>
        <v>3FQ2014</v>
      </c>
      <c r="AM4" s="539" t="str">
        <f>IS!AM4</f>
        <v>4FQ2014</v>
      </c>
      <c r="AN4" s="541" t="str">
        <f>IS!AN4</f>
        <v>1FQ2015</v>
      </c>
      <c r="AO4" s="540" t="str">
        <f>IS!AO4</f>
        <v>2FQ2015</v>
      </c>
      <c r="AP4" s="540" t="str">
        <f>IS!AP4</f>
        <v>3FQ2015</v>
      </c>
      <c r="AQ4" s="539" t="str">
        <f>IS!AQ4</f>
        <v>4FQ2015</v>
      </c>
      <c r="AR4" s="664" t="str">
        <f>IS!AR4</f>
        <v>1FQ2016</v>
      </c>
      <c r="AS4" s="665" t="str">
        <f>IS!AS4</f>
        <v>2FQ2016</v>
      </c>
      <c r="AT4" s="540" t="str">
        <f>IS!AT4</f>
        <v>3FQ2016</v>
      </c>
      <c r="AU4" s="539" t="str">
        <f>IS!AU4</f>
        <v>4FQ2016</v>
      </c>
      <c r="AV4" s="664" t="str">
        <f>IS!AV4</f>
        <v>1FQ2017</v>
      </c>
      <c r="AW4" s="540" t="str">
        <f>IS!AW4</f>
        <v>2FQ2017</v>
      </c>
      <c r="AX4" s="540" t="str">
        <f>IS!AX4</f>
        <v>3FQ2017</v>
      </c>
      <c r="AY4" s="539" t="str">
        <f>IS!AY4</f>
        <v>4FQ2017</v>
      </c>
      <c r="AZ4" s="664" t="str">
        <f>IS!AZ4</f>
        <v>1FQ2018</v>
      </c>
      <c r="BA4" s="540" t="str">
        <f>IS!BA4</f>
        <v>2FQ2018</v>
      </c>
      <c r="BB4" s="540" t="str">
        <f>IS!BB4</f>
        <v>3FQ2018</v>
      </c>
      <c r="BC4" s="539" t="str">
        <f>IS!BC4</f>
        <v>4FQ2018</v>
      </c>
      <c r="BD4" s="664" t="str">
        <f>IS!BD4</f>
        <v>1FQ2019</v>
      </c>
      <c r="BE4" s="540" t="str">
        <f>IS!BE4</f>
        <v>2FQ2019</v>
      </c>
      <c r="BF4" s="540" t="str">
        <f>IS!BF4</f>
        <v>3FQ2019</v>
      </c>
      <c r="BG4" s="539" t="str">
        <f>IS!BG4</f>
        <v>4FQ2019</v>
      </c>
      <c r="BH4" s="664" t="str">
        <f>IS!BH4</f>
        <v>1FQ2020</v>
      </c>
      <c r="BI4" s="540" t="str">
        <f>IS!BI4</f>
        <v>2FQ2020</v>
      </c>
      <c r="BJ4" s="540" t="str">
        <f>IS!BJ4</f>
        <v>3FQ2020</v>
      </c>
      <c r="BK4" s="539" t="str">
        <f>IS!BK4</f>
        <v>4FQ2020</v>
      </c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1"/>
      <c r="CB4" s="201"/>
      <c r="CC4" s="201"/>
      <c r="CD4" s="201"/>
    </row>
    <row r="5" spans="1:82" ht="14.25" customHeight="1">
      <c r="A5" s="203"/>
      <c r="B5" s="409" t="str">
        <f>IS!B5</f>
        <v>($ in millions; fiscal year ends in October)</v>
      </c>
      <c r="C5" s="408"/>
      <c r="D5" s="541">
        <f>BS!D5</f>
        <v>38748</v>
      </c>
      <c r="E5" s="540">
        <f>BS!E5</f>
        <v>38837</v>
      </c>
      <c r="F5" s="540">
        <f>BS!F5</f>
        <v>38929</v>
      </c>
      <c r="G5" s="539">
        <f>BS!G5</f>
        <v>39021</v>
      </c>
      <c r="H5" s="541">
        <f>BS!H5</f>
        <v>39113</v>
      </c>
      <c r="I5" s="540">
        <f>BS!I5</f>
        <v>39202</v>
      </c>
      <c r="J5" s="540">
        <f>BS!J5</f>
        <v>39294</v>
      </c>
      <c r="K5" s="539">
        <f>BS!K5</f>
        <v>39386</v>
      </c>
      <c r="L5" s="541">
        <f>BS!L5</f>
        <v>39478</v>
      </c>
      <c r="M5" s="540">
        <f>BS!M5</f>
        <v>39568</v>
      </c>
      <c r="N5" s="540">
        <f>BS!N5</f>
        <v>39660</v>
      </c>
      <c r="O5" s="539">
        <f>BS!O5</f>
        <v>39752</v>
      </c>
      <c r="P5" s="541">
        <f>BS!P5</f>
        <v>39844</v>
      </c>
      <c r="Q5" s="540">
        <f>BS!Q5</f>
        <v>39933</v>
      </c>
      <c r="R5" s="540">
        <f>BS!R5</f>
        <v>40025</v>
      </c>
      <c r="S5" s="539">
        <f>BS!S5</f>
        <v>40117</v>
      </c>
      <c r="T5" s="541">
        <f>BS!T5</f>
        <v>40209</v>
      </c>
      <c r="U5" s="540">
        <f>BS!U5</f>
        <v>40298</v>
      </c>
      <c r="V5" s="540">
        <f>BS!V5</f>
        <v>40390</v>
      </c>
      <c r="W5" s="539">
        <f>BS!W5</f>
        <v>40482</v>
      </c>
      <c r="X5" s="541">
        <f>BS!X5</f>
        <v>40574</v>
      </c>
      <c r="Y5" s="540">
        <f>BS!Y5</f>
        <v>40663</v>
      </c>
      <c r="Z5" s="540">
        <f>BS!Z5</f>
        <v>40755</v>
      </c>
      <c r="AA5" s="539">
        <f>BS!AA5</f>
        <v>40847</v>
      </c>
      <c r="AB5" s="541">
        <f>BS!AB5</f>
        <v>40939</v>
      </c>
      <c r="AC5" s="540">
        <f>BS!AC5</f>
        <v>41029</v>
      </c>
      <c r="AD5" s="540">
        <f>BS!AD5</f>
        <v>41121</v>
      </c>
      <c r="AE5" s="539">
        <f>BS!AE5</f>
        <v>41213</v>
      </c>
      <c r="AF5" s="541">
        <f>BS!AF5</f>
        <v>41305</v>
      </c>
      <c r="AG5" s="540">
        <f>BS!AG5</f>
        <v>41394</v>
      </c>
      <c r="AH5" s="540">
        <f>BS!AH5</f>
        <v>41486</v>
      </c>
      <c r="AI5" s="539">
        <f>BS!AI5</f>
        <v>41578</v>
      </c>
      <c r="AJ5" s="541">
        <f>BS!AJ5</f>
        <v>41670</v>
      </c>
      <c r="AK5" s="540">
        <f>BS!AK5</f>
        <v>41759</v>
      </c>
      <c r="AL5" s="540">
        <f>BS!AL5</f>
        <v>41851</v>
      </c>
      <c r="AM5" s="539">
        <f>BS!AM5</f>
        <v>41943</v>
      </c>
      <c r="AN5" s="541">
        <f>BS!AN5</f>
        <v>42035</v>
      </c>
      <c r="AO5" s="540">
        <f>BS!AO5</f>
        <v>42124</v>
      </c>
      <c r="AP5" s="540">
        <f>BS!AP5</f>
        <v>42216</v>
      </c>
      <c r="AQ5" s="539">
        <f>BS!AQ5</f>
        <v>42308</v>
      </c>
      <c r="AR5" s="664">
        <f>BS!AR5</f>
        <v>42400</v>
      </c>
      <c r="AS5" s="665">
        <f>BS!AS5</f>
        <v>42490</v>
      </c>
      <c r="AT5" s="540">
        <f>BS!AT5</f>
        <v>42582</v>
      </c>
      <c r="AU5" s="539">
        <f>BS!AU5</f>
        <v>42674</v>
      </c>
      <c r="AV5" s="664">
        <f>BS!AV5</f>
        <v>42766</v>
      </c>
      <c r="AW5" s="540">
        <f>BS!AW5</f>
        <v>42855</v>
      </c>
      <c r="AX5" s="540">
        <f>BS!AX5</f>
        <v>42947</v>
      </c>
      <c r="AY5" s="539">
        <f>BS!AY5</f>
        <v>43039</v>
      </c>
      <c r="AZ5" s="664">
        <f>BS!AZ5</f>
        <v>43131</v>
      </c>
      <c r="BA5" s="540">
        <f>BS!BA5</f>
        <v>43220</v>
      </c>
      <c r="BB5" s="540">
        <f>BS!BB5</f>
        <v>43312</v>
      </c>
      <c r="BC5" s="539">
        <f>BS!BC5</f>
        <v>43404</v>
      </c>
      <c r="BD5" s="664">
        <f>BS!BD5</f>
        <v>43496</v>
      </c>
      <c r="BE5" s="540">
        <f>BS!BE5</f>
        <v>43585</v>
      </c>
      <c r="BF5" s="540">
        <f>BS!BF5</f>
        <v>43677</v>
      </c>
      <c r="BG5" s="539">
        <f>BS!BG5</f>
        <v>43769</v>
      </c>
      <c r="BH5" s="664">
        <f>BS!BH5</f>
        <v>43861</v>
      </c>
      <c r="BI5" s="540">
        <f>BS!BI5</f>
        <v>43951</v>
      </c>
      <c r="BJ5" s="540">
        <f>BS!BJ5</f>
        <v>44043</v>
      </c>
      <c r="BK5" s="539">
        <f>BS!BK5</f>
        <v>44135</v>
      </c>
      <c r="BL5" s="203"/>
      <c r="BM5" s="203"/>
      <c r="BN5" s="203"/>
      <c r="BO5" s="203"/>
      <c r="BP5" s="203"/>
      <c r="BQ5" s="203"/>
      <c r="BR5" s="632"/>
      <c r="BS5" s="632"/>
      <c r="BT5" s="632"/>
      <c r="BU5" s="632"/>
      <c r="BV5" s="632"/>
      <c r="BW5" s="632"/>
      <c r="BX5" s="632"/>
      <c r="CA5" s="204"/>
      <c r="CB5" s="209"/>
      <c r="CC5" s="734"/>
      <c r="CD5" s="204"/>
    </row>
    <row r="6" spans="1:82" ht="14.25" customHeight="1">
      <c r="A6" s="203"/>
      <c r="B6" s="662"/>
      <c r="C6" s="631"/>
      <c r="D6" s="397" t="str">
        <f>BS!D6</f>
        <v>1Q06</v>
      </c>
      <c r="E6" s="396" t="str">
        <f>BS!E6</f>
        <v>2Q06</v>
      </c>
      <c r="F6" s="396" t="str">
        <f>BS!F6</f>
        <v>3Q06</v>
      </c>
      <c r="G6" s="398" t="str">
        <f>BS!G6</f>
        <v>4Q06</v>
      </c>
      <c r="H6" s="397" t="str">
        <f>BS!H6</f>
        <v>1Q07</v>
      </c>
      <c r="I6" s="396" t="str">
        <f>BS!I6</f>
        <v>2Q07</v>
      </c>
      <c r="J6" s="396" t="str">
        <f>BS!J6</f>
        <v>3Q07</v>
      </c>
      <c r="K6" s="398" t="str">
        <f>BS!K6</f>
        <v>4Q07</v>
      </c>
      <c r="L6" s="397" t="str">
        <f>BS!L6</f>
        <v>1Q08</v>
      </c>
      <c r="M6" s="396" t="str">
        <f>BS!M6</f>
        <v>2Q08</v>
      </c>
      <c r="N6" s="396" t="str">
        <f>BS!N6</f>
        <v>3Q08</v>
      </c>
      <c r="O6" s="398" t="str">
        <f>BS!O6</f>
        <v>4Q08</v>
      </c>
      <c r="P6" s="397" t="str">
        <f>BS!P6</f>
        <v>1Q09</v>
      </c>
      <c r="Q6" s="396" t="str">
        <f>BS!Q6</f>
        <v>2Q09</v>
      </c>
      <c r="R6" s="396" t="str">
        <f>BS!R6</f>
        <v>3Q09</v>
      </c>
      <c r="S6" s="398" t="str">
        <f>BS!S6</f>
        <v>4Q09</v>
      </c>
      <c r="T6" s="397" t="str">
        <f>BS!T6</f>
        <v>1Q10</v>
      </c>
      <c r="U6" s="396" t="str">
        <f>BS!U6</f>
        <v>2Q10</v>
      </c>
      <c r="V6" s="396" t="str">
        <f>BS!V6</f>
        <v>3Q10</v>
      </c>
      <c r="W6" s="398" t="str">
        <f>BS!W6</f>
        <v>4Q10</v>
      </c>
      <c r="X6" s="397" t="str">
        <f>BS!X6</f>
        <v>1Q11</v>
      </c>
      <c r="Y6" s="396" t="str">
        <f>BS!Y6</f>
        <v>2Q11</v>
      </c>
      <c r="Z6" s="396" t="str">
        <f>BS!Z6</f>
        <v>3Q11</v>
      </c>
      <c r="AA6" s="398" t="str">
        <f>BS!AA6</f>
        <v>4Q11</v>
      </c>
      <c r="AB6" s="397" t="str">
        <f>BS!AB6</f>
        <v>1Q12</v>
      </c>
      <c r="AC6" s="396" t="str">
        <f>BS!AC6</f>
        <v>2Q12</v>
      </c>
      <c r="AD6" s="396" t="str">
        <f>BS!AD6</f>
        <v>3Q12</v>
      </c>
      <c r="AE6" s="398" t="str">
        <f>BS!AE6</f>
        <v>4Q12</v>
      </c>
      <c r="AF6" s="397" t="str">
        <f>BS!AF6</f>
        <v>1Q13</v>
      </c>
      <c r="AG6" s="396" t="str">
        <f>BS!AG6</f>
        <v>2Q13</v>
      </c>
      <c r="AH6" s="396" t="str">
        <f>BS!AH6</f>
        <v>3Q13</v>
      </c>
      <c r="AI6" s="398" t="str">
        <f>BS!AI6</f>
        <v>4Q13</v>
      </c>
      <c r="AJ6" s="397" t="str">
        <f>BS!AJ6</f>
        <v>1Q14</v>
      </c>
      <c r="AK6" s="396" t="str">
        <f>BS!AK6</f>
        <v>2Q14</v>
      </c>
      <c r="AL6" s="396" t="str">
        <f>BS!AL6</f>
        <v>3Q14</v>
      </c>
      <c r="AM6" s="398" t="str">
        <f>BS!AM6</f>
        <v>4Q14</v>
      </c>
      <c r="AN6" s="397" t="str">
        <f>BS!AN6</f>
        <v>1Q15</v>
      </c>
      <c r="AO6" s="396" t="str">
        <f>BS!AO6</f>
        <v>2Q15</v>
      </c>
      <c r="AP6" s="396" t="str">
        <f>BS!AP6</f>
        <v>3Q15</v>
      </c>
      <c r="AQ6" s="398" t="str">
        <f>BS!AQ6</f>
        <v>4Q15</v>
      </c>
      <c r="AR6" s="666" t="str">
        <f>BS!AR6</f>
        <v>1Q16</v>
      </c>
      <c r="AS6" s="667" t="str">
        <f>BS!AS6</f>
        <v>2Q16</v>
      </c>
      <c r="AT6" s="396" t="str">
        <f>BS!AT6</f>
        <v>3Q16</v>
      </c>
      <c r="AU6" s="398" t="str">
        <f>BS!AU6</f>
        <v>4Q16</v>
      </c>
      <c r="AV6" s="666" t="str">
        <f>BS!AV6</f>
        <v>1Q17</v>
      </c>
      <c r="AW6" s="396" t="str">
        <f>BS!AW6</f>
        <v>2Q17</v>
      </c>
      <c r="AX6" s="396" t="str">
        <f>BS!AX6</f>
        <v>3Q17</v>
      </c>
      <c r="AY6" s="398" t="str">
        <f>BS!AY6</f>
        <v>4Q17</v>
      </c>
      <c r="AZ6" s="666" t="str">
        <f>BS!AZ6</f>
        <v>1Q18</v>
      </c>
      <c r="BA6" s="396" t="str">
        <f>BS!BA6</f>
        <v>2Q18e</v>
      </c>
      <c r="BB6" s="396" t="str">
        <f>BS!BB6</f>
        <v>3Q18e</v>
      </c>
      <c r="BC6" s="398" t="str">
        <f>BS!BC6</f>
        <v>4Q18e</v>
      </c>
      <c r="BD6" s="666" t="str">
        <f>BS!BD6</f>
        <v>1Q19e</v>
      </c>
      <c r="BE6" s="396" t="str">
        <f>BS!BE6</f>
        <v>2Q19e</v>
      </c>
      <c r="BF6" s="396" t="str">
        <f>BS!BF6</f>
        <v>3Q19e</v>
      </c>
      <c r="BG6" s="398" t="str">
        <f>BS!BG6</f>
        <v>4Q19e</v>
      </c>
      <c r="BH6" s="666" t="str">
        <f>BS!BH6</f>
        <v>1Q20e</v>
      </c>
      <c r="BI6" s="396" t="str">
        <f>BS!BI6</f>
        <v>2Q20e</v>
      </c>
      <c r="BJ6" s="396" t="str">
        <f>BS!BJ6</f>
        <v>3Q20e</v>
      </c>
      <c r="BK6" s="398" t="str">
        <f>BS!BK6</f>
        <v>4Q20e</v>
      </c>
      <c r="BL6" s="203"/>
      <c r="BM6" s="397" t="str">
        <f>BS!BM6</f>
        <v>FY2006A</v>
      </c>
      <c r="BN6" s="397" t="str">
        <f>BS!BN6</f>
        <v>FY2007A</v>
      </c>
      <c r="BO6" s="397" t="str">
        <f>BS!BO6</f>
        <v>FY2008A</v>
      </c>
      <c r="BP6" s="397" t="str">
        <f>BS!BP6</f>
        <v>FY2009A</v>
      </c>
      <c r="BQ6" s="397" t="str">
        <f>BS!BQ6</f>
        <v>FY2010A</v>
      </c>
      <c r="BR6" s="397" t="str">
        <f>BS!BR6</f>
        <v>FY2011A</v>
      </c>
      <c r="BS6" s="397" t="str">
        <f>BS!BS6</f>
        <v>FY2012A</v>
      </c>
      <c r="BT6" s="397" t="str">
        <f>BS!BT6</f>
        <v>FY2013A</v>
      </c>
      <c r="BU6" s="397" t="str">
        <f>BS!BU6</f>
        <v>FY2014A</v>
      </c>
      <c r="BV6" s="397" t="str">
        <f>BS!BV6</f>
        <v>FY2015A</v>
      </c>
      <c r="BW6" s="397" t="str">
        <f>BS!BW6</f>
        <v>FY2016A</v>
      </c>
      <c r="BX6" s="397" t="str">
        <f>BS!BX6</f>
        <v>FY2017A</v>
      </c>
      <c r="BY6" s="723" t="str">
        <f>BS!BY6</f>
        <v>FY2018E</v>
      </c>
      <c r="BZ6" s="723" t="str">
        <f>BS!BZ6</f>
        <v>FY2019E</v>
      </c>
      <c r="CA6" s="398" t="str">
        <f>BS!CA6</f>
        <v>FY2020E</v>
      </c>
      <c r="CB6" s="734"/>
      <c r="CC6" s="734"/>
      <c r="CD6" s="204"/>
    </row>
    <row r="7" spans="1:82" ht="14.25" customHeight="1">
      <c r="A7" s="203"/>
      <c r="B7" s="630" t="s">
        <v>282</v>
      </c>
      <c r="C7" s="320"/>
      <c r="D7" s="629"/>
      <c r="E7" s="627"/>
      <c r="F7" s="627"/>
      <c r="G7" s="628"/>
      <c r="H7" s="629"/>
      <c r="I7" s="627"/>
      <c r="J7" s="627"/>
      <c r="K7" s="628"/>
      <c r="L7" s="629"/>
      <c r="M7" s="627"/>
      <c r="N7" s="627"/>
      <c r="O7" s="628"/>
      <c r="P7" s="629"/>
      <c r="Q7" s="627"/>
      <c r="R7" s="627"/>
      <c r="S7" s="628"/>
      <c r="T7" s="629"/>
      <c r="U7" s="627"/>
      <c r="V7" s="627"/>
      <c r="W7" s="627"/>
      <c r="X7" s="629"/>
      <c r="Y7" s="627"/>
      <c r="Z7" s="627"/>
      <c r="AA7" s="627"/>
      <c r="AB7" s="629"/>
      <c r="AC7" s="627"/>
      <c r="AD7" s="627"/>
      <c r="AE7" s="628"/>
      <c r="AF7" s="629"/>
      <c r="AG7" s="627"/>
      <c r="AH7" s="627"/>
      <c r="AI7" s="628"/>
      <c r="AJ7" s="629"/>
      <c r="AK7" s="627"/>
      <c r="AL7" s="627"/>
      <c r="AM7" s="628"/>
      <c r="AN7" s="629"/>
      <c r="AO7" s="627"/>
      <c r="AP7" s="627"/>
      <c r="AQ7" s="628"/>
      <c r="AR7" s="627"/>
      <c r="AS7" s="627"/>
      <c r="AT7" s="627"/>
      <c r="AU7" s="628"/>
      <c r="AV7" s="627"/>
      <c r="AW7" s="627"/>
      <c r="AX7" s="627"/>
      <c r="AY7" s="626"/>
      <c r="AZ7" s="627"/>
      <c r="BA7" s="627"/>
      <c r="BB7" s="627"/>
      <c r="BC7" s="626"/>
      <c r="BD7" s="627"/>
      <c r="BE7" s="627"/>
      <c r="BF7" s="627"/>
      <c r="BG7" s="626"/>
      <c r="BH7" s="627"/>
      <c r="BI7" s="627"/>
      <c r="BJ7" s="627"/>
      <c r="BK7" s="626"/>
      <c r="BL7" s="215"/>
      <c r="BM7" s="625"/>
      <c r="BN7" s="625"/>
      <c r="BO7" s="625"/>
      <c r="BP7" s="625"/>
      <c r="BQ7" s="625"/>
      <c r="BR7" s="625"/>
      <c r="BS7" s="625"/>
      <c r="BT7" s="625"/>
      <c r="BU7" s="625"/>
      <c r="BV7" s="625"/>
      <c r="BW7" s="625"/>
      <c r="BX7" s="625"/>
      <c r="BY7" s="625"/>
      <c r="BZ7" s="626"/>
      <c r="CA7" s="626"/>
      <c r="CB7" s="734"/>
      <c r="CC7" s="734"/>
      <c r="CD7" s="204"/>
    </row>
    <row r="8" spans="1:82" ht="14.25" customHeight="1">
      <c r="A8" s="203"/>
      <c r="B8" s="217" t="s">
        <v>4</v>
      </c>
      <c r="C8" s="216"/>
      <c r="D8" s="249">
        <f>IS!D125</f>
        <v>142.78000000000006</v>
      </c>
      <c r="E8" s="247">
        <f>IS!E125</f>
        <v>412.81400000000014</v>
      </c>
      <c r="F8" s="247">
        <f>IS!F125</f>
        <v>512.04000000000019</v>
      </c>
      <c r="G8" s="248">
        <f>IS!G125</f>
        <v>449.029</v>
      </c>
      <c r="H8" s="249">
        <f>IS!H125</f>
        <v>403.47599999999983</v>
      </c>
      <c r="I8" s="247">
        <f>IS!I125</f>
        <v>411.4440000000003</v>
      </c>
      <c r="J8" s="247">
        <f>IS!J125</f>
        <v>473.51499999999982</v>
      </c>
      <c r="K8" s="248">
        <f>IS!K125</f>
        <v>421.76099999999997</v>
      </c>
      <c r="L8" s="249">
        <f>IS!L125</f>
        <v>262.37600000000009</v>
      </c>
      <c r="M8" s="247">
        <f>IS!M125</f>
        <v>302.50699999999995</v>
      </c>
      <c r="N8" s="247">
        <f>IS!N125</f>
        <v>164.76799999999974</v>
      </c>
      <c r="O8" s="248">
        <f>IS!O125</f>
        <v>231.09499999999997</v>
      </c>
      <c r="P8" s="249">
        <f>IS!P125</f>
        <v>-132.934</v>
      </c>
      <c r="Q8" s="247">
        <f>IS!Q125</f>
        <v>-255.39</v>
      </c>
      <c r="R8" s="247">
        <f>IS!R125</f>
        <v>-54.864999999999995</v>
      </c>
      <c r="S8" s="248">
        <f>IS!S125</f>
        <v>137.86200000000002</v>
      </c>
      <c r="T8" s="249">
        <f>IS!T125</f>
        <v>82.75100000000009</v>
      </c>
      <c r="U8" s="247">
        <f>IS!U125</f>
        <v>263.97200000000009</v>
      </c>
      <c r="V8" s="247">
        <f>IS!V125</f>
        <v>123.09599999999996</v>
      </c>
      <c r="W8" s="248">
        <f>IS!W125</f>
        <v>467.79699999999997</v>
      </c>
      <c r="X8" s="249">
        <f>IS!X125</f>
        <v>506</v>
      </c>
      <c r="Y8" s="247">
        <f>IS!Y125</f>
        <v>489</v>
      </c>
      <c r="Z8" s="247">
        <f>IS!Z125</f>
        <v>476</v>
      </c>
      <c r="AA8" s="248">
        <f>IS!AA125</f>
        <v>456</v>
      </c>
      <c r="AB8" s="249">
        <f>IS!AB125</f>
        <v>117</v>
      </c>
      <c r="AC8" s="247">
        <f>IS!AC125</f>
        <v>289</v>
      </c>
      <c r="AD8" s="247">
        <f>IS!AD125</f>
        <v>218</v>
      </c>
      <c r="AE8" s="248">
        <f>IS!AE125</f>
        <v>-515</v>
      </c>
      <c r="AF8" s="249">
        <f>IS!AF125</f>
        <v>34</v>
      </c>
      <c r="AG8" s="247">
        <f>IS!AG125</f>
        <v>-129</v>
      </c>
      <c r="AH8" s="247">
        <f>IS!AH125</f>
        <v>168</v>
      </c>
      <c r="AI8" s="248">
        <f>IS!AI125</f>
        <v>183</v>
      </c>
      <c r="AJ8" s="249">
        <f>IS!AJ125</f>
        <v>253</v>
      </c>
      <c r="AK8" s="247">
        <f>IS!AK125</f>
        <v>262</v>
      </c>
      <c r="AL8" s="247">
        <f>IS!AL125</f>
        <v>301</v>
      </c>
      <c r="AM8" s="248">
        <f>IS!AM125</f>
        <v>256</v>
      </c>
      <c r="AN8" s="249">
        <f>IS!AN125</f>
        <v>348</v>
      </c>
      <c r="AO8" s="247">
        <f>IS!AO125</f>
        <v>364</v>
      </c>
      <c r="AP8" s="247">
        <f>IS!AP125</f>
        <v>329</v>
      </c>
      <c r="AQ8" s="248">
        <f>IS!AQ125</f>
        <v>336</v>
      </c>
      <c r="AR8" s="249">
        <f>IS!AR125</f>
        <v>286</v>
      </c>
      <c r="AS8" s="247">
        <f>IS!AS125</f>
        <v>320</v>
      </c>
      <c r="AT8" s="247">
        <f>IS!AT106</f>
        <v>505</v>
      </c>
      <c r="AU8" s="248">
        <f>IS!AU125</f>
        <v>610</v>
      </c>
      <c r="AV8" s="249">
        <f>IS!AV125</f>
        <v>703</v>
      </c>
      <c r="AW8" s="247">
        <f>IS!AW125</f>
        <v>824</v>
      </c>
      <c r="AX8" s="247">
        <f>IS!AX106</f>
        <v>925</v>
      </c>
      <c r="AY8" s="248">
        <f>IS!AY106</f>
        <v>982</v>
      </c>
      <c r="AZ8" s="740">
        <f>IS!AZ106</f>
        <v>135</v>
      </c>
      <c r="BA8" s="739">
        <f>IS!BA106</f>
        <v>1180.213034684273</v>
      </c>
      <c r="BB8" s="739">
        <f>IS!BB106</f>
        <v>1110.0361922414725</v>
      </c>
      <c r="BC8" s="248">
        <f>IS!BC106</f>
        <v>1120.5499734749899</v>
      </c>
      <c r="BD8" s="740">
        <f>IS!BD106</f>
        <v>986.85191582393418</v>
      </c>
      <c r="BE8" s="739">
        <f>IS!BE106</f>
        <v>987.09280483287193</v>
      </c>
      <c r="BF8" s="739">
        <f>IS!BF106</f>
        <v>977.88533664776821</v>
      </c>
      <c r="BG8" s="248">
        <f>IS!BG106</f>
        <v>997.67693238544575</v>
      </c>
      <c r="BH8" s="740">
        <f>IS!BH106</f>
        <v>998.22335401252178</v>
      </c>
      <c r="BI8" s="739">
        <f>IS!BI106</f>
        <v>1006.2647702372287</v>
      </c>
      <c r="BJ8" s="739">
        <f>IS!BJ106</f>
        <v>1020.346843036396</v>
      </c>
      <c r="BK8" s="248">
        <f>IS!BK106</f>
        <v>1021.9190416952623</v>
      </c>
      <c r="BL8" s="215"/>
      <c r="BM8" s="247">
        <f>SUM(D8:G8)</f>
        <v>1516.6630000000005</v>
      </c>
      <c r="BN8" s="247">
        <f>SUM(H8:K8)</f>
        <v>1710.1959999999999</v>
      </c>
      <c r="BO8" s="247">
        <f>SUM(L8:O8)</f>
        <v>960.74599999999987</v>
      </c>
      <c r="BP8" s="247">
        <f>SUM(P8:S8)</f>
        <v>-305.32699999999994</v>
      </c>
      <c r="BQ8" s="247">
        <f>SUM(T8:W8)</f>
        <v>937.6160000000001</v>
      </c>
      <c r="BR8" s="247">
        <f>SUM(X8:AA8)</f>
        <v>1927</v>
      </c>
      <c r="BS8" s="739">
        <f>SUM(AB8:AE8)</f>
        <v>109</v>
      </c>
      <c r="BT8" s="739">
        <f>SUM(AF8:AI8)</f>
        <v>256</v>
      </c>
      <c r="BU8" s="739">
        <f>SUM(AJ8:AM8)</f>
        <v>1072</v>
      </c>
      <c r="BV8" s="739">
        <f>SUM(AN8:AQ8)</f>
        <v>1377</v>
      </c>
      <c r="BW8" s="739">
        <f>SUM(AR8:AU8)</f>
        <v>1721</v>
      </c>
      <c r="BX8" s="739">
        <f>SUM(AV8:AY8)</f>
        <v>3434</v>
      </c>
      <c r="BY8" s="739">
        <f>SUM(AZ8:BC8)</f>
        <v>3545.7992004007356</v>
      </c>
      <c r="BZ8" s="248">
        <f>SUM(BD8:BG8)</f>
        <v>3949.5069896900204</v>
      </c>
      <c r="CA8" s="248">
        <f>SUM(BH8:BK8)</f>
        <v>4046.7540089814088</v>
      </c>
      <c r="CB8" s="734"/>
      <c r="CC8" s="734"/>
      <c r="CD8" s="204"/>
    </row>
    <row r="9" spans="1:82" ht="14.25" customHeight="1">
      <c r="A9" s="203"/>
      <c r="B9" s="624" t="s">
        <v>281</v>
      </c>
      <c r="C9" s="623"/>
      <c r="D9" s="622"/>
      <c r="E9" s="620"/>
      <c r="F9" s="620"/>
      <c r="G9" s="621"/>
      <c r="H9" s="622"/>
      <c r="I9" s="620"/>
      <c r="J9" s="620"/>
      <c r="K9" s="621"/>
      <c r="L9" s="622"/>
      <c r="M9" s="620"/>
      <c r="N9" s="620"/>
      <c r="O9" s="621"/>
      <c r="P9" s="622"/>
      <c r="Q9" s="620"/>
      <c r="R9" s="620"/>
      <c r="S9" s="621"/>
      <c r="T9" s="622"/>
      <c r="U9" s="620"/>
      <c r="V9" s="620"/>
      <c r="W9" s="621"/>
      <c r="X9" s="622"/>
      <c r="Y9" s="620"/>
      <c r="Z9" s="620"/>
      <c r="AA9" s="621"/>
      <c r="AB9" s="622"/>
      <c r="AC9" s="620"/>
      <c r="AD9" s="620"/>
      <c r="AE9" s="621"/>
      <c r="AF9" s="622"/>
      <c r="AG9" s="620"/>
      <c r="AH9" s="620"/>
      <c r="AI9" s="621"/>
      <c r="AJ9" s="622"/>
      <c r="AK9" s="620"/>
      <c r="AL9" s="620"/>
      <c r="AM9" s="621"/>
      <c r="AN9" s="622"/>
      <c r="AO9" s="620"/>
      <c r="AP9" s="620"/>
      <c r="AQ9" s="621"/>
      <c r="AR9" s="622"/>
      <c r="AS9" s="620"/>
      <c r="AT9" s="620"/>
      <c r="AU9" s="621"/>
      <c r="AV9" s="622"/>
      <c r="AW9" s="620"/>
      <c r="AX9" s="620"/>
      <c r="AY9" s="621"/>
      <c r="AZ9" s="622"/>
      <c r="BA9" s="620"/>
      <c r="BB9" s="620"/>
      <c r="BC9" s="621"/>
      <c r="BD9" s="622"/>
      <c r="BE9" s="620"/>
      <c r="BF9" s="620"/>
      <c r="BG9" s="621"/>
      <c r="BH9" s="622"/>
      <c r="BI9" s="620"/>
      <c r="BJ9" s="620"/>
      <c r="BK9" s="621"/>
      <c r="BL9" s="215"/>
      <c r="BM9" s="620"/>
      <c r="BN9" s="620"/>
      <c r="BO9" s="620"/>
      <c r="BP9" s="620"/>
      <c r="BQ9" s="620"/>
      <c r="BR9" s="620"/>
      <c r="BS9" s="620"/>
      <c r="BT9" s="620"/>
      <c r="BU9" s="620"/>
      <c r="BV9" s="620"/>
      <c r="BW9" s="620"/>
      <c r="BX9" s="620"/>
      <c r="BY9" s="620"/>
      <c r="BZ9" s="621"/>
      <c r="CA9" s="621"/>
      <c r="CB9" s="734"/>
      <c r="CC9" s="734"/>
      <c r="CD9" s="204"/>
    </row>
    <row r="10" spans="1:82" ht="14.25" customHeight="1">
      <c r="A10" s="203"/>
      <c r="B10" s="377" t="s">
        <v>19</v>
      </c>
      <c r="C10" s="376"/>
      <c r="D10" s="767">
        <v>69.676000000000002</v>
      </c>
      <c r="E10" s="768">
        <v>65.838000000000008</v>
      </c>
      <c r="F10" s="768">
        <v>61.870999999999967</v>
      </c>
      <c r="G10" s="769">
        <v>73.028000000000006</v>
      </c>
      <c r="H10" s="767">
        <v>60.904000000000003</v>
      </c>
      <c r="I10" s="768">
        <v>63.073999999999991</v>
      </c>
      <c r="J10" s="768">
        <v>63.332000000000015</v>
      </c>
      <c r="K10" s="769">
        <v>81.024000000000001</v>
      </c>
      <c r="L10" s="767">
        <v>78.474000000000004</v>
      </c>
      <c r="M10" s="768">
        <v>75.846999999999994</v>
      </c>
      <c r="N10" s="768">
        <v>85.718000000000004</v>
      </c>
      <c r="O10" s="769">
        <v>80.011999999999986</v>
      </c>
      <c r="P10" s="767">
        <v>71.227999999999994</v>
      </c>
      <c r="Q10" s="768">
        <v>74.88000000000001</v>
      </c>
      <c r="R10" s="768">
        <v>73.500999999999991</v>
      </c>
      <c r="S10" s="769">
        <v>71.594000000000008</v>
      </c>
      <c r="T10" s="767">
        <v>76.412000000000006</v>
      </c>
      <c r="U10" s="768">
        <v>86.765999999999991</v>
      </c>
      <c r="V10" s="768">
        <v>72.563999999999993</v>
      </c>
      <c r="W10" s="769">
        <v>68.772999999999996</v>
      </c>
      <c r="X10" s="767">
        <v>63</v>
      </c>
      <c r="Y10" s="768">
        <v>65</v>
      </c>
      <c r="Z10" s="768">
        <v>59</v>
      </c>
      <c r="AA10" s="769">
        <v>59</v>
      </c>
      <c r="AB10" s="767">
        <v>112</v>
      </c>
      <c r="AC10" s="768">
        <v>108</v>
      </c>
      <c r="AD10" s="768">
        <v>105</v>
      </c>
      <c r="AE10" s="769">
        <v>97</v>
      </c>
      <c r="AF10" s="767">
        <v>106</v>
      </c>
      <c r="AG10" s="768">
        <v>106</v>
      </c>
      <c r="AH10" s="768">
        <v>100</v>
      </c>
      <c r="AI10" s="769">
        <v>98</v>
      </c>
      <c r="AJ10" s="767">
        <v>94</v>
      </c>
      <c r="AK10" s="768">
        <v>94</v>
      </c>
      <c r="AL10" s="768">
        <v>93</v>
      </c>
      <c r="AM10" s="769">
        <v>94</v>
      </c>
      <c r="AN10" s="767">
        <v>92</v>
      </c>
      <c r="AO10" s="768">
        <v>90</v>
      </c>
      <c r="AP10" s="768">
        <v>93</v>
      </c>
      <c r="AQ10" s="769">
        <v>96</v>
      </c>
      <c r="AR10" s="767">
        <v>96</v>
      </c>
      <c r="AS10" s="768">
        <v>96</v>
      </c>
      <c r="AT10" s="768">
        <v>97</v>
      </c>
      <c r="AU10" s="769">
        <v>100</v>
      </c>
      <c r="AV10" s="767">
        <v>97</v>
      </c>
      <c r="AW10" s="605">
        <f>200-AV10</f>
        <v>103</v>
      </c>
      <c r="AX10" s="605">
        <f>302-AW10-AV10</f>
        <v>102</v>
      </c>
      <c r="AY10" s="610">
        <f>407-AX10-AW10-AV10</f>
        <v>105</v>
      </c>
      <c r="AZ10" s="767">
        <v>119</v>
      </c>
      <c r="BA10" s="605">
        <f t="shared" ref="BA10:BC10" si="0">BA77</f>
        <v>118.99999999999999</v>
      </c>
      <c r="BB10" s="605">
        <f t="shared" si="0"/>
        <v>126.29275101023119</v>
      </c>
      <c r="BC10" s="610">
        <f t="shared" si="0"/>
        <v>133.3943083269088</v>
      </c>
      <c r="BD10" s="609">
        <f t="shared" ref="BD10:BG10" si="1">BD77</f>
        <v>140.54148531588359</v>
      </c>
      <c r="BE10" s="605">
        <f t="shared" si="1"/>
        <v>147.4727483321453</v>
      </c>
      <c r="BF10" s="605">
        <f t="shared" si="1"/>
        <v>154.46639186881259</v>
      </c>
      <c r="BG10" s="610">
        <f t="shared" si="1"/>
        <v>161.49982195335514</v>
      </c>
      <c r="BH10" s="609">
        <f t="shared" ref="BH10:BK10" si="2">BH77</f>
        <v>168.62893445266323</v>
      </c>
      <c r="BI10" s="605">
        <f t="shared" si="2"/>
        <v>175.70466871374165</v>
      </c>
      <c r="BJ10" s="605">
        <f t="shared" si="2"/>
        <v>182.84262653716854</v>
      </c>
      <c r="BK10" s="610">
        <f t="shared" si="2"/>
        <v>190.05436512462353</v>
      </c>
      <c r="BL10" s="215"/>
      <c r="BM10" s="605">
        <f t="shared" ref="BM10:BM17" si="3">SUM(D10:G10)</f>
        <v>270.41300000000001</v>
      </c>
      <c r="BN10" s="605">
        <f t="shared" ref="BN10:BN17" si="4">SUM(H10:K10)</f>
        <v>268.334</v>
      </c>
      <c r="BO10" s="605">
        <f t="shared" ref="BO10:BO17" si="5">SUM(L10:O10)</f>
        <v>320.05099999999999</v>
      </c>
      <c r="BP10" s="605">
        <f t="shared" ref="BP10:BP17" si="6">SUM(P10:S10)</f>
        <v>291.20299999999997</v>
      </c>
      <c r="BQ10" s="605">
        <f t="shared" ref="BQ10:BQ17" si="7">SUM(T10:W10)</f>
        <v>304.51499999999999</v>
      </c>
      <c r="BR10" s="605">
        <f t="shared" ref="BR10:BR17" si="8">SUM(X10:AA10)</f>
        <v>246</v>
      </c>
      <c r="BS10" s="605">
        <f t="shared" ref="BS10:BS17" si="9">SUM(AB10:AE10)</f>
        <v>422</v>
      </c>
      <c r="BT10" s="605">
        <f t="shared" ref="BT10:BT17" si="10">SUM(AF10:AI10)</f>
        <v>410</v>
      </c>
      <c r="BU10" s="605">
        <f t="shared" ref="BU10:BU17" si="11">SUM(AJ10:AM10)</f>
        <v>375</v>
      </c>
      <c r="BV10" s="605">
        <f t="shared" ref="BV10:BV17" si="12">SUM(AN10:AQ10)</f>
        <v>371</v>
      </c>
      <c r="BW10" s="605">
        <f t="shared" ref="BW10:BW17" si="13">SUM(AR10:AU10)</f>
        <v>389</v>
      </c>
      <c r="BX10" s="605">
        <f>SUM(AV10:AY10)</f>
        <v>407</v>
      </c>
      <c r="BY10" s="605">
        <f>SUM(AZ10:BC10)</f>
        <v>497.68705933714</v>
      </c>
      <c r="BZ10" s="610">
        <f>SUM(BD10:BG10)</f>
        <v>603.98044747019662</v>
      </c>
      <c r="CA10" s="610">
        <f t="shared" ref="CA10:CA26" si="14">SUM(BH10:BK10)</f>
        <v>717.2305948281969</v>
      </c>
      <c r="CB10" s="734"/>
      <c r="CC10" s="734"/>
      <c r="CD10" s="204"/>
    </row>
    <row r="11" spans="1:82" ht="14.25" customHeight="1">
      <c r="A11" s="203"/>
      <c r="B11" s="377" t="s">
        <v>280</v>
      </c>
      <c r="C11" s="376"/>
      <c r="D11" s="767">
        <v>51.951999999999998</v>
      </c>
      <c r="E11" s="768">
        <v>55.08</v>
      </c>
      <c r="F11" s="768">
        <v>53.684000000000012</v>
      </c>
      <c r="G11" s="769">
        <v>55.552999999999983</v>
      </c>
      <c r="H11" s="767">
        <v>34.901000000000003</v>
      </c>
      <c r="I11" s="768">
        <v>47.92199999999999</v>
      </c>
      <c r="J11" s="768">
        <v>47.484999999999992</v>
      </c>
      <c r="K11" s="769">
        <v>30.889000000000017</v>
      </c>
      <c r="L11" s="767">
        <v>38.722000000000001</v>
      </c>
      <c r="M11" s="768">
        <v>50.321999999999996</v>
      </c>
      <c r="N11" s="768">
        <v>46.120999999999988</v>
      </c>
      <c r="O11" s="769">
        <v>43.778000000000027</v>
      </c>
      <c r="P11" s="767">
        <v>33.607999999999997</v>
      </c>
      <c r="Q11" s="768">
        <v>39.172000000000004</v>
      </c>
      <c r="R11" s="768">
        <v>43.33400000000001</v>
      </c>
      <c r="S11" s="769">
        <v>31.045999999999999</v>
      </c>
      <c r="T11" s="767">
        <v>33.689</v>
      </c>
      <c r="U11" s="768">
        <v>28.640999999999998</v>
      </c>
      <c r="V11" s="768">
        <v>32.442</v>
      </c>
      <c r="W11" s="769">
        <v>31.297999999999995</v>
      </c>
      <c r="X11" s="767">
        <v>33</v>
      </c>
      <c r="Y11" s="768">
        <v>39</v>
      </c>
      <c r="Z11" s="768">
        <v>38</v>
      </c>
      <c r="AA11" s="769">
        <v>36</v>
      </c>
      <c r="AB11" s="767">
        <v>53</v>
      </c>
      <c r="AC11" s="768">
        <v>43</v>
      </c>
      <c r="AD11" s="768">
        <v>42</v>
      </c>
      <c r="AE11" s="769">
        <v>44</v>
      </c>
      <c r="AF11" s="767">
        <v>42</v>
      </c>
      <c r="AG11" s="768">
        <v>39</v>
      </c>
      <c r="AH11" s="768">
        <v>40</v>
      </c>
      <c r="AI11" s="769">
        <v>41</v>
      </c>
      <c r="AJ11" s="767">
        <v>46</v>
      </c>
      <c r="AK11" s="768">
        <v>42</v>
      </c>
      <c r="AL11" s="768">
        <v>44</v>
      </c>
      <c r="AM11" s="769">
        <v>45</v>
      </c>
      <c r="AN11" s="767">
        <v>48</v>
      </c>
      <c r="AO11" s="768">
        <v>47</v>
      </c>
      <c r="AP11" s="768">
        <v>46</v>
      </c>
      <c r="AQ11" s="769">
        <v>46</v>
      </c>
      <c r="AR11" s="767">
        <v>54</v>
      </c>
      <c r="AS11" s="768">
        <v>48</v>
      </c>
      <c r="AT11" s="768">
        <v>48</v>
      </c>
      <c r="AU11" s="769">
        <v>51</v>
      </c>
      <c r="AV11" s="767">
        <v>54</v>
      </c>
      <c r="AW11" s="605">
        <f>107-AV11</f>
        <v>53</v>
      </c>
      <c r="AX11" s="605">
        <f>162-AW11-AV11</f>
        <v>55</v>
      </c>
      <c r="AY11" s="610">
        <f>220-AX11-AW11-AV11</f>
        <v>58</v>
      </c>
      <c r="AZ11" s="767">
        <v>65</v>
      </c>
      <c r="BA11" s="605">
        <f t="shared" ref="BA11:BC11" si="15">AZ11</f>
        <v>65</v>
      </c>
      <c r="BB11" s="605">
        <f t="shared" si="15"/>
        <v>65</v>
      </c>
      <c r="BC11" s="610">
        <f t="shared" si="15"/>
        <v>65</v>
      </c>
      <c r="BD11" s="609">
        <f t="shared" ref="BD11" si="16">BC11</f>
        <v>65</v>
      </c>
      <c r="BE11" s="605">
        <f t="shared" ref="BE11" si="17">BD11</f>
        <v>65</v>
      </c>
      <c r="BF11" s="605">
        <f t="shared" ref="BF11" si="18">BE11</f>
        <v>65</v>
      </c>
      <c r="BG11" s="606">
        <f t="shared" ref="BG11" si="19">BF11</f>
        <v>65</v>
      </c>
      <c r="BH11" s="609">
        <f t="shared" ref="BH11" si="20">BG11</f>
        <v>65</v>
      </c>
      <c r="BI11" s="605">
        <f t="shared" ref="BI11" si="21">BH11</f>
        <v>65</v>
      </c>
      <c r="BJ11" s="605">
        <f t="shared" ref="BJ11" si="22">BI11</f>
        <v>65</v>
      </c>
      <c r="BK11" s="606">
        <f t="shared" ref="BK11" si="23">BJ11</f>
        <v>65</v>
      </c>
      <c r="BL11" s="215"/>
      <c r="BM11" s="605">
        <f t="shared" si="3"/>
        <v>216.26900000000001</v>
      </c>
      <c r="BN11" s="605">
        <f t="shared" si="4"/>
        <v>161.197</v>
      </c>
      <c r="BO11" s="605">
        <f t="shared" si="5"/>
        <v>178.94300000000001</v>
      </c>
      <c r="BP11" s="605">
        <f t="shared" si="6"/>
        <v>147.16</v>
      </c>
      <c r="BQ11" s="605">
        <f t="shared" si="7"/>
        <v>126.07</v>
      </c>
      <c r="BR11" s="605">
        <f t="shared" si="8"/>
        <v>146</v>
      </c>
      <c r="BS11" s="605">
        <f t="shared" si="9"/>
        <v>182</v>
      </c>
      <c r="BT11" s="605">
        <f t="shared" si="10"/>
        <v>162</v>
      </c>
      <c r="BU11" s="605">
        <f t="shared" si="11"/>
        <v>177</v>
      </c>
      <c r="BV11" s="605">
        <f t="shared" si="12"/>
        <v>187</v>
      </c>
      <c r="BW11" s="605">
        <f t="shared" si="13"/>
        <v>201</v>
      </c>
      <c r="BX11" s="605">
        <f>SUM(AV11:AY11)</f>
        <v>220</v>
      </c>
      <c r="BY11" s="605">
        <f t="shared" ref="BY11:BY26" si="24">SUM(AZ11:BC11)</f>
        <v>260</v>
      </c>
      <c r="BZ11" s="610">
        <f t="shared" ref="BZ11:BZ26" si="25">SUM(BD11:BG11)</f>
        <v>260</v>
      </c>
      <c r="CA11" s="610">
        <f t="shared" si="14"/>
        <v>260</v>
      </c>
      <c r="CB11" s="734"/>
      <c r="CC11" s="734"/>
      <c r="CD11" s="204"/>
    </row>
    <row r="12" spans="1:82" ht="14.25" customHeight="1">
      <c r="A12" s="203"/>
      <c r="B12" s="377" t="s">
        <v>279</v>
      </c>
      <c r="C12" s="376"/>
      <c r="D12" s="767">
        <v>0</v>
      </c>
      <c r="E12" s="768">
        <v>0</v>
      </c>
      <c r="F12" s="768">
        <v>0</v>
      </c>
      <c r="G12" s="769">
        <v>0</v>
      </c>
      <c r="H12" s="767">
        <v>0</v>
      </c>
      <c r="I12" s="768">
        <v>0</v>
      </c>
      <c r="J12" s="768">
        <v>0</v>
      </c>
      <c r="K12" s="769">
        <v>0</v>
      </c>
      <c r="L12" s="767">
        <v>0</v>
      </c>
      <c r="M12" s="768">
        <v>0</v>
      </c>
      <c r="N12" s="768">
        <v>0</v>
      </c>
      <c r="O12" s="769">
        <v>0</v>
      </c>
      <c r="P12" s="767">
        <v>0</v>
      </c>
      <c r="Q12" s="768">
        <v>0</v>
      </c>
      <c r="R12" s="768">
        <v>0</v>
      </c>
      <c r="S12" s="769">
        <v>0</v>
      </c>
      <c r="T12" s="767">
        <v>0</v>
      </c>
      <c r="U12" s="768">
        <v>0</v>
      </c>
      <c r="V12" s="768">
        <v>0</v>
      </c>
      <c r="W12" s="769">
        <v>0</v>
      </c>
      <c r="X12" s="767">
        <v>4</v>
      </c>
      <c r="Y12" s="768">
        <v>1</v>
      </c>
      <c r="Z12" s="768">
        <v>8</v>
      </c>
      <c r="AA12" s="769">
        <v>6</v>
      </c>
      <c r="AB12" s="767">
        <v>0</v>
      </c>
      <c r="AC12" s="768">
        <v>0</v>
      </c>
      <c r="AD12" s="768">
        <v>0</v>
      </c>
      <c r="AE12" s="769">
        <v>0</v>
      </c>
      <c r="AF12" s="767">
        <v>0</v>
      </c>
      <c r="AG12" s="768">
        <v>0</v>
      </c>
      <c r="AH12" s="768">
        <v>0</v>
      </c>
      <c r="AI12" s="769">
        <v>0</v>
      </c>
      <c r="AJ12" s="767">
        <v>0</v>
      </c>
      <c r="AK12" s="768">
        <v>0</v>
      </c>
      <c r="AL12" s="768">
        <v>0</v>
      </c>
      <c r="AM12" s="769">
        <v>0</v>
      </c>
      <c r="AN12" s="767">
        <v>0</v>
      </c>
      <c r="AO12" s="768">
        <v>0</v>
      </c>
      <c r="AP12" s="768">
        <v>0</v>
      </c>
      <c r="AQ12" s="769">
        <v>0</v>
      </c>
      <c r="AR12" s="767">
        <v>0</v>
      </c>
      <c r="AS12" s="768">
        <v>0</v>
      </c>
      <c r="AT12" s="768">
        <v>-18</v>
      </c>
      <c r="AU12" s="769">
        <v>-5</v>
      </c>
      <c r="AV12" s="767">
        <v>-44</v>
      </c>
      <c r="AW12" s="605">
        <f>-48-AV12</f>
        <v>-4</v>
      </c>
      <c r="AX12" s="605">
        <f>-51-AW12-AV12</f>
        <v>-3</v>
      </c>
      <c r="AY12" s="610">
        <f>-55-AX12-AW12-AV12</f>
        <v>-4</v>
      </c>
      <c r="AZ12" s="609">
        <v>0</v>
      </c>
      <c r="BA12" s="605">
        <v>0</v>
      </c>
      <c r="BB12" s="605">
        <v>0</v>
      </c>
      <c r="BC12" s="606">
        <v>0</v>
      </c>
      <c r="BD12" s="609">
        <v>0</v>
      </c>
      <c r="BE12" s="605">
        <v>0</v>
      </c>
      <c r="BF12" s="605">
        <v>0</v>
      </c>
      <c r="BG12" s="606">
        <v>0</v>
      </c>
      <c r="BH12" s="609">
        <v>0</v>
      </c>
      <c r="BI12" s="605">
        <v>0</v>
      </c>
      <c r="BJ12" s="605">
        <v>0</v>
      </c>
      <c r="BK12" s="606">
        <v>0</v>
      </c>
      <c r="BL12" s="215"/>
      <c r="BM12" s="605">
        <f t="shared" si="3"/>
        <v>0</v>
      </c>
      <c r="BN12" s="605">
        <f t="shared" si="4"/>
        <v>0</v>
      </c>
      <c r="BO12" s="605">
        <f t="shared" si="5"/>
        <v>0</v>
      </c>
      <c r="BP12" s="605">
        <f t="shared" si="6"/>
        <v>0</v>
      </c>
      <c r="BQ12" s="605">
        <f t="shared" si="7"/>
        <v>0</v>
      </c>
      <c r="BR12" s="605">
        <f t="shared" si="8"/>
        <v>19</v>
      </c>
      <c r="BS12" s="605">
        <f t="shared" si="9"/>
        <v>0</v>
      </c>
      <c r="BT12" s="605">
        <f t="shared" si="10"/>
        <v>0</v>
      </c>
      <c r="BU12" s="605">
        <f t="shared" si="11"/>
        <v>0</v>
      </c>
      <c r="BV12" s="605">
        <f t="shared" si="12"/>
        <v>0</v>
      </c>
      <c r="BW12" s="605">
        <f t="shared" si="13"/>
        <v>-23</v>
      </c>
      <c r="BX12" s="605">
        <f t="shared" ref="BX12:BX17" si="26">SUM(AV12:AY12)</f>
        <v>-55</v>
      </c>
      <c r="BY12" s="605">
        <f t="shared" si="24"/>
        <v>0</v>
      </c>
      <c r="BZ12" s="610">
        <f t="shared" si="25"/>
        <v>0</v>
      </c>
      <c r="CA12" s="610">
        <f t="shared" si="14"/>
        <v>0</v>
      </c>
      <c r="CB12" s="734"/>
      <c r="CC12" s="734"/>
      <c r="CD12" s="204"/>
    </row>
    <row r="13" spans="1:82" ht="14.25" customHeight="1">
      <c r="A13" s="203"/>
      <c r="B13" s="377" t="s">
        <v>168</v>
      </c>
      <c r="C13" s="376"/>
      <c r="D13" s="767">
        <v>214.84700000000001</v>
      </c>
      <c r="E13" s="768">
        <v>-1.578000000000003</v>
      </c>
      <c r="F13" s="768">
        <v>-2.646000000000015</v>
      </c>
      <c r="G13" s="769">
        <v>1.4900000000000091</v>
      </c>
      <c r="H13" s="767">
        <v>-3.278</v>
      </c>
      <c r="I13" s="768">
        <v>25.043999999999997</v>
      </c>
      <c r="J13" s="768">
        <v>1.6160000000000045</v>
      </c>
      <c r="K13" s="769">
        <v>3.0389999999999993</v>
      </c>
      <c r="L13" s="767">
        <v>48.985999999999997</v>
      </c>
      <c r="M13" s="768">
        <v>0.51000000000000512</v>
      </c>
      <c r="N13" s="768">
        <v>0.13799999999999812</v>
      </c>
      <c r="O13" s="769">
        <v>0</v>
      </c>
      <c r="P13" s="767">
        <v>132.77199999999999</v>
      </c>
      <c r="Q13" s="768">
        <v>26.709000000000003</v>
      </c>
      <c r="R13" s="768">
        <v>0</v>
      </c>
      <c r="S13" s="769">
        <v>-3.6929999999999836</v>
      </c>
      <c r="T13" s="767">
        <v>113.279</v>
      </c>
      <c r="U13" s="768">
        <v>4.3940000000000055</v>
      </c>
      <c r="V13" s="768">
        <v>137.18799999999999</v>
      </c>
      <c r="W13" s="769">
        <v>3.7820000000000391</v>
      </c>
      <c r="X13" s="767">
        <v>-29</v>
      </c>
      <c r="Y13" s="768">
        <v>-4</v>
      </c>
      <c r="Z13" s="768">
        <v>3</v>
      </c>
      <c r="AA13" s="769">
        <v>0</v>
      </c>
      <c r="AB13" s="767">
        <v>0</v>
      </c>
      <c r="AC13" s="768">
        <v>0</v>
      </c>
      <c r="AD13" s="768">
        <v>44</v>
      </c>
      <c r="AE13" s="769">
        <v>124</v>
      </c>
      <c r="AF13" s="767">
        <v>9</v>
      </c>
      <c r="AG13" s="768">
        <v>10</v>
      </c>
      <c r="AH13" s="768">
        <v>14</v>
      </c>
      <c r="AI13" s="769">
        <v>30</v>
      </c>
      <c r="AJ13" s="767">
        <v>0</v>
      </c>
      <c r="AK13" s="768">
        <v>0</v>
      </c>
      <c r="AL13" s="768">
        <v>0</v>
      </c>
      <c r="AM13" s="769">
        <v>5</v>
      </c>
      <c r="AN13" s="767">
        <v>0</v>
      </c>
      <c r="AO13" s="768">
        <v>0</v>
      </c>
      <c r="AP13" s="768">
        <v>0</v>
      </c>
      <c r="AQ13" s="769">
        <v>14</v>
      </c>
      <c r="AR13" s="767">
        <v>0</v>
      </c>
      <c r="AS13" s="768">
        <v>0</v>
      </c>
      <c r="AT13" s="768">
        <v>0</v>
      </c>
      <c r="AU13" s="769">
        <v>0</v>
      </c>
      <c r="AV13" s="767">
        <v>0</v>
      </c>
      <c r="AW13" s="768">
        <v>0</v>
      </c>
      <c r="AX13" s="768">
        <v>0</v>
      </c>
      <c r="AY13" s="610">
        <v>0</v>
      </c>
      <c r="AZ13" s="609">
        <v>0</v>
      </c>
      <c r="BA13" s="605">
        <v>0</v>
      </c>
      <c r="BB13" s="605">
        <v>0</v>
      </c>
      <c r="BC13" s="606">
        <v>0</v>
      </c>
      <c r="BD13" s="609">
        <v>0</v>
      </c>
      <c r="BE13" s="605">
        <v>0</v>
      </c>
      <c r="BF13" s="605">
        <v>0</v>
      </c>
      <c r="BG13" s="606">
        <v>0</v>
      </c>
      <c r="BH13" s="609">
        <v>0</v>
      </c>
      <c r="BI13" s="605">
        <v>0</v>
      </c>
      <c r="BJ13" s="605">
        <v>0</v>
      </c>
      <c r="BK13" s="606">
        <v>0</v>
      </c>
      <c r="BL13" s="215"/>
      <c r="BM13" s="605">
        <f t="shared" si="3"/>
        <v>212.113</v>
      </c>
      <c r="BN13" s="605">
        <f t="shared" si="4"/>
        <v>26.420999999999999</v>
      </c>
      <c r="BO13" s="605">
        <f t="shared" si="5"/>
        <v>49.634</v>
      </c>
      <c r="BP13" s="605">
        <f t="shared" si="6"/>
        <v>155.78800000000001</v>
      </c>
      <c r="BQ13" s="605">
        <f t="shared" si="7"/>
        <v>258.64300000000003</v>
      </c>
      <c r="BR13" s="605">
        <f t="shared" si="8"/>
        <v>-30</v>
      </c>
      <c r="BS13" s="605">
        <f t="shared" si="9"/>
        <v>168</v>
      </c>
      <c r="BT13" s="605">
        <f t="shared" si="10"/>
        <v>63</v>
      </c>
      <c r="BU13" s="605">
        <f t="shared" si="11"/>
        <v>5</v>
      </c>
      <c r="BV13" s="605">
        <f t="shared" si="12"/>
        <v>14</v>
      </c>
      <c r="BW13" s="605">
        <f t="shared" si="13"/>
        <v>0</v>
      </c>
      <c r="BX13" s="605">
        <f t="shared" si="26"/>
        <v>0</v>
      </c>
      <c r="BY13" s="605">
        <f t="shared" si="24"/>
        <v>0</v>
      </c>
      <c r="BZ13" s="610">
        <f t="shared" si="25"/>
        <v>0</v>
      </c>
      <c r="CA13" s="610">
        <f t="shared" si="14"/>
        <v>0</v>
      </c>
      <c r="CB13" s="734"/>
      <c r="CC13" s="734"/>
      <c r="CD13" s="204"/>
    </row>
    <row r="14" spans="1:82" ht="14.25" customHeight="1">
      <c r="A14" s="203"/>
      <c r="B14" s="377" t="s">
        <v>169</v>
      </c>
      <c r="C14" s="376"/>
      <c r="D14" s="767">
        <v>2.5379999999999998</v>
      </c>
      <c r="E14" s="768">
        <v>13.739000000000001</v>
      </c>
      <c r="F14" s="768">
        <v>9.9039999999999999</v>
      </c>
      <c r="G14" s="769">
        <v>46.424000000000007</v>
      </c>
      <c r="H14" s="767">
        <v>8.8260000000000005</v>
      </c>
      <c r="I14" s="768">
        <v>16.64</v>
      </c>
      <c r="J14" s="768">
        <v>12.800999999999995</v>
      </c>
      <c r="K14" s="769">
        <v>17.965000000000003</v>
      </c>
      <c r="L14" s="767">
        <v>21.436</v>
      </c>
      <c r="M14" s="768">
        <v>15.883000000000003</v>
      </c>
      <c r="N14" s="768">
        <v>14.976999999999997</v>
      </c>
      <c r="O14" s="769">
        <v>-5.5510000000000019</v>
      </c>
      <c r="P14" s="767">
        <v>24.652999999999999</v>
      </c>
      <c r="Q14" s="768">
        <v>105.328</v>
      </c>
      <c r="R14" s="768">
        <v>13.67199999999999</v>
      </c>
      <c r="S14" s="769">
        <v>10.058000000000014</v>
      </c>
      <c r="T14" s="767">
        <v>6.375</v>
      </c>
      <c r="U14" s="768">
        <v>20.53</v>
      </c>
      <c r="V14" s="768">
        <v>15.796999999999997</v>
      </c>
      <c r="W14" s="769">
        <v>10.469999999999999</v>
      </c>
      <c r="X14" s="767">
        <v>1</v>
      </c>
      <c r="Y14" s="768">
        <v>0</v>
      </c>
      <c r="Z14" s="768">
        <v>-25</v>
      </c>
      <c r="AA14" s="769">
        <v>11</v>
      </c>
      <c r="AB14" s="767">
        <v>0</v>
      </c>
      <c r="AC14" s="768">
        <v>0</v>
      </c>
      <c r="AD14" s="768">
        <v>0</v>
      </c>
      <c r="AE14" s="769">
        <v>0</v>
      </c>
      <c r="AF14" s="767">
        <v>0</v>
      </c>
      <c r="AG14" s="768">
        <v>0</v>
      </c>
      <c r="AH14" s="768">
        <v>0</v>
      </c>
      <c r="AI14" s="769">
        <v>0</v>
      </c>
      <c r="AJ14" s="767">
        <v>0</v>
      </c>
      <c r="AK14" s="768">
        <v>0</v>
      </c>
      <c r="AL14" s="768">
        <v>0</v>
      </c>
      <c r="AM14" s="769">
        <v>0</v>
      </c>
      <c r="AN14" s="767">
        <v>0</v>
      </c>
      <c r="AO14" s="768">
        <v>0</v>
      </c>
      <c r="AP14" s="768">
        <v>0</v>
      </c>
      <c r="AQ14" s="769">
        <v>0</v>
      </c>
      <c r="AR14" s="767">
        <v>0</v>
      </c>
      <c r="AS14" s="768">
        <v>0</v>
      </c>
      <c r="AT14" s="768">
        <v>0</v>
      </c>
      <c r="AU14" s="769">
        <v>0</v>
      </c>
      <c r="AV14" s="767">
        <v>0</v>
      </c>
      <c r="AW14" s="768">
        <v>0</v>
      </c>
      <c r="AX14" s="768">
        <v>0</v>
      </c>
      <c r="AY14" s="610">
        <v>0</v>
      </c>
      <c r="AZ14" s="609">
        <v>0</v>
      </c>
      <c r="BA14" s="605">
        <v>0</v>
      </c>
      <c r="BB14" s="605">
        <v>0</v>
      </c>
      <c r="BC14" s="606">
        <v>0</v>
      </c>
      <c r="BD14" s="609">
        <v>0</v>
      </c>
      <c r="BE14" s="605">
        <v>0</v>
      </c>
      <c r="BF14" s="605">
        <v>0</v>
      </c>
      <c r="BG14" s="606">
        <v>0</v>
      </c>
      <c r="BH14" s="609">
        <v>0</v>
      </c>
      <c r="BI14" s="605">
        <v>0</v>
      </c>
      <c r="BJ14" s="605">
        <v>0</v>
      </c>
      <c r="BK14" s="606">
        <v>0</v>
      </c>
      <c r="BL14" s="215"/>
      <c r="BM14" s="605">
        <f t="shared" si="3"/>
        <v>72.605000000000004</v>
      </c>
      <c r="BN14" s="605">
        <f t="shared" si="4"/>
        <v>56.231999999999999</v>
      </c>
      <c r="BO14" s="605">
        <f t="shared" si="5"/>
        <v>46.744999999999997</v>
      </c>
      <c r="BP14" s="605">
        <f t="shared" si="6"/>
        <v>153.71100000000001</v>
      </c>
      <c r="BQ14" s="605">
        <f t="shared" si="7"/>
        <v>53.171999999999997</v>
      </c>
      <c r="BR14" s="605">
        <f t="shared" si="8"/>
        <v>-13</v>
      </c>
      <c r="BS14" s="605">
        <f t="shared" si="9"/>
        <v>0</v>
      </c>
      <c r="BT14" s="605">
        <f t="shared" si="10"/>
        <v>0</v>
      </c>
      <c r="BU14" s="605">
        <f t="shared" si="11"/>
        <v>0</v>
      </c>
      <c r="BV14" s="605">
        <f t="shared" si="12"/>
        <v>0</v>
      </c>
      <c r="BW14" s="605">
        <f t="shared" si="13"/>
        <v>0</v>
      </c>
      <c r="BX14" s="605">
        <f t="shared" si="26"/>
        <v>0</v>
      </c>
      <c r="BY14" s="605">
        <f t="shared" si="24"/>
        <v>0</v>
      </c>
      <c r="BZ14" s="610">
        <f t="shared" si="25"/>
        <v>0</v>
      </c>
      <c r="CA14" s="610">
        <f t="shared" si="14"/>
        <v>0</v>
      </c>
      <c r="CB14" s="734"/>
      <c r="CC14" s="734"/>
      <c r="CD14" s="204"/>
    </row>
    <row r="15" spans="1:82" ht="14.25" customHeight="1">
      <c r="A15" s="203"/>
      <c r="B15" s="377" t="s">
        <v>170</v>
      </c>
      <c r="C15" s="376"/>
      <c r="D15" s="767">
        <v>-85.608999999999995</v>
      </c>
      <c r="E15" s="768">
        <v>-23.292999999999992</v>
      </c>
      <c r="F15" s="768">
        <v>75.035999999999987</v>
      </c>
      <c r="G15" s="769">
        <v>59.189</v>
      </c>
      <c r="H15" s="767">
        <v>-2.4569999999999999</v>
      </c>
      <c r="I15" s="768">
        <v>-5.0960000000000001</v>
      </c>
      <c r="J15" s="768">
        <v>1.319</v>
      </c>
      <c r="K15" s="769">
        <v>37.875999999999998</v>
      </c>
      <c r="L15" s="767">
        <v>3.4169999999999998</v>
      </c>
      <c r="M15" s="768">
        <v>-41.954999999999998</v>
      </c>
      <c r="N15" s="768">
        <v>-22.348000000000006</v>
      </c>
      <c r="O15" s="769">
        <v>2.6270000000000042</v>
      </c>
      <c r="P15" s="767">
        <v>-13.054</v>
      </c>
      <c r="Q15" s="768">
        <v>48.981000000000002</v>
      </c>
      <c r="R15" s="768">
        <v>60.190000000000005</v>
      </c>
      <c r="S15" s="769">
        <v>-77.254000000000005</v>
      </c>
      <c r="T15" s="767">
        <v>-43.636000000000003</v>
      </c>
      <c r="U15" s="768">
        <v>-30.910000000000004</v>
      </c>
      <c r="V15" s="768">
        <v>-140.43800000000005</v>
      </c>
      <c r="W15" s="769">
        <v>28.927000000000035</v>
      </c>
      <c r="X15" s="767">
        <v>10</v>
      </c>
      <c r="Y15" s="768">
        <v>-27</v>
      </c>
      <c r="Z15" s="768">
        <v>-83</v>
      </c>
      <c r="AA15" s="769">
        <v>222</v>
      </c>
      <c r="AB15" s="767">
        <v>39</v>
      </c>
      <c r="AC15" s="768">
        <v>14</v>
      </c>
      <c r="AD15" s="768">
        <v>91</v>
      </c>
      <c r="AE15" s="769">
        <v>78</v>
      </c>
      <c r="AF15" s="767">
        <v>-78</v>
      </c>
      <c r="AG15" s="768">
        <v>32</v>
      </c>
      <c r="AH15" s="768">
        <v>-56</v>
      </c>
      <c r="AI15" s="769">
        <v>11</v>
      </c>
      <c r="AJ15" s="767">
        <v>9</v>
      </c>
      <c r="AK15" s="768">
        <v>12</v>
      </c>
      <c r="AL15" s="768">
        <v>49</v>
      </c>
      <c r="AM15" s="769">
        <v>-12</v>
      </c>
      <c r="AN15" s="767">
        <v>36</v>
      </c>
      <c r="AO15" s="768">
        <v>-8</v>
      </c>
      <c r="AP15" s="768">
        <v>61</v>
      </c>
      <c r="AQ15" s="769">
        <v>-223</v>
      </c>
      <c r="AR15" s="767">
        <v>15</v>
      </c>
      <c r="AS15" s="768">
        <v>-22</v>
      </c>
      <c r="AT15" s="768">
        <v>0</v>
      </c>
      <c r="AU15" s="769">
        <v>0</v>
      </c>
      <c r="AV15" s="767">
        <v>0</v>
      </c>
      <c r="AW15" s="768">
        <v>0</v>
      </c>
      <c r="AX15" s="768">
        <v>0</v>
      </c>
      <c r="AY15" s="610">
        <v>0</v>
      </c>
      <c r="AZ15" s="609">
        <v>0</v>
      </c>
      <c r="BA15" s="605">
        <v>0</v>
      </c>
      <c r="BB15" s="605">
        <v>0</v>
      </c>
      <c r="BC15" s="606">
        <v>0</v>
      </c>
      <c r="BD15" s="609">
        <v>0</v>
      </c>
      <c r="BE15" s="605">
        <v>0</v>
      </c>
      <c r="BF15" s="605">
        <v>0</v>
      </c>
      <c r="BG15" s="606">
        <v>0</v>
      </c>
      <c r="BH15" s="609">
        <v>0</v>
      </c>
      <c r="BI15" s="605">
        <v>0</v>
      </c>
      <c r="BJ15" s="605">
        <v>0</v>
      </c>
      <c r="BK15" s="606">
        <v>0</v>
      </c>
      <c r="BL15" s="215"/>
      <c r="BM15" s="605">
        <f t="shared" si="3"/>
        <v>25.323</v>
      </c>
      <c r="BN15" s="605">
        <f t="shared" si="4"/>
        <v>31.641999999999996</v>
      </c>
      <c r="BO15" s="605">
        <f t="shared" si="5"/>
        <v>-58.259</v>
      </c>
      <c r="BP15" s="605">
        <f t="shared" si="6"/>
        <v>18.863</v>
      </c>
      <c r="BQ15" s="605">
        <f t="shared" si="7"/>
        <v>-186.05700000000002</v>
      </c>
      <c r="BR15" s="605">
        <f t="shared" si="8"/>
        <v>122</v>
      </c>
      <c r="BS15" s="605">
        <f t="shared" si="9"/>
        <v>222</v>
      </c>
      <c r="BT15" s="605">
        <f t="shared" si="10"/>
        <v>-91</v>
      </c>
      <c r="BU15" s="605">
        <f t="shared" si="11"/>
        <v>58</v>
      </c>
      <c r="BV15" s="605">
        <f t="shared" si="12"/>
        <v>-134</v>
      </c>
      <c r="BW15" s="605">
        <f t="shared" si="13"/>
        <v>-7</v>
      </c>
      <c r="BX15" s="605">
        <f t="shared" si="26"/>
        <v>0</v>
      </c>
      <c r="BY15" s="605">
        <f t="shared" si="24"/>
        <v>0</v>
      </c>
      <c r="BZ15" s="610">
        <f t="shared" si="25"/>
        <v>0</v>
      </c>
      <c r="CA15" s="610">
        <f t="shared" si="14"/>
        <v>0</v>
      </c>
      <c r="CB15" s="734"/>
      <c r="CC15" s="734"/>
      <c r="CD15" s="204"/>
    </row>
    <row r="16" spans="1:82" ht="14.25" customHeight="1">
      <c r="A16" s="203"/>
      <c r="B16" s="377" t="s">
        <v>7</v>
      </c>
      <c r="C16" s="376"/>
      <c r="D16" s="767">
        <v>0</v>
      </c>
      <c r="E16" s="768">
        <v>0</v>
      </c>
      <c r="F16" s="768">
        <v>0</v>
      </c>
      <c r="G16" s="769">
        <v>0</v>
      </c>
      <c r="H16" s="767">
        <v>0</v>
      </c>
      <c r="I16" s="768">
        <v>-3.2429999999999999</v>
      </c>
      <c r="J16" s="768">
        <v>-13.746999999999998</v>
      </c>
      <c r="K16" s="769">
        <v>16.989999999999998</v>
      </c>
      <c r="L16" s="767">
        <v>0</v>
      </c>
      <c r="M16" s="768">
        <v>-5.4059999999999997</v>
      </c>
      <c r="N16" s="768">
        <v>0</v>
      </c>
      <c r="O16" s="769">
        <v>5.4059999999999997</v>
      </c>
      <c r="P16" s="767">
        <v>0</v>
      </c>
      <c r="Q16" s="768">
        <v>0</v>
      </c>
      <c r="R16" s="768">
        <v>0</v>
      </c>
      <c r="S16" s="769">
        <v>0</v>
      </c>
      <c r="T16" s="767">
        <v>0</v>
      </c>
      <c r="U16" s="768">
        <v>0</v>
      </c>
      <c r="V16" s="768">
        <v>0</v>
      </c>
      <c r="W16" s="769">
        <v>0</v>
      </c>
      <c r="X16" s="767">
        <v>0</v>
      </c>
      <c r="Y16" s="768">
        <v>0</v>
      </c>
      <c r="Z16" s="768">
        <v>0</v>
      </c>
      <c r="AA16" s="769">
        <v>0</v>
      </c>
      <c r="AB16" s="767">
        <v>0</v>
      </c>
      <c r="AC16" s="768">
        <v>0</v>
      </c>
      <c r="AD16" s="768">
        <v>0</v>
      </c>
      <c r="AE16" s="769">
        <v>0</v>
      </c>
      <c r="AF16" s="767">
        <v>0</v>
      </c>
      <c r="AG16" s="768">
        <v>0</v>
      </c>
      <c r="AH16" s="768">
        <v>0</v>
      </c>
      <c r="AI16" s="769">
        <v>0</v>
      </c>
      <c r="AJ16" s="767">
        <v>-18</v>
      </c>
      <c r="AK16" s="768">
        <v>-7</v>
      </c>
      <c r="AL16" s="768">
        <v>-1</v>
      </c>
      <c r="AM16" s="769">
        <v>-4</v>
      </c>
      <c r="AN16" s="767">
        <v>-39</v>
      </c>
      <c r="AO16" s="768">
        <v>-12</v>
      </c>
      <c r="AP16" s="768">
        <v>-3</v>
      </c>
      <c r="AQ16" s="769">
        <v>-2</v>
      </c>
      <c r="AR16" s="767">
        <v>-10</v>
      </c>
      <c r="AS16" s="768">
        <v>-3</v>
      </c>
      <c r="AT16" s="768">
        <v>27</v>
      </c>
      <c r="AU16" s="769">
        <v>7</v>
      </c>
      <c r="AV16" s="767">
        <v>25</v>
      </c>
      <c r="AW16" s="605">
        <f>9-AV16</f>
        <v>-16</v>
      </c>
      <c r="AX16" s="605">
        <f>6-AW16-AV16</f>
        <v>-3</v>
      </c>
      <c r="AY16" s="610">
        <f>-11-AX16-AW16-AV16</f>
        <v>-17</v>
      </c>
      <c r="AZ16" s="767">
        <v>41</v>
      </c>
      <c r="BA16" s="605">
        <v>0</v>
      </c>
      <c r="BB16" s="605">
        <v>0</v>
      </c>
      <c r="BC16" s="606">
        <v>0</v>
      </c>
      <c r="BD16" s="609">
        <v>0</v>
      </c>
      <c r="BE16" s="605">
        <v>0</v>
      </c>
      <c r="BF16" s="605">
        <v>0</v>
      </c>
      <c r="BG16" s="606">
        <v>0</v>
      </c>
      <c r="BH16" s="609">
        <v>0</v>
      </c>
      <c r="BI16" s="605">
        <v>0</v>
      </c>
      <c r="BJ16" s="605">
        <v>0</v>
      </c>
      <c r="BK16" s="606">
        <v>0</v>
      </c>
      <c r="BL16" s="215"/>
      <c r="BM16" s="605">
        <f t="shared" si="3"/>
        <v>0</v>
      </c>
      <c r="BN16" s="605">
        <f t="shared" si="4"/>
        <v>0</v>
      </c>
      <c r="BO16" s="605">
        <f t="shared" si="5"/>
        <v>0</v>
      </c>
      <c r="BP16" s="605">
        <f t="shared" si="6"/>
        <v>0</v>
      </c>
      <c r="BQ16" s="605">
        <f t="shared" si="7"/>
        <v>0</v>
      </c>
      <c r="BR16" s="605">
        <f t="shared" si="8"/>
        <v>0</v>
      </c>
      <c r="BS16" s="605">
        <f t="shared" si="9"/>
        <v>0</v>
      </c>
      <c r="BT16" s="605">
        <f t="shared" si="10"/>
        <v>0</v>
      </c>
      <c r="BU16" s="605">
        <f t="shared" si="11"/>
        <v>-30</v>
      </c>
      <c r="BV16" s="605">
        <f t="shared" si="12"/>
        <v>-56</v>
      </c>
      <c r="BW16" s="605">
        <f t="shared" si="13"/>
        <v>21</v>
      </c>
      <c r="BX16" s="605">
        <f t="shared" si="26"/>
        <v>-11</v>
      </c>
      <c r="BY16" s="605">
        <f t="shared" si="24"/>
        <v>41</v>
      </c>
      <c r="BZ16" s="610">
        <f t="shared" si="25"/>
        <v>0</v>
      </c>
      <c r="CA16" s="610">
        <f t="shared" si="14"/>
        <v>0</v>
      </c>
      <c r="CB16" s="734"/>
      <c r="CC16" s="734"/>
      <c r="CD16" s="204"/>
    </row>
    <row r="17" spans="1:82" ht="14.25" customHeight="1">
      <c r="A17" s="203"/>
      <c r="B17" s="377" t="s">
        <v>278</v>
      </c>
      <c r="C17" s="376"/>
      <c r="D17" s="767">
        <v>0</v>
      </c>
      <c r="E17" s="768">
        <v>0</v>
      </c>
      <c r="F17" s="768">
        <v>14</v>
      </c>
      <c r="G17" s="769">
        <v>0</v>
      </c>
      <c r="H17" s="767">
        <v>0</v>
      </c>
      <c r="I17" s="768">
        <v>4.9000000000000004</v>
      </c>
      <c r="J17" s="768">
        <v>0</v>
      </c>
      <c r="K17" s="769">
        <v>0</v>
      </c>
      <c r="L17" s="767">
        <v>0</v>
      </c>
      <c r="M17" s="768">
        <v>0</v>
      </c>
      <c r="N17" s="768">
        <v>0</v>
      </c>
      <c r="O17" s="769">
        <v>0</v>
      </c>
      <c r="P17" s="767">
        <v>0</v>
      </c>
      <c r="Q17" s="768">
        <v>0</v>
      </c>
      <c r="R17" s="768">
        <v>0</v>
      </c>
      <c r="S17" s="769">
        <v>0</v>
      </c>
      <c r="T17" s="767">
        <v>0</v>
      </c>
      <c r="U17" s="768">
        <v>0</v>
      </c>
      <c r="V17" s="768">
        <v>0</v>
      </c>
      <c r="W17" s="769">
        <v>0</v>
      </c>
      <c r="X17" s="767">
        <v>0</v>
      </c>
      <c r="Y17" s="768">
        <v>0</v>
      </c>
      <c r="Z17" s="768">
        <v>0</v>
      </c>
      <c r="AA17" s="769">
        <v>4</v>
      </c>
      <c r="AB17" s="767">
        <v>0</v>
      </c>
      <c r="AC17" s="768">
        <v>0</v>
      </c>
      <c r="AD17" s="768">
        <v>0</v>
      </c>
      <c r="AE17" s="769">
        <v>421</v>
      </c>
      <c r="AF17" s="767">
        <v>0</v>
      </c>
      <c r="AG17" s="768">
        <v>278</v>
      </c>
      <c r="AH17" s="768">
        <v>0</v>
      </c>
      <c r="AI17" s="769">
        <v>0</v>
      </c>
      <c r="AJ17" s="767">
        <v>-24</v>
      </c>
      <c r="AK17" s="768">
        <v>24</v>
      </c>
      <c r="AL17" s="768">
        <v>0</v>
      </c>
      <c r="AM17" s="769">
        <v>8</v>
      </c>
      <c r="AN17" s="767">
        <v>-78</v>
      </c>
      <c r="AO17" s="768">
        <v>78</v>
      </c>
      <c r="AP17" s="768">
        <v>0</v>
      </c>
      <c r="AQ17" s="769">
        <v>39</v>
      </c>
      <c r="AR17" s="767">
        <v>10</v>
      </c>
      <c r="AS17" s="768">
        <v>5</v>
      </c>
      <c r="AT17" s="768">
        <v>5</v>
      </c>
      <c r="AU17" s="769">
        <v>18</v>
      </c>
      <c r="AV17" s="767">
        <v>9</v>
      </c>
      <c r="AW17" s="605">
        <f>9-AV17</f>
        <v>0</v>
      </c>
      <c r="AX17" s="605">
        <f>15-AW17-AV17</f>
        <v>6</v>
      </c>
      <c r="AY17" s="610">
        <f>-9-AX17-AW17-AV17</f>
        <v>-24</v>
      </c>
      <c r="AZ17" s="609">
        <v>0</v>
      </c>
      <c r="BA17" s="605">
        <v>0</v>
      </c>
      <c r="BB17" s="605">
        <v>0</v>
      </c>
      <c r="BC17" s="606">
        <v>0</v>
      </c>
      <c r="BD17" s="609">
        <v>0</v>
      </c>
      <c r="BE17" s="605">
        <v>0</v>
      </c>
      <c r="BF17" s="605">
        <v>0</v>
      </c>
      <c r="BG17" s="606">
        <v>0</v>
      </c>
      <c r="BH17" s="609">
        <v>0</v>
      </c>
      <c r="BI17" s="605">
        <v>0</v>
      </c>
      <c r="BJ17" s="605">
        <v>0</v>
      </c>
      <c r="BK17" s="606">
        <v>0</v>
      </c>
      <c r="BL17" s="215"/>
      <c r="BM17" s="605">
        <f t="shared" si="3"/>
        <v>14</v>
      </c>
      <c r="BN17" s="605">
        <f t="shared" si="4"/>
        <v>4.9000000000000004</v>
      </c>
      <c r="BO17" s="605">
        <f t="shared" si="5"/>
        <v>0</v>
      </c>
      <c r="BP17" s="605">
        <f t="shared" si="6"/>
        <v>0</v>
      </c>
      <c r="BQ17" s="605">
        <f t="shared" si="7"/>
        <v>0</v>
      </c>
      <c r="BR17" s="605">
        <f t="shared" si="8"/>
        <v>4</v>
      </c>
      <c r="BS17" s="605">
        <f t="shared" si="9"/>
        <v>421</v>
      </c>
      <c r="BT17" s="605">
        <f t="shared" si="10"/>
        <v>278</v>
      </c>
      <c r="BU17" s="605">
        <f t="shared" si="11"/>
        <v>8</v>
      </c>
      <c r="BV17" s="605">
        <f t="shared" si="12"/>
        <v>39</v>
      </c>
      <c r="BW17" s="605">
        <f t="shared" si="13"/>
        <v>38</v>
      </c>
      <c r="BX17" s="605">
        <f t="shared" si="26"/>
        <v>-9</v>
      </c>
      <c r="BY17" s="605">
        <f t="shared" si="24"/>
        <v>0</v>
      </c>
      <c r="BZ17" s="610">
        <f t="shared" si="25"/>
        <v>0</v>
      </c>
      <c r="CA17" s="610">
        <f t="shared" si="14"/>
        <v>0</v>
      </c>
      <c r="CB17" s="734"/>
      <c r="CC17" s="734"/>
      <c r="CD17" s="204"/>
    </row>
    <row r="18" spans="1:82" ht="14.25" customHeight="1">
      <c r="A18" s="203"/>
      <c r="B18" s="227" t="s">
        <v>277</v>
      </c>
      <c r="C18" s="331"/>
      <c r="D18" s="609"/>
      <c r="E18" s="605"/>
      <c r="F18" s="605"/>
      <c r="G18" s="610"/>
      <c r="H18" s="607"/>
      <c r="I18" s="605"/>
      <c r="J18" s="605"/>
      <c r="K18" s="610"/>
      <c r="L18" s="607"/>
      <c r="M18" s="605"/>
      <c r="N18" s="605"/>
      <c r="O18" s="610"/>
      <c r="P18" s="607"/>
      <c r="Q18" s="605"/>
      <c r="R18" s="605"/>
      <c r="S18" s="610"/>
      <c r="T18" s="607"/>
      <c r="U18" s="605"/>
      <c r="V18" s="605"/>
      <c r="W18" s="610"/>
      <c r="X18" s="607"/>
      <c r="Y18" s="605"/>
      <c r="Z18" s="605"/>
      <c r="AA18" s="610"/>
      <c r="AB18" s="607"/>
      <c r="AC18" s="605"/>
      <c r="AD18" s="605"/>
      <c r="AE18" s="610"/>
      <c r="AF18" s="607"/>
      <c r="AG18" s="605"/>
      <c r="AH18" s="605"/>
      <c r="AI18" s="610"/>
      <c r="AJ18" s="607"/>
      <c r="AK18" s="605"/>
      <c r="AL18" s="605"/>
      <c r="AM18" s="610"/>
      <c r="AN18" s="607"/>
      <c r="AO18" s="605"/>
      <c r="AP18" s="605"/>
      <c r="AQ18" s="610"/>
      <c r="AR18" s="607"/>
      <c r="AS18" s="605"/>
      <c r="AT18" s="605"/>
      <c r="AU18" s="769"/>
      <c r="AV18" s="607"/>
      <c r="AW18" s="605"/>
      <c r="AX18" s="605"/>
      <c r="AY18" s="610"/>
      <c r="AZ18" s="607"/>
      <c r="BA18" s="605"/>
      <c r="BB18" s="605"/>
      <c r="BC18" s="606"/>
      <c r="BD18" s="607"/>
      <c r="BE18" s="605"/>
      <c r="BF18" s="605"/>
      <c r="BG18" s="606"/>
      <c r="BH18" s="607"/>
      <c r="BI18" s="605"/>
      <c r="BJ18" s="605"/>
      <c r="BK18" s="606"/>
      <c r="BL18" s="215"/>
      <c r="BM18" s="605"/>
      <c r="BN18" s="605"/>
      <c r="BO18" s="605"/>
      <c r="BP18" s="605"/>
      <c r="BQ18" s="605"/>
      <c r="BR18" s="605"/>
      <c r="BS18" s="605"/>
      <c r="BT18" s="605"/>
      <c r="BU18" s="605"/>
      <c r="BV18" s="605"/>
      <c r="BW18" s="605"/>
      <c r="BX18" s="605"/>
      <c r="BY18" s="605"/>
      <c r="BZ18" s="610"/>
      <c r="CA18" s="610">
        <f t="shared" si="14"/>
        <v>0</v>
      </c>
      <c r="CB18" s="734"/>
      <c r="CC18" s="734"/>
      <c r="CD18" s="204"/>
    </row>
    <row r="19" spans="1:82" ht="14.25" customHeight="1">
      <c r="A19" s="203"/>
      <c r="B19" s="377" t="s">
        <v>15</v>
      </c>
      <c r="C19" s="376"/>
      <c r="D19" s="767">
        <v>-136.89500000000001</v>
      </c>
      <c r="E19" s="768">
        <v>-194.328</v>
      </c>
      <c r="F19" s="768">
        <v>-330.19600000000014</v>
      </c>
      <c r="G19" s="769">
        <v>268.39700000000016</v>
      </c>
      <c r="H19" s="767">
        <v>-24.35</v>
      </c>
      <c r="I19" s="768">
        <v>-46.713999999999992</v>
      </c>
      <c r="J19" s="768">
        <v>-118.244</v>
      </c>
      <c r="K19" s="769">
        <v>223.56700000000001</v>
      </c>
      <c r="L19" s="767">
        <v>34.926000000000002</v>
      </c>
      <c r="M19" s="768">
        <v>350.904</v>
      </c>
      <c r="N19" s="768">
        <v>148.27400000000006</v>
      </c>
      <c r="O19" s="769">
        <v>-109.81400000000004</v>
      </c>
      <c r="P19" s="767">
        <v>368.64800000000002</v>
      </c>
      <c r="Q19" s="768">
        <v>345.44799999999998</v>
      </c>
      <c r="R19" s="768">
        <v>72.222999999999956</v>
      </c>
      <c r="S19" s="769">
        <v>-199.32599999999991</v>
      </c>
      <c r="T19" s="767">
        <v>-193.953</v>
      </c>
      <c r="U19" s="768">
        <v>-170.33700000000002</v>
      </c>
      <c r="V19" s="768">
        <v>-284.18700000000013</v>
      </c>
      <c r="W19" s="769">
        <v>-114.17799999999986</v>
      </c>
      <c r="X19" s="767">
        <v>-115</v>
      </c>
      <c r="Y19" s="768">
        <v>30</v>
      </c>
      <c r="Z19" s="768">
        <v>102</v>
      </c>
      <c r="AA19" s="769">
        <v>275</v>
      </c>
      <c r="AB19" s="767">
        <v>147</v>
      </c>
      <c r="AC19" s="768">
        <v>-214</v>
      </c>
      <c r="AD19" s="768">
        <v>250</v>
      </c>
      <c r="AE19" s="769">
        <v>310</v>
      </c>
      <c r="AF19" s="767">
        <v>112</v>
      </c>
      <c r="AG19" s="768">
        <v>-166</v>
      </c>
      <c r="AH19" s="768">
        <v>105</v>
      </c>
      <c r="AI19" s="769">
        <v>-455</v>
      </c>
      <c r="AJ19" s="767">
        <v>123</v>
      </c>
      <c r="AK19" s="768">
        <v>-105</v>
      </c>
      <c r="AL19" s="768">
        <v>-7</v>
      </c>
      <c r="AM19" s="769">
        <v>-32</v>
      </c>
      <c r="AN19" s="767">
        <v>90</v>
      </c>
      <c r="AO19" s="768">
        <v>-218</v>
      </c>
      <c r="AP19" s="768">
        <v>-194</v>
      </c>
      <c r="AQ19" s="769">
        <v>261</v>
      </c>
      <c r="AR19" s="767">
        <v>113</v>
      </c>
      <c r="AS19" s="768">
        <v>-288</v>
      </c>
      <c r="AT19" s="768">
        <v>63</v>
      </c>
      <c r="AU19" s="769">
        <f>-542-AT19-AS19-AR19</f>
        <v>-430</v>
      </c>
      <c r="AV19" s="767">
        <v>-89</v>
      </c>
      <c r="AW19" s="605">
        <f>-98-AV19</f>
        <v>-9</v>
      </c>
      <c r="AX19" s="605">
        <f>26-AW19-AV19</f>
        <v>124</v>
      </c>
      <c r="AY19" s="610">
        <f>-37-AX19-AW19-AV19</f>
        <v>-63</v>
      </c>
      <c r="AZ19" s="609">
        <f>BS!AY10-BS!AZ10</f>
        <v>156</v>
      </c>
      <c r="BA19" s="605">
        <f>BS!AZ10-BS!BA10</f>
        <v>-1063.7244111111113</v>
      </c>
      <c r="BB19" s="605">
        <f>BS!BA10-BS!BB10</f>
        <v>85.09299680555614</v>
      </c>
      <c r="BC19" s="610">
        <f>BS!BB10-BS!BC10</f>
        <v>-20.303570462500375</v>
      </c>
      <c r="BD19" s="609">
        <f>BS!BC10-BS!BD10</f>
        <v>96.095047116180922</v>
      </c>
      <c r="BE19" s="605">
        <f>BS!BD10-BS!BE10</f>
        <v>-27.763182586955281</v>
      </c>
      <c r="BF19" s="605">
        <f>BS!BE10-BS!BF10</f>
        <v>-17.707469991955804</v>
      </c>
      <c r="BG19" s="610">
        <f>BS!BF10-BS!BG10</f>
        <v>-42.584581440242346</v>
      </c>
      <c r="BH19" s="609">
        <f>BS!BG10-BS!BH10</f>
        <v>23.756611270703161</v>
      </c>
      <c r="BI19" s="605">
        <f>BS!BH10-BS!BI10</f>
        <v>-27.693326561864978</v>
      </c>
      <c r="BJ19" s="605">
        <f>BS!BI10-BS!BJ10</f>
        <v>-32.836994782969668</v>
      </c>
      <c r="BK19" s="610">
        <f>BS!BJ10-BS!BK10</f>
        <v>-3.2933494862850239</v>
      </c>
      <c r="BL19" s="215"/>
      <c r="BM19" s="605">
        <f t="shared" ref="BM19:BM26" si="27">SUM(D19:G19)</f>
        <v>-393.02199999999993</v>
      </c>
      <c r="BN19" s="605">
        <f t="shared" ref="BN19:BN26" si="28">SUM(H19:K19)</f>
        <v>34.259000000000015</v>
      </c>
      <c r="BO19" s="605">
        <f t="shared" ref="BO19:BO26" si="29">SUM(L19:O19)</f>
        <v>424.29</v>
      </c>
      <c r="BP19" s="605">
        <f t="shared" ref="BP19:BP26" si="30">SUM(P19:S19)</f>
        <v>586.99300000000005</v>
      </c>
      <c r="BQ19" s="605">
        <f t="shared" ref="BQ19:BQ26" si="31">SUM(T19:W19)</f>
        <v>-762.65499999999997</v>
      </c>
      <c r="BR19" s="605">
        <f t="shared" ref="BR19:BR26" si="32">SUM(X19:AA19)</f>
        <v>292</v>
      </c>
      <c r="BS19" s="605">
        <f t="shared" ref="BS19:BS26" si="33">SUM(AB19:AE19)</f>
        <v>493</v>
      </c>
      <c r="BT19" s="605">
        <f t="shared" ref="BT19:BT26" si="34">SUM(AF19:AI19)</f>
        <v>-404</v>
      </c>
      <c r="BU19" s="605">
        <f t="shared" ref="BU19:BU26" si="35">SUM(AJ19:AM19)</f>
        <v>-21</v>
      </c>
      <c r="BV19" s="605">
        <f t="shared" ref="BV19:BV26" si="36">SUM(AN19:AQ19)</f>
        <v>-61</v>
      </c>
      <c r="BW19" s="605">
        <f t="shared" ref="BW19:BW26" si="37">SUM(AR19:AU19)</f>
        <v>-542</v>
      </c>
      <c r="BX19" s="605">
        <f t="shared" ref="BX19:BX26" si="38">SUM(AV19:AY19)</f>
        <v>-37</v>
      </c>
      <c r="BY19" s="605">
        <f t="shared" si="24"/>
        <v>-842.93498476805553</v>
      </c>
      <c r="BZ19" s="610">
        <f t="shared" si="25"/>
        <v>8.0398130970274906</v>
      </c>
      <c r="CA19" s="610">
        <f t="shared" si="14"/>
        <v>-40.06705956041651</v>
      </c>
      <c r="CB19" s="734"/>
      <c r="CC19" s="734"/>
      <c r="CD19" s="204"/>
    </row>
    <row r="20" spans="1:82" ht="14.25" customHeight="1">
      <c r="A20" s="203"/>
      <c r="B20" s="377" t="s">
        <v>87</v>
      </c>
      <c r="C20" s="376"/>
      <c r="D20" s="767">
        <v>10.917999999999999</v>
      </c>
      <c r="E20" s="768">
        <v>-60.197000000000003</v>
      </c>
      <c r="F20" s="768">
        <v>-105.69499999999999</v>
      </c>
      <c r="G20" s="769">
        <v>-67.361000000000018</v>
      </c>
      <c r="H20" s="767">
        <v>-110.69499999999999</v>
      </c>
      <c r="I20" s="768">
        <v>48.252999999999993</v>
      </c>
      <c r="J20" s="768">
        <v>108.77300000000002</v>
      </c>
      <c r="K20" s="769">
        <v>94.601999999999975</v>
      </c>
      <c r="L20" s="767">
        <v>-73.936999999999998</v>
      </c>
      <c r="M20" s="768">
        <v>-203.541</v>
      </c>
      <c r="N20" s="768">
        <v>-227.077</v>
      </c>
      <c r="O20" s="769">
        <v>-133.70099999999996</v>
      </c>
      <c r="P20" s="767">
        <v>-144.07499999999999</v>
      </c>
      <c r="Q20" s="768">
        <v>230.06799999999998</v>
      </c>
      <c r="R20" s="768">
        <v>152.517</v>
      </c>
      <c r="S20" s="769">
        <v>121.05000000000001</v>
      </c>
      <c r="T20" s="767">
        <v>25.026</v>
      </c>
      <c r="U20" s="768">
        <v>-26.175999999999998</v>
      </c>
      <c r="V20" s="768">
        <v>101.45500000000001</v>
      </c>
      <c r="W20" s="769">
        <v>44.320999999999998</v>
      </c>
      <c r="X20" s="767">
        <v>-100</v>
      </c>
      <c r="Y20" s="768">
        <v>-146</v>
      </c>
      <c r="Z20" s="768">
        <v>-64</v>
      </c>
      <c r="AA20" s="769">
        <v>147</v>
      </c>
      <c r="AB20" s="767">
        <v>179</v>
      </c>
      <c r="AC20" s="768">
        <v>178</v>
      </c>
      <c r="AD20" s="768">
        <v>214</v>
      </c>
      <c r="AE20" s="769">
        <v>108</v>
      </c>
      <c r="AF20" s="767">
        <v>-6</v>
      </c>
      <c r="AG20" s="768">
        <v>-40</v>
      </c>
      <c r="AH20" s="768">
        <v>-39</v>
      </c>
      <c r="AI20" s="769">
        <v>-56</v>
      </c>
      <c r="AJ20" s="767">
        <v>-119</v>
      </c>
      <c r="AK20" s="768">
        <v>-32</v>
      </c>
      <c r="AL20" s="768">
        <v>18</v>
      </c>
      <c r="AM20" s="769">
        <v>-21</v>
      </c>
      <c r="AN20" s="767">
        <v>-74</v>
      </c>
      <c r="AO20" s="768">
        <v>-72</v>
      </c>
      <c r="AP20" s="768">
        <v>-26</v>
      </c>
      <c r="AQ20" s="769">
        <v>-94</v>
      </c>
      <c r="AR20" s="767">
        <v>-2</v>
      </c>
      <c r="AS20" s="768">
        <v>-89</v>
      </c>
      <c r="AT20" s="768">
        <v>-101</v>
      </c>
      <c r="AU20" s="769">
        <f>-216-AT20-AS20-AR20</f>
        <v>-24</v>
      </c>
      <c r="AV20" s="767">
        <v>-231</v>
      </c>
      <c r="AW20" s="605">
        <f>-559-AV20</f>
        <v>-328</v>
      </c>
      <c r="AX20" s="605">
        <f>-825-AW20-AV20</f>
        <v>-266</v>
      </c>
      <c r="AY20" s="610">
        <f>-879-AX20-AW20-AV20</f>
        <v>-54</v>
      </c>
      <c r="AZ20" s="609">
        <f>BS!AY11-BS!AZ11</f>
        <v>-195</v>
      </c>
      <c r="BA20" s="605">
        <f>BS!AZ11-BS!BA11</f>
        <v>-190.12696241674621</v>
      </c>
      <c r="BB20" s="605">
        <f>BS!BA11-BS!BB11</f>
        <v>86.912520070171468</v>
      </c>
      <c r="BC20" s="610">
        <f>BS!BB11-BS!BC11</f>
        <v>-20.737716869351061</v>
      </c>
      <c r="BD20" s="609">
        <f>BS!BC11-BS!BD11</f>
        <v>88.244938101225216</v>
      </c>
      <c r="BE20" s="605">
        <f>BS!BD11-BS!BE11</f>
        <v>-28.445978869979172</v>
      </c>
      <c r="BF20" s="605">
        <f>BS!BE11-BS!BF11</f>
        <v>-47.56769563385933</v>
      </c>
      <c r="BG20" s="610">
        <f>BS!BF11-BS!BG11</f>
        <v>-44.032181665603275</v>
      </c>
      <c r="BH20" s="609">
        <f>BS!BG11-BS!BH11</f>
        <v>24.564182336712747</v>
      </c>
      <c r="BI20" s="605">
        <f>BS!BH11-BS!BI11</f>
        <v>-28.63472047525056</v>
      </c>
      <c r="BJ20" s="605">
        <f>BS!BI11-BS!BJ11</f>
        <v>-33.953240133759664</v>
      </c>
      <c r="BK20" s="610">
        <f>BS!BJ11-BS!BK11</f>
        <v>-3.4053020591945824</v>
      </c>
      <c r="BL20" s="215"/>
      <c r="BM20" s="605">
        <f t="shared" si="27"/>
        <v>-222.33500000000001</v>
      </c>
      <c r="BN20" s="605">
        <f t="shared" si="28"/>
        <v>140.93299999999999</v>
      </c>
      <c r="BO20" s="605">
        <f t="shared" si="29"/>
        <v>-638.25599999999997</v>
      </c>
      <c r="BP20" s="605">
        <f t="shared" si="30"/>
        <v>359.56</v>
      </c>
      <c r="BQ20" s="605">
        <f t="shared" si="31"/>
        <v>144.626</v>
      </c>
      <c r="BR20" s="605">
        <f t="shared" si="32"/>
        <v>-163</v>
      </c>
      <c r="BS20" s="605">
        <f t="shared" si="33"/>
        <v>679</v>
      </c>
      <c r="BT20" s="605">
        <f t="shared" si="34"/>
        <v>-141</v>
      </c>
      <c r="BU20" s="605">
        <f t="shared" si="35"/>
        <v>-154</v>
      </c>
      <c r="BV20" s="605">
        <f t="shared" si="36"/>
        <v>-266</v>
      </c>
      <c r="BW20" s="605">
        <f t="shared" si="37"/>
        <v>-216</v>
      </c>
      <c r="BX20" s="605">
        <f t="shared" si="38"/>
        <v>-879</v>
      </c>
      <c r="BY20" s="605">
        <f t="shared" si="24"/>
        <v>-318.9521592159258</v>
      </c>
      <c r="BZ20" s="610">
        <f t="shared" si="25"/>
        <v>-31.800918068216561</v>
      </c>
      <c r="CA20" s="610">
        <f t="shared" si="14"/>
        <v>-41.429080331492059</v>
      </c>
      <c r="CB20" s="734"/>
      <c r="CC20" s="734"/>
      <c r="CD20" s="204"/>
    </row>
    <row r="21" spans="1:82" ht="14.25" customHeight="1">
      <c r="A21" s="203"/>
      <c r="B21" s="377" t="s">
        <v>171</v>
      </c>
      <c r="C21" s="376"/>
      <c r="D21" s="767">
        <v>42.101999999999997</v>
      </c>
      <c r="E21" s="768">
        <v>-38.631999999999998</v>
      </c>
      <c r="F21" s="768">
        <v>-4.9080000000000013</v>
      </c>
      <c r="G21" s="769">
        <v>26.661999999999999</v>
      </c>
      <c r="H21" s="767">
        <v>-3.1E-2</v>
      </c>
      <c r="I21" s="768">
        <v>3</v>
      </c>
      <c r="J21" s="768">
        <v>-39.779000000000003</v>
      </c>
      <c r="K21" s="769">
        <v>-127.47899999999998</v>
      </c>
      <c r="L21" s="767">
        <v>-22.579000000000001</v>
      </c>
      <c r="M21" s="768">
        <v>138.93100000000001</v>
      </c>
      <c r="N21" s="768">
        <v>-38.759000000000022</v>
      </c>
      <c r="O21" s="769">
        <v>16.654000000000018</v>
      </c>
      <c r="P21" s="767">
        <v>10.89</v>
      </c>
      <c r="Q21" s="768">
        <v>2.520999999999999</v>
      </c>
      <c r="R21" s="768">
        <v>36.579000000000001</v>
      </c>
      <c r="S21" s="769">
        <v>44.749999999999993</v>
      </c>
      <c r="T21" s="767">
        <v>23.26</v>
      </c>
      <c r="U21" s="768">
        <v>-24.774000000000001</v>
      </c>
      <c r="V21" s="768">
        <v>-36.421999999999997</v>
      </c>
      <c r="W21" s="769">
        <v>33.345999999999989</v>
      </c>
      <c r="X21" s="767">
        <v>1</v>
      </c>
      <c r="Y21" s="768">
        <v>-111</v>
      </c>
      <c r="Z21" s="768">
        <v>110</v>
      </c>
      <c r="AA21" s="769">
        <v>0</v>
      </c>
      <c r="AB21" s="767">
        <v>0</v>
      </c>
      <c r="AC21" s="768">
        <v>0</v>
      </c>
      <c r="AD21" s="768">
        <v>0</v>
      </c>
      <c r="AE21" s="769">
        <v>0</v>
      </c>
      <c r="AF21" s="767">
        <v>0</v>
      </c>
      <c r="AG21" s="768">
        <v>0</v>
      </c>
      <c r="AH21" s="768">
        <v>0</v>
      </c>
      <c r="AI21" s="769">
        <v>0</v>
      </c>
      <c r="AJ21" s="767">
        <v>0</v>
      </c>
      <c r="AK21" s="768">
        <v>0</v>
      </c>
      <c r="AL21" s="768">
        <v>0</v>
      </c>
      <c r="AM21" s="769">
        <v>0</v>
      </c>
      <c r="AN21" s="767">
        <v>0</v>
      </c>
      <c r="AO21" s="768">
        <v>0</v>
      </c>
      <c r="AP21" s="768">
        <v>0</v>
      </c>
      <c r="AQ21" s="769">
        <v>0</v>
      </c>
      <c r="AR21" s="767">
        <v>0</v>
      </c>
      <c r="AS21" s="605">
        <f>-AR21</f>
        <v>0</v>
      </c>
      <c r="AT21" s="768">
        <v>0</v>
      </c>
      <c r="AU21" s="769">
        <f>0-AT21-AS21-AR21</f>
        <v>0</v>
      </c>
      <c r="AV21" s="609">
        <f>BS!AU12-BS!AV12</f>
        <v>0</v>
      </c>
      <c r="AW21" s="605">
        <f>BS!AV12-BS!AW12</f>
        <v>0</v>
      </c>
      <c r="AX21" s="605">
        <f>BS!AW12-BS!AX12</f>
        <v>0</v>
      </c>
      <c r="AY21" s="610">
        <f>0-AX21-AW21-AV21</f>
        <v>0</v>
      </c>
      <c r="AZ21" s="609">
        <f>BS!AY12-BS!AZ12</f>
        <v>0</v>
      </c>
      <c r="BA21" s="605">
        <f>BS!AZ12-BS!BA12</f>
        <v>0</v>
      </c>
      <c r="BB21" s="605">
        <f>BS!BA12-BS!BB12</f>
        <v>0</v>
      </c>
      <c r="BC21" s="610">
        <f>BS!BB12-BS!BC12</f>
        <v>0</v>
      </c>
      <c r="BD21" s="609">
        <f>BS!BC12-BS!BD12</f>
        <v>0</v>
      </c>
      <c r="BE21" s="605">
        <f>BS!BD12-BS!BE12</f>
        <v>0</v>
      </c>
      <c r="BF21" s="605">
        <f>BS!BE12-BS!BF12</f>
        <v>0</v>
      </c>
      <c r="BG21" s="610">
        <f>BS!BF12-BS!BG12</f>
        <v>0</v>
      </c>
      <c r="BH21" s="609">
        <f>BS!BG12-BS!BH12</f>
        <v>0</v>
      </c>
      <c r="BI21" s="605">
        <f>BS!BH12-BS!BI12</f>
        <v>0</v>
      </c>
      <c r="BJ21" s="605">
        <f>BS!BI12-BS!BJ12</f>
        <v>0</v>
      </c>
      <c r="BK21" s="610">
        <f>BS!BJ12-BS!BK12</f>
        <v>0</v>
      </c>
      <c r="BL21" s="215"/>
      <c r="BM21" s="605">
        <f t="shared" si="27"/>
        <v>25.223999999999997</v>
      </c>
      <c r="BN21" s="605">
        <f t="shared" si="28"/>
        <v>-164.28899999999999</v>
      </c>
      <c r="BO21" s="605">
        <f t="shared" si="29"/>
        <v>94.247000000000014</v>
      </c>
      <c r="BP21" s="605">
        <f t="shared" si="30"/>
        <v>94.74</v>
      </c>
      <c r="BQ21" s="605">
        <f t="shared" si="31"/>
        <v>-4.5900000000000034</v>
      </c>
      <c r="BR21" s="605">
        <f t="shared" si="32"/>
        <v>0</v>
      </c>
      <c r="BS21" s="605">
        <f t="shared" si="33"/>
        <v>0</v>
      </c>
      <c r="BT21" s="605">
        <f t="shared" si="34"/>
        <v>0</v>
      </c>
      <c r="BU21" s="605">
        <f t="shared" si="35"/>
        <v>0</v>
      </c>
      <c r="BV21" s="605">
        <f t="shared" si="36"/>
        <v>0</v>
      </c>
      <c r="BW21" s="605">
        <f t="shared" si="37"/>
        <v>0</v>
      </c>
      <c r="BX21" s="605">
        <f t="shared" si="38"/>
        <v>0</v>
      </c>
      <c r="BY21" s="605">
        <f t="shared" si="24"/>
        <v>0</v>
      </c>
      <c r="BZ21" s="610">
        <f t="shared" si="25"/>
        <v>0</v>
      </c>
      <c r="CA21" s="610">
        <f t="shared" si="14"/>
        <v>0</v>
      </c>
      <c r="CB21" s="734"/>
      <c r="CC21" s="734"/>
      <c r="CD21" s="204"/>
    </row>
    <row r="22" spans="1:82" ht="14.25" customHeight="1">
      <c r="A22" s="203"/>
      <c r="B22" s="377" t="s">
        <v>162</v>
      </c>
      <c r="C22" s="376"/>
      <c r="D22" s="767">
        <v>-20.292000000000002</v>
      </c>
      <c r="E22" s="768">
        <v>21.452000000000002</v>
      </c>
      <c r="F22" s="768">
        <v>-0.96399999999999864</v>
      </c>
      <c r="G22" s="769">
        <v>16.891999999999999</v>
      </c>
      <c r="H22" s="767">
        <v>-3.0779999999999998</v>
      </c>
      <c r="I22" s="768">
        <v>-0.40500000000000025</v>
      </c>
      <c r="J22" s="768">
        <v>6.5019999999999998</v>
      </c>
      <c r="K22" s="769">
        <v>0.3400000000000003</v>
      </c>
      <c r="L22" s="767">
        <v>-4.984</v>
      </c>
      <c r="M22" s="768">
        <v>0.10899999999999999</v>
      </c>
      <c r="N22" s="768">
        <v>0.49199999999999999</v>
      </c>
      <c r="O22" s="769">
        <v>3.9889999999999999</v>
      </c>
      <c r="P22" s="767">
        <v>1.3109999999999999</v>
      </c>
      <c r="Q22" s="768">
        <v>-2.4550000000000001</v>
      </c>
      <c r="R22" s="768">
        <v>-5.99</v>
      </c>
      <c r="S22" s="769">
        <v>0.60400000000000009</v>
      </c>
      <c r="T22" s="767">
        <v>-9.5250000000000004</v>
      </c>
      <c r="U22" s="768">
        <v>3.9999999999995595E-3</v>
      </c>
      <c r="V22" s="768">
        <v>2.878000000000001</v>
      </c>
      <c r="W22" s="769">
        <v>183.85599999999999</v>
      </c>
      <c r="X22" s="767">
        <v>-4</v>
      </c>
      <c r="Y22" s="768">
        <v>22</v>
      </c>
      <c r="Z22" s="768">
        <v>-53</v>
      </c>
      <c r="AA22" s="769">
        <v>12</v>
      </c>
      <c r="AB22" s="767">
        <v>96</v>
      </c>
      <c r="AC22" s="768">
        <v>36</v>
      </c>
      <c r="AD22" s="768">
        <v>-85</v>
      </c>
      <c r="AE22" s="769">
        <v>-1</v>
      </c>
      <c r="AF22" s="767">
        <v>80</v>
      </c>
      <c r="AG22" s="768">
        <v>-109</v>
      </c>
      <c r="AH22" s="768">
        <v>47</v>
      </c>
      <c r="AI22" s="769">
        <v>-81</v>
      </c>
      <c r="AJ22" s="767">
        <v>37</v>
      </c>
      <c r="AK22" s="768">
        <v>29</v>
      </c>
      <c r="AL22" s="768">
        <v>13</v>
      </c>
      <c r="AM22" s="769">
        <v>-53</v>
      </c>
      <c r="AN22" s="767">
        <v>1</v>
      </c>
      <c r="AO22" s="768">
        <v>-148</v>
      </c>
      <c r="AP22" s="768">
        <v>145</v>
      </c>
      <c r="AQ22" s="769">
        <v>28</v>
      </c>
      <c r="AR22" s="767">
        <v>-14</v>
      </c>
      <c r="AS22" s="768">
        <v>83</v>
      </c>
      <c r="AT22" s="768">
        <v>-17</v>
      </c>
      <c r="AU22" s="769">
        <v>-22</v>
      </c>
      <c r="AV22" s="767">
        <v>-42</v>
      </c>
      <c r="AW22" s="605">
        <f>-30-AV22</f>
        <v>12</v>
      </c>
      <c r="AX22" s="605">
        <f>-114-AW22-AV22</f>
        <v>-84</v>
      </c>
      <c r="AY22" s="610">
        <f>-157-AX22-AW22-AV22</f>
        <v>-43</v>
      </c>
      <c r="AZ22" s="609">
        <f>BS!AY13-BS!AZ13</f>
        <v>106</v>
      </c>
      <c r="BA22" s="605">
        <f>BS!AZ13-BS!BA13</f>
        <v>0</v>
      </c>
      <c r="BB22" s="605">
        <f>BS!BA13-BS!BB13</f>
        <v>0</v>
      </c>
      <c r="BC22" s="610">
        <f>BS!BB13-BS!BC13</f>
        <v>0</v>
      </c>
      <c r="BD22" s="609">
        <f>BS!BC13-BS!BD13</f>
        <v>0</v>
      </c>
      <c r="BE22" s="605">
        <f>BS!BD13-BS!BE13</f>
        <v>0</v>
      </c>
      <c r="BF22" s="605">
        <f>BS!BE13-BS!BF13</f>
        <v>0</v>
      </c>
      <c r="BG22" s="610">
        <f>BS!BF13-BS!BG13</f>
        <v>0</v>
      </c>
      <c r="BH22" s="609">
        <f>BS!BG13-BS!BH13</f>
        <v>0</v>
      </c>
      <c r="BI22" s="605">
        <f>BS!BH13-BS!BI13</f>
        <v>0</v>
      </c>
      <c r="BJ22" s="605">
        <f>BS!BI13-BS!BJ13</f>
        <v>0</v>
      </c>
      <c r="BK22" s="610">
        <f>BS!BJ13-BS!BK13</f>
        <v>0</v>
      </c>
      <c r="BL22" s="215"/>
      <c r="BM22" s="605">
        <f t="shared" si="27"/>
        <v>17.088000000000001</v>
      </c>
      <c r="BN22" s="605">
        <f t="shared" si="28"/>
        <v>3.359</v>
      </c>
      <c r="BO22" s="605">
        <f t="shared" si="29"/>
        <v>-0.39400000000000013</v>
      </c>
      <c r="BP22" s="605">
        <f t="shared" si="30"/>
        <v>-6.53</v>
      </c>
      <c r="BQ22" s="605">
        <f t="shared" si="31"/>
        <v>177.21299999999999</v>
      </c>
      <c r="BR22" s="605">
        <f t="shared" si="32"/>
        <v>-23</v>
      </c>
      <c r="BS22" s="605">
        <f t="shared" si="33"/>
        <v>46</v>
      </c>
      <c r="BT22" s="605">
        <f t="shared" si="34"/>
        <v>-63</v>
      </c>
      <c r="BU22" s="605">
        <f t="shared" si="35"/>
        <v>26</v>
      </c>
      <c r="BV22" s="605">
        <f t="shared" si="36"/>
        <v>26</v>
      </c>
      <c r="BW22" s="605">
        <f t="shared" si="37"/>
        <v>30</v>
      </c>
      <c r="BX22" s="605">
        <f t="shared" si="38"/>
        <v>-157</v>
      </c>
      <c r="BY22" s="605">
        <f t="shared" si="24"/>
        <v>106</v>
      </c>
      <c r="BZ22" s="610">
        <f t="shared" si="25"/>
        <v>0</v>
      </c>
      <c r="CA22" s="610">
        <f t="shared" si="14"/>
        <v>0</v>
      </c>
      <c r="CB22" s="734"/>
      <c r="CC22" s="734"/>
      <c r="CD22" s="204"/>
    </row>
    <row r="23" spans="1:82" ht="14.25" customHeight="1">
      <c r="A23" s="203"/>
      <c r="B23" s="377" t="s">
        <v>11</v>
      </c>
      <c r="C23" s="376"/>
      <c r="D23" s="767">
        <v>-11.679</v>
      </c>
      <c r="E23" s="768">
        <v>259.86699999999996</v>
      </c>
      <c r="F23" s="768">
        <v>146.63400000000004</v>
      </c>
      <c r="G23" s="769">
        <v>-156.87</v>
      </c>
      <c r="H23" s="767">
        <v>-107.82299999999999</v>
      </c>
      <c r="I23" s="768">
        <v>71.276999999999987</v>
      </c>
      <c r="J23" s="768">
        <v>165.666</v>
      </c>
      <c r="K23" s="769">
        <v>-141.59300000000002</v>
      </c>
      <c r="L23" s="767">
        <v>-95.459000000000003</v>
      </c>
      <c r="M23" s="768">
        <v>290.49900000000002</v>
      </c>
      <c r="N23" s="768">
        <v>207.88399999999996</v>
      </c>
      <c r="O23" s="769">
        <v>-50.005999999999972</v>
      </c>
      <c r="P23" s="767">
        <v>-518.37300000000005</v>
      </c>
      <c r="Q23" s="768">
        <v>-131.60299999999995</v>
      </c>
      <c r="R23" s="768">
        <v>17.783000000000015</v>
      </c>
      <c r="S23" s="769">
        <v>-27.812999999999988</v>
      </c>
      <c r="T23" s="767">
        <v>165.50800000000001</v>
      </c>
      <c r="U23" s="768">
        <v>156.69399999999999</v>
      </c>
      <c r="V23" s="768">
        <v>51.83499999999998</v>
      </c>
      <c r="W23" s="769">
        <v>72.103999999999985</v>
      </c>
      <c r="X23" s="767">
        <v>-159</v>
      </c>
      <c r="Y23" s="768">
        <v>184</v>
      </c>
      <c r="Z23" s="768">
        <v>-117</v>
      </c>
      <c r="AA23" s="769">
        <v>-129</v>
      </c>
      <c r="AB23" s="767">
        <v>-412</v>
      </c>
      <c r="AC23" s="768">
        <v>51</v>
      </c>
      <c r="AD23" s="768">
        <v>-44</v>
      </c>
      <c r="AE23" s="769">
        <v>-64</v>
      </c>
      <c r="AF23" s="767">
        <v>-248</v>
      </c>
      <c r="AG23" s="768">
        <v>152</v>
      </c>
      <c r="AH23" s="768">
        <v>-36</v>
      </c>
      <c r="AI23" s="769">
        <v>210</v>
      </c>
      <c r="AJ23" s="767">
        <v>-106</v>
      </c>
      <c r="AK23" s="768">
        <v>32</v>
      </c>
      <c r="AL23" s="768">
        <v>-1</v>
      </c>
      <c r="AM23" s="769">
        <v>154</v>
      </c>
      <c r="AN23" s="767">
        <v>-156</v>
      </c>
      <c r="AO23" s="768">
        <v>61</v>
      </c>
      <c r="AP23" s="768">
        <v>-79</v>
      </c>
      <c r="AQ23" s="769">
        <v>41</v>
      </c>
      <c r="AR23" s="767">
        <v>-423</v>
      </c>
      <c r="AS23" s="768">
        <v>173</v>
      </c>
      <c r="AT23" s="768">
        <v>166</v>
      </c>
      <c r="AU23" s="769">
        <v>191</v>
      </c>
      <c r="AV23" s="767">
        <v>-158</v>
      </c>
      <c r="AW23" s="605">
        <f>-44-AV23</f>
        <v>114</v>
      </c>
      <c r="AX23" s="605">
        <f>153-AW23-AV23</f>
        <v>197</v>
      </c>
      <c r="AY23" s="610">
        <f>245-AX23-AW23-AV23</f>
        <v>92</v>
      </c>
      <c r="AZ23" s="609">
        <f>BS!AZ26-BS!AY26</f>
        <v>-69</v>
      </c>
      <c r="BA23" s="605">
        <f>BS!BA26-BS!AZ26</f>
        <v>144.86153520456719</v>
      </c>
      <c r="BB23" s="605">
        <f>BS!BB26-BS!BA26</f>
        <v>-66.220387291865336</v>
      </c>
      <c r="BC23" s="610">
        <f>BS!BC26-BS!BB26</f>
        <v>15.800481237095937</v>
      </c>
      <c r="BD23" s="609">
        <f>BS!BD26-BS!BC26</f>
        <v>-67.235583238085383</v>
      </c>
      <c r="BE23" s="605">
        <f>BS!BE26-BS!BD26</f>
        <v>21.67356022061449</v>
      </c>
      <c r="BF23" s="605">
        <f>BS!BF26-BS!BE26</f>
        <v>36.2427786573503</v>
      </c>
      <c r="BG23" s="610">
        <f>BS!BG26-BS!BF26</f>
        <v>33.548999854656358</v>
      </c>
      <c r="BH23" s="609">
        <f>BS!BH26-BS!BG26</f>
        <v>-18.715941805988223</v>
      </c>
      <c r="BI23" s="605">
        <f>BS!BI26-BS!BH26</f>
        <v>21.817366224503076</v>
      </c>
      <c r="BJ23" s="605">
        <f>BS!BJ26-BS!BI26</f>
        <v>25.869652722713909</v>
      </c>
      <c r="BK23" s="610">
        <f>BS!BK26-BS!BJ26</f>
        <v>2.5945677449417417</v>
      </c>
      <c r="BL23" s="215"/>
      <c r="BM23" s="605">
        <f t="shared" si="27"/>
        <v>237.952</v>
      </c>
      <c r="BN23" s="605">
        <f t="shared" si="28"/>
        <v>-12.473000000000013</v>
      </c>
      <c r="BO23" s="605">
        <f t="shared" si="29"/>
        <v>352.91800000000001</v>
      </c>
      <c r="BP23" s="605">
        <f t="shared" si="30"/>
        <v>-660.00599999999997</v>
      </c>
      <c r="BQ23" s="605">
        <f t="shared" si="31"/>
        <v>446.14099999999996</v>
      </c>
      <c r="BR23" s="605">
        <f t="shared" si="32"/>
        <v>-221</v>
      </c>
      <c r="BS23" s="605">
        <f t="shared" si="33"/>
        <v>-469</v>
      </c>
      <c r="BT23" s="605">
        <f t="shared" si="34"/>
        <v>78</v>
      </c>
      <c r="BU23" s="605">
        <f t="shared" si="35"/>
        <v>79</v>
      </c>
      <c r="BV23" s="605">
        <f t="shared" si="36"/>
        <v>-133</v>
      </c>
      <c r="BW23" s="605">
        <f t="shared" si="37"/>
        <v>107</v>
      </c>
      <c r="BX23" s="605">
        <f t="shared" si="38"/>
        <v>245</v>
      </c>
      <c r="BY23" s="605">
        <f t="shared" si="24"/>
        <v>25.441629149797791</v>
      </c>
      <c r="BZ23" s="610">
        <f t="shared" si="25"/>
        <v>24.229755494535766</v>
      </c>
      <c r="CA23" s="610">
        <f t="shared" si="14"/>
        <v>31.565644886170503</v>
      </c>
      <c r="CB23" s="734"/>
      <c r="CC23" s="734"/>
      <c r="CD23" s="204"/>
    </row>
    <row r="24" spans="1:82" ht="14.25" customHeight="1">
      <c r="A24" s="203"/>
      <c r="B24" s="377" t="s">
        <v>167</v>
      </c>
      <c r="C24" s="376"/>
      <c r="D24" s="767">
        <v>141.32300000000001</v>
      </c>
      <c r="E24" s="768">
        <v>28.287000000000006</v>
      </c>
      <c r="F24" s="768">
        <v>-46.782000000000011</v>
      </c>
      <c r="G24" s="769">
        <v>-22.807999999999993</v>
      </c>
      <c r="H24" s="767">
        <v>121.08199999999999</v>
      </c>
      <c r="I24" s="768">
        <v>-124.80699999999999</v>
      </c>
      <c r="J24" s="768">
        <v>-74.487000000000009</v>
      </c>
      <c r="K24" s="769">
        <v>54.244</v>
      </c>
      <c r="L24" s="767">
        <v>94.248000000000005</v>
      </c>
      <c r="M24" s="768">
        <v>-106.051</v>
      </c>
      <c r="N24" s="768">
        <v>-54.8</v>
      </c>
      <c r="O24" s="769">
        <v>74.728999999999999</v>
      </c>
      <c r="P24" s="767">
        <v>-94.337000000000003</v>
      </c>
      <c r="Q24" s="768">
        <v>-152.40199999999999</v>
      </c>
      <c r="R24" s="768">
        <v>-172.55800000000005</v>
      </c>
      <c r="S24" s="769">
        <v>131.01400000000001</v>
      </c>
      <c r="T24" s="767">
        <v>99.864000000000004</v>
      </c>
      <c r="U24" s="768">
        <v>223.07500000000002</v>
      </c>
      <c r="V24" s="768">
        <v>53.874999999999943</v>
      </c>
      <c r="W24" s="769">
        <v>-114.90499999999997</v>
      </c>
      <c r="X24" s="767">
        <v>1</v>
      </c>
      <c r="Y24" s="768">
        <v>-65</v>
      </c>
      <c r="Z24" s="768">
        <v>68</v>
      </c>
      <c r="AA24" s="769">
        <v>-93</v>
      </c>
      <c r="AB24" s="767">
        <v>0</v>
      </c>
      <c r="AC24" s="768">
        <v>0</v>
      </c>
      <c r="AD24" s="768">
        <v>0</v>
      </c>
      <c r="AE24" s="769">
        <v>0</v>
      </c>
      <c r="AF24" s="767">
        <v>0</v>
      </c>
      <c r="AG24" s="768">
        <v>0</v>
      </c>
      <c r="AH24" s="768">
        <v>0</v>
      </c>
      <c r="AI24" s="769">
        <v>0</v>
      </c>
      <c r="AJ24" s="767">
        <v>20</v>
      </c>
      <c r="AK24" s="768">
        <v>-17</v>
      </c>
      <c r="AL24" s="768">
        <v>10</v>
      </c>
      <c r="AM24" s="769">
        <v>129</v>
      </c>
      <c r="AN24" s="767">
        <v>-39</v>
      </c>
      <c r="AO24" s="768">
        <v>-5</v>
      </c>
      <c r="AP24" s="768">
        <v>-28</v>
      </c>
      <c r="AQ24" s="769">
        <v>48</v>
      </c>
      <c r="AR24" s="767">
        <v>5</v>
      </c>
      <c r="AS24" s="768">
        <v>0</v>
      </c>
      <c r="AT24" s="768">
        <v>33</v>
      </c>
      <c r="AU24" s="769">
        <v>135</v>
      </c>
      <c r="AV24" s="767">
        <v>15</v>
      </c>
      <c r="AW24" s="605">
        <f>43-AV24</f>
        <v>28</v>
      </c>
      <c r="AX24" s="605">
        <f>13-AW24-AV24</f>
        <v>-30</v>
      </c>
      <c r="AY24" s="610">
        <f>121-AX24-AW24-AV24</f>
        <v>108</v>
      </c>
      <c r="AZ24" s="609">
        <f>BS!AZ28-BS!AY28+BS!AZ35-BS!AY35</f>
        <v>1158</v>
      </c>
      <c r="BA24" s="605">
        <f>BS!BA28-BS!AZ28+BS!BA35-BS!AZ35</f>
        <v>0</v>
      </c>
      <c r="BB24" s="605">
        <f>BS!BB28-BS!BA28+BS!BB35-BS!BA35</f>
        <v>0</v>
      </c>
      <c r="BC24" s="610">
        <f>BS!BC28-BS!BB28+BS!BC35-BS!BB35</f>
        <v>0</v>
      </c>
      <c r="BD24" s="609">
        <f>BS!BD28-BS!BC28+BS!BD35-BS!BC35</f>
        <v>0</v>
      </c>
      <c r="BE24" s="605">
        <f>BS!BE28-BS!BD28+BS!BE35-BS!BD35</f>
        <v>0</v>
      </c>
      <c r="BF24" s="605">
        <f>BS!BF28-BS!BE28+BS!BF35-BS!BE35</f>
        <v>0</v>
      </c>
      <c r="BG24" s="610">
        <f>BS!BG28-BS!BF28+BS!BG35-BS!BF35</f>
        <v>0</v>
      </c>
      <c r="BH24" s="609">
        <f>BS!BH28-BS!BG28+BS!BH35-BS!BG35</f>
        <v>0</v>
      </c>
      <c r="BI24" s="605">
        <f>BS!BI28-BS!BH28+BS!BI35-BS!BH35</f>
        <v>0</v>
      </c>
      <c r="BJ24" s="605">
        <f>BS!BJ28-BS!BI28+BS!BJ35-BS!BI35</f>
        <v>0</v>
      </c>
      <c r="BK24" s="610">
        <f>BS!BK28-BS!BJ28+BS!BK35-BS!BJ35</f>
        <v>0</v>
      </c>
      <c r="BL24" s="215"/>
      <c r="BM24" s="605">
        <f t="shared" si="27"/>
        <v>100.02000000000001</v>
      </c>
      <c r="BN24" s="605">
        <f t="shared" si="28"/>
        <v>-23.968000000000004</v>
      </c>
      <c r="BO24" s="605">
        <f t="shared" si="29"/>
        <v>8.1260000000000048</v>
      </c>
      <c r="BP24" s="605">
        <f t="shared" si="30"/>
        <v>-288.28300000000002</v>
      </c>
      <c r="BQ24" s="605">
        <f t="shared" si="31"/>
        <v>261.90899999999999</v>
      </c>
      <c r="BR24" s="605">
        <f t="shared" si="32"/>
        <v>-89</v>
      </c>
      <c r="BS24" s="605">
        <f t="shared" si="33"/>
        <v>0</v>
      </c>
      <c r="BT24" s="605">
        <f t="shared" si="34"/>
        <v>0</v>
      </c>
      <c r="BU24" s="605">
        <f t="shared" si="35"/>
        <v>142</v>
      </c>
      <c r="BV24" s="605">
        <f t="shared" si="36"/>
        <v>-24</v>
      </c>
      <c r="BW24" s="605">
        <f t="shared" si="37"/>
        <v>173</v>
      </c>
      <c r="BX24" s="605">
        <f t="shared" si="38"/>
        <v>121</v>
      </c>
      <c r="BY24" s="605">
        <f t="shared" si="24"/>
        <v>1158</v>
      </c>
      <c r="BZ24" s="610">
        <f t="shared" si="25"/>
        <v>0</v>
      </c>
      <c r="CA24" s="610">
        <f t="shared" si="14"/>
        <v>0</v>
      </c>
      <c r="CB24" s="734"/>
      <c r="CC24" s="734"/>
      <c r="CD24" s="204"/>
    </row>
    <row r="25" spans="1:82" ht="14.25" customHeight="1">
      <c r="A25" s="203"/>
      <c r="B25" s="377" t="s">
        <v>166</v>
      </c>
      <c r="C25" s="376"/>
      <c r="D25" s="767">
        <v>0</v>
      </c>
      <c r="E25" s="768">
        <v>0</v>
      </c>
      <c r="F25" s="768">
        <v>0</v>
      </c>
      <c r="G25" s="769">
        <v>0</v>
      </c>
      <c r="H25" s="767">
        <v>0</v>
      </c>
      <c r="I25" s="768">
        <v>0</v>
      </c>
      <c r="J25" s="768">
        <v>0</v>
      </c>
      <c r="K25" s="769">
        <v>0</v>
      </c>
      <c r="L25" s="767">
        <v>0</v>
      </c>
      <c r="M25" s="768">
        <v>0</v>
      </c>
      <c r="N25" s="768">
        <v>0</v>
      </c>
      <c r="O25" s="769">
        <v>0</v>
      </c>
      <c r="P25" s="767">
        <v>0</v>
      </c>
      <c r="Q25" s="768">
        <v>0</v>
      </c>
      <c r="R25" s="768">
        <v>0</v>
      </c>
      <c r="S25" s="769">
        <v>0</v>
      </c>
      <c r="T25" s="767">
        <v>0</v>
      </c>
      <c r="U25" s="768">
        <v>0</v>
      </c>
      <c r="V25" s="768">
        <v>0</v>
      </c>
      <c r="W25" s="769">
        <v>0</v>
      </c>
      <c r="X25" s="767">
        <v>208</v>
      </c>
      <c r="Y25" s="768">
        <v>224</v>
      </c>
      <c r="Z25" s="768">
        <v>66</v>
      </c>
      <c r="AA25" s="769">
        <v>-231</v>
      </c>
      <c r="AB25" s="767">
        <v>-154</v>
      </c>
      <c r="AC25" s="768">
        <v>99</v>
      </c>
      <c r="AD25" s="768">
        <v>-175</v>
      </c>
      <c r="AE25" s="769">
        <v>-182</v>
      </c>
      <c r="AF25" s="767">
        <v>-77</v>
      </c>
      <c r="AG25" s="768">
        <v>61</v>
      </c>
      <c r="AH25" s="768">
        <v>16</v>
      </c>
      <c r="AI25" s="769">
        <v>39</v>
      </c>
      <c r="AJ25" s="767">
        <v>107</v>
      </c>
      <c r="AK25" s="768">
        <v>98</v>
      </c>
      <c r="AL25" s="768">
        <v>66</v>
      </c>
      <c r="AM25" s="769">
        <v>-125</v>
      </c>
      <c r="AN25" s="767">
        <v>-156</v>
      </c>
      <c r="AO25" s="768">
        <v>90</v>
      </c>
      <c r="AP25" s="768">
        <v>-16</v>
      </c>
      <c r="AQ25" s="769">
        <v>-93</v>
      </c>
      <c r="AR25" s="767">
        <v>85</v>
      </c>
      <c r="AS25" s="768">
        <v>131</v>
      </c>
      <c r="AT25" s="768">
        <v>183</v>
      </c>
      <c r="AU25" s="769">
        <v>212</v>
      </c>
      <c r="AV25" s="767">
        <v>293</v>
      </c>
      <c r="AW25" s="605">
        <f>411-AV25</f>
        <v>118</v>
      </c>
      <c r="AX25" s="605">
        <f>740-AW25-AV25</f>
        <v>329</v>
      </c>
      <c r="AY25" s="610">
        <f>289-AX25-AW25-AV25</f>
        <v>-451</v>
      </c>
      <c r="AZ25" s="609">
        <f>BS!AZ27-BS!AY27+BS!AZ34-BS!AY34</f>
        <v>353</v>
      </c>
      <c r="BA25" s="605">
        <f>BS!BA27-BS!AZ27+BS!BA34-BS!AZ34</f>
        <v>0</v>
      </c>
      <c r="BB25" s="605">
        <f>BS!BB27-BS!BA27+BS!BB34-BS!BA34</f>
        <v>0</v>
      </c>
      <c r="BC25" s="610">
        <f>BS!BC27-BS!BB27+BS!BC34-BS!BB34</f>
        <v>0</v>
      </c>
      <c r="BD25" s="609">
        <f>BS!BD27-BS!BC27+BS!BD34-BS!BC34</f>
        <v>0</v>
      </c>
      <c r="BE25" s="605">
        <f>BS!BE27-BS!BD27+BS!BE34-BS!BD34</f>
        <v>0</v>
      </c>
      <c r="BF25" s="605">
        <f>BS!BF27-BS!BE27+BS!BF34-BS!BE34</f>
        <v>0</v>
      </c>
      <c r="BG25" s="610">
        <f>BS!BG27-BS!BF27+BS!BG34-BS!BF34</f>
        <v>0</v>
      </c>
      <c r="BH25" s="609">
        <f>BS!BH27-BS!BG27+BS!BH34-BS!BG34</f>
        <v>0</v>
      </c>
      <c r="BI25" s="605">
        <f>BS!BI27-BS!BH27+BS!BI34-BS!BH34</f>
        <v>0</v>
      </c>
      <c r="BJ25" s="605">
        <f>BS!BJ27-BS!BI27+BS!BJ34-BS!BI34</f>
        <v>0</v>
      </c>
      <c r="BK25" s="610">
        <f>BS!BK27-BS!BJ27+BS!BK34-BS!BJ34</f>
        <v>0</v>
      </c>
      <c r="BL25" s="215"/>
      <c r="BM25" s="605">
        <f t="shared" si="27"/>
        <v>0</v>
      </c>
      <c r="BN25" s="605">
        <f t="shared" si="28"/>
        <v>0</v>
      </c>
      <c r="BO25" s="605">
        <f t="shared" si="29"/>
        <v>0</v>
      </c>
      <c r="BP25" s="605">
        <f t="shared" si="30"/>
        <v>0</v>
      </c>
      <c r="BQ25" s="605">
        <f t="shared" si="31"/>
        <v>0</v>
      </c>
      <c r="BR25" s="605">
        <f t="shared" si="32"/>
        <v>267</v>
      </c>
      <c r="BS25" s="605">
        <f t="shared" si="33"/>
        <v>-412</v>
      </c>
      <c r="BT25" s="605">
        <f t="shared" si="34"/>
        <v>39</v>
      </c>
      <c r="BU25" s="605">
        <f t="shared" si="35"/>
        <v>146</v>
      </c>
      <c r="BV25" s="605">
        <f t="shared" si="36"/>
        <v>-175</v>
      </c>
      <c r="BW25" s="605">
        <f t="shared" si="37"/>
        <v>611</v>
      </c>
      <c r="BX25" s="605">
        <f t="shared" si="38"/>
        <v>289</v>
      </c>
      <c r="BY25" s="605">
        <f t="shared" si="24"/>
        <v>353</v>
      </c>
      <c r="BZ25" s="610">
        <f t="shared" si="25"/>
        <v>0</v>
      </c>
      <c r="CA25" s="610">
        <f t="shared" si="14"/>
        <v>0</v>
      </c>
      <c r="CB25" s="734"/>
      <c r="CC25" s="734"/>
      <c r="CD25" s="204"/>
    </row>
    <row r="26" spans="1:82" ht="14.25" customHeight="1">
      <c r="A26" s="203"/>
      <c r="B26" s="377" t="s">
        <v>172</v>
      </c>
      <c r="C26" s="376"/>
      <c r="D26" s="767">
        <v>6.7060000000000004</v>
      </c>
      <c r="E26" s="768">
        <v>-17.794</v>
      </c>
      <c r="F26" s="768">
        <v>8.9999999999994529E-3</v>
      </c>
      <c r="G26" s="769">
        <v>-80.452000000000012</v>
      </c>
      <c r="H26" s="767">
        <v>3.72</v>
      </c>
      <c r="I26" s="768">
        <v>1.8450000000000002</v>
      </c>
      <c r="J26" s="768">
        <v>2.8149999999999999</v>
      </c>
      <c r="K26" s="769">
        <v>13.967000000000001</v>
      </c>
      <c r="L26" s="767">
        <v>4.1050000000000004</v>
      </c>
      <c r="M26" s="768">
        <v>5.4429999999999996</v>
      </c>
      <c r="N26" s="768">
        <v>-4.97</v>
      </c>
      <c r="O26" s="769">
        <v>-25.41</v>
      </c>
      <c r="P26" s="767">
        <v>74.445999999999998</v>
      </c>
      <c r="Q26" s="768">
        <v>-246.95699999999999</v>
      </c>
      <c r="R26" s="768">
        <v>-42.673000000000002</v>
      </c>
      <c r="S26" s="769">
        <v>-2.3000000000024556E-2</v>
      </c>
      <c r="T26" s="767">
        <v>-7.1769999999999996</v>
      </c>
      <c r="U26" s="768">
        <v>-4.9480000000000004</v>
      </c>
      <c r="V26" s="768">
        <v>168.815</v>
      </c>
      <c r="W26" s="769">
        <v>-190.69</v>
      </c>
      <c r="X26" s="767">
        <v>5</v>
      </c>
      <c r="Y26" s="768">
        <v>3</v>
      </c>
      <c r="Z26" s="768">
        <v>11</v>
      </c>
      <c r="AA26" s="769">
        <v>-77</v>
      </c>
      <c r="AB26" s="767">
        <v>4</v>
      </c>
      <c r="AC26" s="768">
        <v>-1</v>
      </c>
      <c r="AD26" s="768">
        <v>-4</v>
      </c>
      <c r="AE26" s="769">
        <v>-9</v>
      </c>
      <c r="AF26" s="767">
        <v>42</v>
      </c>
      <c r="AG26" s="768">
        <v>-10</v>
      </c>
      <c r="AH26" s="768">
        <v>5</v>
      </c>
      <c r="AI26" s="769">
        <v>-1</v>
      </c>
      <c r="AJ26" s="767">
        <v>-50</v>
      </c>
      <c r="AK26" s="768">
        <v>5</v>
      </c>
      <c r="AL26" s="768">
        <v>-1</v>
      </c>
      <c r="AM26" s="769">
        <v>-37</v>
      </c>
      <c r="AN26" s="767">
        <v>-13</v>
      </c>
      <c r="AO26" s="768">
        <v>31</v>
      </c>
      <c r="AP26" s="768">
        <v>6</v>
      </c>
      <c r="AQ26" s="769">
        <v>-26</v>
      </c>
      <c r="AR26" s="767">
        <v>-8</v>
      </c>
      <c r="AS26" s="768">
        <v>27</v>
      </c>
      <c r="AT26" s="768">
        <v>-10</v>
      </c>
      <c r="AU26" s="769">
        <v>-46</v>
      </c>
      <c r="AV26" s="770">
        <v>14</v>
      </c>
      <c r="AW26" s="605">
        <f>17-AV26</f>
        <v>3</v>
      </c>
      <c r="AX26" s="605">
        <f>31-AW26-AV26</f>
        <v>14</v>
      </c>
      <c r="AY26" s="610">
        <f>41-AX26-AW26-AV26</f>
        <v>10</v>
      </c>
      <c r="AZ26" s="689">
        <f>1106-SUM(AZ19:AZ25)</f>
        <v>-403</v>
      </c>
      <c r="BA26" s="605">
        <f>-BS!BA19+BS!AZ19+BS!AZ22-BS!BA22+BS!BA29-BS!AZ29+BS!BA36-BS!AZ36</f>
        <v>0</v>
      </c>
      <c r="BB26" s="605">
        <f>-BS!BB19+BS!BA19+BS!BA22-BS!BB22+BS!BB29-BS!BA29+BS!BB36-BS!BA36</f>
        <v>0</v>
      </c>
      <c r="BC26" s="610">
        <f>-BS!BC19+BS!BB19+BS!BB22-BS!BC22+BS!BC29-BS!BB29+BS!BC36-BS!BB36</f>
        <v>0</v>
      </c>
      <c r="BD26" s="689">
        <f>-BS!BD19+BS!BC19+BS!BC22-BS!BD22+BS!BD29-BS!BC29+BS!BD36-BS!BC36</f>
        <v>0</v>
      </c>
      <c r="BE26" s="605">
        <f>-BS!BE19+BS!BD19+BS!BD22-BS!BE22+BS!BE29-BS!BD29+BS!BE36-BS!BD36</f>
        <v>0</v>
      </c>
      <c r="BF26" s="605">
        <f>-BS!BF19+BS!BE19+BS!BE22-BS!BF22+BS!BF29-BS!BE29+BS!BF36-BS!BE36</f>
        <v>0</v>
      </c>
      <c r="BG26" s="610">
        <f>-BS!BG19+BS!BF19+BS!BF22-BS!BG22+BS!BG29-BS!BF29+BS!BG36-BS!BF36</f>
        <v>0</v>
      </c>
      <c r="BH26" s="689">
        <f>-BS!BH19+BS!BG19+BS!BG22-BS!BH22+BS!BH29-BS!BG29+BS!BH36-BS!BG36</f>
        <v>0</v>
      </c>
      <c r="BI26" s="605">
        <f>-BS!BI19+BS!BH19+BS!BH22-BS!BI22+BS!BI29-BS!BH29+BS!BI36-BS!BH36</f>
        <v>0</v>
      </c>
      <c r="BJ26" s="605">
        <f>-BS!BJ19+BS!BI19+BS!BI22-BS!BJ22+BS!BJ29-BS!BI29+BS!BJ36-BS!BI36</f>
        <v>0</v>
      </c>
      <c r="BK26" s="610">
        <f>-BS!BK19+BS!BJ19+BS!BJ22-BS!BK22+BS!BK29-BS!BJ29+BS!BK36-BS!BJ36</f>
        <v>0</v>
      </c>
      <c r="BL26" s="215"/>
      <c r="BM26" s="605">
        <f t="shared" si="27"/>
        <v>-91.531000000000006</v>
      </c>
      <c r="BN26" s="605">
        <f t="shared" si="28"/>
        <v>22.347000000000001</v>
      </c>
      <c r="BO26" s="605">
        <f t="shared" si="29"/>
        <v>-20.832000000000001</v>
      </c>
      <c r="BP26" s="605">
        <f t="shared" si="30"/>
        <v>-215.20700000000002</v>
      </c>
      <c r="BQ26" s="605">
        <f t="shared" si="31"/>
        <v>-34</v>
      </c>
      <c r="BR26" s="605">
        <f t="shared" si="32"/>
        <v>-58</v>
      </c>
      <c r="BS26" s="605">
        <f t="shared" si="33"/>
        <v>-10</v>
      </c>
      <c r="BT26" s="605">
        <f t="shared" si="34"/>
        <v>36</v>
      </c>
      <c r="BU26" s="605">
        <f t="shared" si="35"/>
        <v>-83</v>
      </c>
      <c r="BV26" s="605">
        <f t="shared" si="36"/>
        <v>-2</v>
      </c>
      <c r="BW26" s="605">
        <f t="shared" si="37"/>
        <v>-37</v>
      </c>
      <c r="BX26" s="605">
        <f t="shared" si="38"/>
        <v>41</v>
      </c>
      <c r="BY26" s="605">
        <f t="shared" si="24"/>
        <v>-403</v>
      </c>
      <c r="BZ26" s="610">
        <f t="shared" si="25"/>
        <v>0</v>
      </c>
      <c r="CA26" s="610">
        <f t="shared" si="14"/>
        <v>0</v>
      </c>
      <c r="CB26" s="734"/>
      <c r="CC26" s="734"/>
      <c r="CD26" s="204"/>
    </row>
    <row r="27" spans="1:82" ht="14.25" customHeight="1" thickBot="1">
      <c r="A27" s="203"/>
      <c r="B27" s="618" t="s">
        <v>21</v>
      </c>
      <c r="C27" s="617"/>
      <c r="D27" s="616">
        <f t="shared" ref="D27:AY27" si="39">D8+SUM(D10:D17)+SUM(D19:D26)</f>
        <v>428.36700000000008</v>
      </c>
      <c r="E27" s="614">
        <f t="shared" si="39"/>
        <v>521.25500000000011</v>
      </c>
      <c r="F27" s="614">
        <f t="shared" si="39"/>
        <v>381.98699999999997</v>
      </c>
      <c r="G27" s="615">
        <f t="shared" si="39"/>
        <v>669.17300000000012</v>
      </c>
      <c r="H27" s="616">
        <f t="shared" si="39"/>
        <v>381.19699999999989</v>
      </c>
      <c r="I27" s="614">
        <f t="shared" si="39"/>
        <v>513.13400000000024</v>
      </c>
      <c r="J27" s="614">
        <f t="shared" si="39"/>
        <v>637.56699999999978</v>
      </c>
      <c r="K27" s="615">
        <f t="shared" si="39"/>
        <v>727.19200000000001</v>
      </c>
      <c r="L27" s="616">
        <f t="shared" si="39"/>
        <v>389.73100000000005</v>
      </c>
      <c r="M27" s="614">
        <f t="shared" si="39"/>
        <v>874.00199999999995</v>
      </c>
      <c r="N27" s="614">
        <f t="shared" si="39"/>
        <v>320.41799999999978</v>
      </c>
      <c r="O27" s="615">
        <f t="shared" si="39"/>
        <v>133.80800000000008</v>
      </c>
      <c r="P27" s="616">
        <f t="shared" si="39"/>
        <v>-185.21700000000004</v>
      </c>
      <c r="Q27" s="614">
        <f t="shared" si="39"/>
        <v>84.300000000000011</v>
      </c>
      <c r="R27" s="614">
        <f t="shared" si="39"/>
        <v>193.71299999999991</v>
      </c>
      <c r="S27" s="615">
        <f t="shared" si="39"/>
        <v>239.86900000000014</v>
      </c>
      <c r="T27" s="616">
        <f t="shared" si="39"/>
        <v>371.87300000000016</v>
      </c>
      <c r="U27" s="614">
        <f t="shared" si="39"/>
        <v>526.93100000000004</v>
      </c>
      <c r="V27" s="614">
        <f t="shared" si="39"/>
        <v>298.89799999999968</v>
      </c>
      <c r="W27" s="615">
        <f t="shared" si="39"/>
        <v>524.90100000000018</v>
      </c>
      <c r="X27" s="616">
        <f t="shared" si="39"/>
        <v>425</v>
      </c>
      <c r="Y27" s="614">
        <f t="shared" si="39"/>
        <v>704</v>
      </c>
      <c r="Z27" s="614">
        <f t="shared" si="39"/>
        <v>599</v>
      </c>
      <c r="AA27" s="615">
        <f t="shared" si="39"/>
        <v>698</v>
      </c>
      <c r="AB27" s="616">
        <f t="shared" si="39"/>
        <v>181</v>
      </c>
      <c r="AC27" s="614">
        <f t="shared" si="39"/>
        <v>603</v>
      </c>
      <c r="AD27" s="614">
        <f t="shared" si="39"/>
        <v>656</v>
      </c>
      <c r="AE27" s="615">
        <f t="shared" si="39"/>
        <v>411</v>
      </c>
      <c r="AF27" s="616">
        <f t="shared" si="39"/>
        <v>16</v>
      </c>
      <c r="AG27" s="614">
        <f t="shared" si="39"/>
        <v>224</v>
      </c>
      <c r="AH27" s="614">
        <f t="shared" si="39"/>
        <v>364</v>
      </c>
      <c r="AI27" s="615">
        <f t="shared" si="39"/>
        <v>19</v>
      </c>
      <c r="AJ27" s="616">
        <f t="shared" si="39"/>
        <v>372</v>
      </c>
      <c r="AK27" s="614">
        <f t="shared" si="39"/>
        <v>437</v>
      </c>
      <c r="AL27" s="614">
        <f t="shared" si="39"/>
        <v>584</v>
      </c>
      <c r="AM27" s="615">
        <f t="shared" si="39"/>
        <v>407</v>
      </c>
      <c r="AN27" s="616">
        <f t="shared" si="39"/>
        <v>60</v>
      </c>
      <c r="AO27" s="614">
        <f t="shared" si="39"/>
        <v>298</v>
      </c>
      <c r="AP27" s="614">
        <f t="shared" si="39"/>
        <v>334</v>
      </c>
      <c r="AQ27" s="615">
        <f t="shared" si="39"/>
        <v>471</v>
      </c>
      <c r="AR27" s="616">
        <f t="shared" ref="AR27:AW27" si="40">AR8+SUM(AR10:AR17)+SUM(AR19:AR26)</f>
        <v>207</v>
      </c>
      <c r="AS27" s="614">
        <f t="shared" si="40"/>
        <v>481</v>
      </c>
      <c r="AT27" s="614">
        <f t="shared" si="40"/>
        <v>981</v>
      </c>
      <c r="AU27" s="615">
        <f t="shared" si="40"/>
        <v>797</v>
      </c>
      <c r="AV27" s="616">
        <f t="shared" si="40"/>
        <v>646</v>
      </c>
      <c r="AW27" s="614">
        <f t="shared" si="40"/>
        <v>898</v>
      </c>
      <c r="AX27" s="614">
        <f>AX8+SUM(AX10:AX17)+SUM(AX19:AX26)</f>
        <v>1366</v>
      </c>
      <c r="AY27" s="615">
        <f t="shared" si="39"/>
        <v>699</v>
      </c>
      <c r="AZ27" s="616">
        <f t="shared" ref="AZ27:BG27" si="41">AZ8+SUM(AZ10:AZ17)+SUM(AZ19:AZ26)</f>
        <v>1466</v>
      </c>
      <c r="BA27" s="614">
        <f t="shared" si="41"/>
        <v>255.22319636098268</v>
      </c>
      <c r="BB27" s="614">
        <f t="shared" si="41"/>
        <v>1407.1140728355658</v>
      </c>
      <c r="BC27" s="615">
        <f t="shared" si="41"/>
        <v>1293.7034757071433</v>
      </c>
      <c r="BD27" s="616">
        <f t="shared" si="41"/>
        <v>1309.4978031191386</v>
      </c>
      <c r="BE27" s="614">
        <f t="shared" si="41"/>
        <v>1165.0299519286973</v>
      </c>
      <c r="BF27" s="614">
        <f t="shared" si="41"/>
        <v>1168.319341548116</v>
      </c>
      <c r="BG27" s="615">
        <f t="shared" si="41"/>
        <v>1171.1089910876117</v>
      </c>
      <c r="BH27" s="616">
        <f t="shared" ref="BH27:BK27" si="42">BH8+SUM(BH10:BH17)+SUM(BH19:BH26)</f>
        <v>1261.4571402666127</v>
      </c>
      <c r="BI27" s="614">
        <f t="shared" si="42"/>
        <v>1212.458758138358</v>
      </c>
      <c r="BJ27" s="614">
        <f t="shared" si="42"/>
        <v>1227.2688873795491</v>
      </c>
      <c r="BK27" s="615">
        <f t="shared" si="42"/>
        <v>1272.869323019348</v>
      </c>
      <c r="BL27" s="215"/>
      <c r="BM27" s="614">
        <f t="shared" ref="BM27:BX27" si="43">BM8+SUM(BM10:BM17)+SUM(BM19:BM26)</f>
        <v>2000.7820000000006</v>
      </c>
      <c r="BN27" s="614">
        <f t="shared" si="43"/>
        <v>2259.09</v>
      </c>
      <c r="BO27" s="614">
        <f t="shared" si="43"/>
        <v>1717.9590000000001</v>
      </c>
      <c r="BP27" s="614">
        <f t="shared" si="43"/>
        <v>332.66500000000008</v>
      </c>
      <c r="BQ27" s="614">
        <f t="shared" si="43"/>
        <v>1722.6030000000001</v>
      </c>
      <c r="BR27" s="614">
        <f t="shared" si="43"/>
        <v>2426</v>
      </c>
      <c r="BS27" s="614">
        <f t="shared" si="43"/>
        <v>1851</v>
      </c>
      <c r="BT27" s="614">
        <f t="shared" si="43"/>
        <v>623</v>
      </c>
      <c r="BU27" s="614">
        <f t="shared" si="43"/>
        <v>1800</v>
      </c>
      <c r="BV27" s="614">
        <f t="shared" si="43"/>
        <v>1163</v>
      </c>
      <c r="BW27" s="614">
        <f t="shared" si="43"/>
        <v>2466</v>
      </c>
      <c r="BX27" s="614">
        <f t="shared" si="43"/>
        <v>3609</v>
      </c>
      <c r="BY27" s="614">
        <f>BY8+SUM(BY10:BY17)+SUM(BY19:BY26)</f>
        <v>4422.040744903692</v>
      </c>
      <c r="BZ27" s="615">
        <f>BZ8+SUM(BZ10:BZ17)+SUM(BZ19:BZ26)</f>
        <v>4813.956087683564</v>
      </c>
      <c r="CA27" s="615">
        <f>CA8+SUM(CA10:CA17)+SUM(CA19:CA26)</f>
        <v>4974.0541088038681</v>
      </c>
      <c r="CB27" s="734"/>
      <c r="CC27" s="734"/>
      <c r="CD27" s="204"/>
    </row>
    <row r="28" spans="1:82" ht="14.25" customHeight="1" thickTop="1">
      <c r="A28" s="203"/>
      <c r="B28" s="217"/>
      <c r="C28" s="216"/>
      <c r="D28" s="607"/>
      <c r="E28" s="608"/>
      <c r="F28" s="608"/>
      <c r="G28" s="606"/>
      <c r="H28" s="607"/>
      <c r="I28" s="608"/>
      <c r="J28" s="608"/>
      <c r="K28" s="606"/>
      <c r="L28" s="607"/>
      <c r="M28" s="608"/>
      <c r="N28" s="608"/>
      <c r="O28" s="606"/>
      <c r="P28" s="607"/>
      <c r="Q28" s="608"/>
      <c r="R28" s="608"/>
      <c r="S28" s="606"/>
      <c r="T28" s="607"/>
      <c r="U28" s="608"/>
      <c r="V28" s="608"/>
      <c r="W28" s="606"/>
      <c r="X28" s="607"/>
      <c r="Y28" s="608"/>
      <c r="Z28" s="608"/>
      <c r="AA28" s="606"/>
      <c r="AB28" s="607"/>
      <c r="AC28" s="608"/>
      <c r="AD28" s="608"/>
      <c r="AE28" s="606"/>
      <c r="AF28" s="607"/>
      <c r="AG28" s="608"/>
      <c r="AH28" s="608"/>
      <c r="AI28" s="606"/>
      <c r="AJ28" s="607"/>
      <c r="AK28" s="608"/>
      <c r="AL28" s="608"/>
      <c r="AM28" s="606"/>
      <c r="AN28" s="607"/>
      <c r="AO28" s="608"/>
      <c r="AP28" s="608"/>
      <c r="AQ28" s="606"/>
      <c r="AR28" s="607"/>
      <c r="AS28" s="608"/>
      <c r="AT28" s="608"/>
      <c r="AU28" s="606"/>
      <c r="AV28" s="607"/>
      <c r="AW28" s="608"/>
      <c r="AX28" s="608"/>
      <c r="AY28" s="606"/>
      <c r="AZ28" s="607"/>
      <c r="BA28" s="608"/>
      <c r="BB28" s="608"/>
      <c r="BC28" s="606"/>
      <c r="BD28" s="607"/>
      <c r="BE28" s="608"/>
      <c r="BF28" s="608"/>
      <c r="BG28" s="606"/>
      <c r="BH28" s="607"/>
      <c r="BI28" s="608"/>
      <c r="BJ28" s="608"/>
      <c r="BK28" s="606"/>
      <c r="BL28" s="215"/>
      <c r="BM28" s="608"/>
      <c r="BN28" s="608"/>
      <c r="BO28" s="608"/>
      <c r="BP28" s="608"/>
      <c r="BQ28" s="608"/>
      <c r="BR28" s="608"/>
      <c r="BS28" s="608"/>
      <c r="BT28" s="608"/>
      <c r="BU28" s="608"/>
      <c r="BV28" s="608"/>
      <c r="BW28" s="608"/>
      <c r="BX28" s="608"/>
      <c r="BY28" s="608"/>
      <c r="BZ28" s="606"/>
      <c r="CA28" s="606"/>
      <c r="CB28" s="734"/>
      <c r="CC28" s="734"/>
      <c r="CD28" s="204"/>
    </row>
    <row r="29" spans="1:82" ht="14.25" customHeight="1">
      <c r="A29" s="203"/>
      <c r="B29" s="321" t="s">
        <v>22</v>
      </c>
      <c r="C29" s="320"/>
      <c r="D29" s="607"/>
      <c r="E29" s="608"/>
      <c r="F29" s="608"/>
      <c r="G29" s="606"/>
      <c r="H29" s="607"/>
      <c r="I29" s="608"/>
      <c r="J29" s="608"/>
      <c r="K29" s="606"/>
      <c r="L29" s="607"/>
      <c r="M29" s="608"/>
      <c r="N29" s="608"/>
      <c r="O29" s="606"/>
      <c r="P29" s="607"/>
      <c r="Q29" s="608"/>
      <c r="R29" s="608"/>
      <c r="S29" s="606"/>
      <c r="T29" s="607"/>
      <c r="U29" s="608"/>
      <c r="V29" s="608"/>
      <c r="W29" s="606"/>
      <c r="X29" s="607"/>
      <c r="Y29" s="608"/>
      <c r="Z29" s="608"/>
      <c r="AA29" s="606"/>
      <c r="AB29" s="607"/>
      <c r="AC29" s="608"/>
      <c r="AD29" s="608"/>
      <c r="AE29" s="606"/>
      <c r="AF29" s="607"/>
      <c r="AG29" s="608"/>
      <c r="AH29" s="608"/>
      <c r="AI29" s="606"/>
      <c r="AJ29" s="607"/>
      <c r="AK29" s="608"/>
      <c r="AL29" s="608"/>
      <c r="AM29" s="606"/>
      <c r="AN29" s="607"/>
      <c r="AO29" s="608"/>
      <c r="AP29" s="608"/>
      <c r="AQ29" s="606"/>
      <c r="AR29" s="607"/>
      <c r="AS29" s="608"/>
      <c r="AT29" s="608"/>
      <c r="AU29" s="606"/>
      <c r="AV29" s="607"/>
      <c r="AW29" s="608"/>
      <c r="AX29" s="608"/>
      <c r="AY29" s="606"/>
      <c r="AZ29" s="607"/>
      <c r="BA29" s="608"/>
      <c r="BB29" s="608"/>
      <c r="BC29" s="610"/>
      <c r="BD29" s="607"/>
      <c r="BE29" s="608"/>
      <c r="BF29" s="608"/>
      <c r="BG29" s="606"/>
      <c r="BH29" s="607"/>
      <c r="BI29" s="608"/>
      <c r="BJ29" s="608"/>
      <c r="BK29" s="606"/>
      <c r="BL29" s="215"/>
      <c r="BM29" s="608"/>
      <c r="BN29" s="608"/>
      <c r="BO29" s="608"/>
      <c r="BP29" s="608"/>
      <c r="BQ29" s="608"/>
      <c r="BR29" s="608"/>
      <c r="BS29" s="608"/>
      <c r="BT29" s="608"/>
      <c r="BU29" s="608"/>
      <c r="BV29" s="608"/>
      <c r="BW29" s="608"/>
      <c r="BX29" s="608"/>
      <c r="BY29" s="608"/>
      <c r="BZ29" s="606"/>
      <c r="CA29" s="606"/>
      <c r="CB29" s="734"/>
      <c r="CC29" s="734"/>
      <c r="CD29" s="204"/>
    </row>
    <row r="30" spans="1:82" ht="14.25" customHeight="1">
      <c r="A30" s="203"/>
      <c r="B30" s="227" t="s">
        <v>276</v>
      </c>
      <c r="C30" s="331"/>
      <c r="D30" s="767">
        <v>-48.820999999999998</v>
      </c>
      <c r="E30" s="768">
        <v>-31.731000000000009</v>
      </c>
      <c r="F30" s="768">
        <v>-39.550999999999988</v>
      </c>
      <c r="G30" s="769">
        <v>-59.379000000000005</v>
      </c>
      <c r="H30" s="767">
        <v>-58.901000000000003</v>
      </c>
      <c r="I30" s="768">
        <v>-72.364999999999981</v>
      </c>
      <c r="J30" s="768">
        <v>-72.97</v>
      </c>
      <c r="K30" s="769">
        <v>-60.548000000000009</v>
      </c>
      <c r="L30" s="767">
        <v>-74.144000000000005</v>
      </c>
      <c r="M30" s="768">
        <v>-63.555000000000007</v>
      </c>
      <c r="N30" s="768">
        <v>-71.812999999999988</v>
      </c>
      <c r="O30" s="769">
        <v>-78.394000000000005</v>
      </c>
      <c r="P30" s="767">
        <v>-73.317999999999998</v>
      </c>
      <c r="Q30" s="768">
        <v>-54.780999999999992</v>
      </c>
      <c r="R30" s="768">
        <v>-59.705000000000027</v>
      </c>
      <c r="S30" s="769">
        <v>-60.622999999999976</v>
      </c>
      <c r="T30" s="767">
        <v>-53.167000000000002</v>
      </c>
      <c r="U30" s="768">
        <v>-44.706999999999994</v>
      </c>
      <c r="V30" s="768">
        <v>-36.170000000000016</v>
      </c>
      <c r="W30" s="769">
        <v>-35.036999999999978</v>
      </c>
      <c r="X30" s="767">
        <v>-24</v>
      </c>
      <c r="Y30" s="768">
        <v>-57</v>
      </c>
      <c r="Z30" s="768">
        <v>-55</v>
      </c>
      <c r="AA30" s="769">
        <v>-73</v>
      </c>
      <c r="AB30" s="767">
        <v>-37</v>
      </c>
      <c r="AC30" s="768">
        <v>-39</v>
      </c>
      <c r="AD30" s="768">
        <v>-45</v>
      </c>
      <c r="AE30" s="769">
        <v>-41</v>
      </c>
      <c r="AF30" s="767">
        <v>-49</v>
      </c>
      <c r="AG30" s="768">
        <v>-51</v>
      </c>
      <c r="AH30" s="768">
        <v>-40</v>
      </c>
      <c r="AI30" s="769">
        <v>-57</v>
      </c>
      <c r="AJ30" s="767">
        <v>-48</v>
      </c>
      <c r="AK30" s="768">
        <v>-65</v>
      </c>
      <c r="AL30" s="768">
        <v>-65</v>
      </c>
      <c r="AM30" s="769">
        <v>-63</v>
      </c>
      <c r="AN30" s="767">
        <v>-49</v>
      </c>
      <c r="AO30" s="768">
        <v>-64</v>
      </c>
      <c r="AP30" s="768">
        <v>-51</v>
      </c>
      <c r="AQ30" s="769">
        <v>-53</v>
      </c>
      <c r="AR30" s="767">
        <v>-68</v>
      </c>
      <c r="AS30" s="768">
        <v>-47</v>
      </c>
      <c r="AT30" s="768">
        <v>-50</v>
      </c>
      <c r="AU30" s="769">
        <v>-88</v>
      </c>
      <c r="AV30" s="767">
        <v>-64</v>
      </c>
      <c r="AW30" s="605">
        <f>-141-AV30</f>
        <v>-77</v>
      </c>
      <c r="AX30" s="605">
        <f>-221-AW30-AV30</f>
        <v>-80</v>
      </c>
      <c r="AY30" s="610">
        <f>-345-AX30-AW30-AV30</f>
        <v>-124</v>
      </c>
      <c r="AZ30" s="767">
        <v>-203</v>
      </c>
      <c r="BA30" s="605">
        <f t="shared" ref="BA30:BC30" si="44">-BA62-BA63</f>
        <v>-215.35064747859184</v>
      </c>
      <c r="BB30" s="605">
        <f t="shared" si="44"/>
        <v>-209.70481017483348</v>
      </c>
      <c r="BC30" s="610">
        <f t="shared" si="44"/>
        <v>-211.05193226266653</v>
      </c>
      <c r="BD30" s="609">
        <f t="shared" ref="BD30:BG30" si="45">-BD62-BD63</f>
        <v>-204.67611965666924</v>
      </c>
      <c r="BE30" s="605">
        <f t="shared" si="45"/>
        <v>-206.51817972982266</v>
      </c>
      <c r="BF30" s="605">
        <f t="shared" si="45"/>
        <v>-207.6930530847265</v>
      </c>
      <c r="BG30" s="610">
        <f t="shared" si="45"/>
        <v>-210.51849850897977</v>
      </c>
      <c r="BH30" s="609">
        <f t="shared" ref="BH30:BK30" si="46">-BH62-BH63</f>
        <v>-208.94227053302177</v>
      </c>
      <c r="BI30" s="605">
        <f t="shared" si="46"/>
        <v>-210.77969572707639</v>
      </c>
      <c r="BJ30" s="605">
        <f t="shared" si="46"/>
        <v>-212.95839828837703</v>
      </c>
      <c r="BK30" s="610">
        <f t="shared" si="46"/>
        <v>-213.17690881312052</v>
      </c>
      <c r="BL30" s="215"/>
      <c r="BM30" s="605">
        <f t="shared" ref="BM30:BM37" si="47">SUM(D30:G30)</f>
        <v>-179.482</v>
      </c>
      <c r="BN30" s="605">
        <f t="shared" ref="BN30:BN37" si="48">SUM(H30:K30)</f>
        <v>-264.78399999999999</v>
      </c>
      <c r="BO30" s="605">
        <f t="shared" ref="BO30:BO37" si="49">SUM(L30:O30)</f>
        <v>-287.90600000000001</v>
      </c>
      <c r="BP30" s="605">
        <f t="shared" ref="BP30:BP37" si="50">SUM(P30:S30)</f>
        <v>-248.42700000000002</v>
      </c>
      <c r="BQ30" s="605">
        <f t="shared" ref="BQ30:BQ37" si="51">SUM(T30:W30)</f>
        <v>-169.08099999999999</v>
      </c>
      <c r="BR30" s="605">
        <f t="shared" ref="BR30:BR37" si="52">SUM(X30:AA30)</f>
        <v>-209</v>
      </c>
      <c r="BS30" s="605">
        <f t="shared" ref="BS30:BS37" si="53">SUM(AB30:AE30)</f>
        <v>-162</v>
      </c>
      <c r="BT30" s="605">
        <f t="shared" ref="BT30:BT37" si="54">SUM(AF30:AI30)</f>
        <v>-197</v>
      </c>
      <c r="BU30" s="605">
        <f t="shared" ref="BU30:BU37" si="55">SUM(AJ30:AM30)</f>
        <v>-241</v>
      </c>
      <c r="BV30" s="605">
        <f t="shared" ref="BV30:BV37" si="56">SUM(AN30:AQ30)</f>
        <v>-217</v>
      </c>
      <c r="BW30" s="605">
        <f t="shared" ref="BW30:BW37" si="57">SUM(AR30:AU30)</f>
        <v>-253</v>
      </c>
      <c r="BX30" s="605">
        <f t="shared" ref="BX30:BX37" si="58">SUM(AV30:AY30)</f>
        <v>-345</v>
      </c>
      <c r="BY30" s="605">
        <f t="shared" ref="BY30:BY37" si="59">SUM(AZ30:BC30)</f>
        <v>-839.10738991609173</v>
      </c>
      <c r="BZ30" s="610">
        <f t="shared" ref="BZ30:BZ37" si="60">SUM(BD30:BG30)</f>
        <v>-829.40585098019824</v>
      </c>
      <c r="CA30" s="610">
        <f t="shared" ref="CA30:CA37" si="61">SUM(BH30:BK30)</f>
        <v>-845.85727336159562</v>
      </c>
      <c r="CB30" s="734"/>
      <c r="CC30" s="734"/>
      <c r="CD30" s="204"/>
    </row>
    <row r="31" spans="1:82" ht="14.25" customHeight="1">
      <c r="A31" s="203"/>
      <c r="B31" s="227" t="s">
        <v>275</v>
      </c>
      <c r="C31" s="331"/>
      <c r="D31" s="767">
        <v>0</v>
      </c>
      <c r="E31" s="768">
        <v>0</v>
      </c>
      <c r="F31" s="768">
        <v>0</v>
      </c>
      <c r="G31" s="769">
        <v>0</v>
      </c>
      <c r="H31" s="767">
        <v>0</v>
      </c>
      <c r="I31" s="768">
        <v>0</v>
      </c>
      <c r="J31" s="768">
        <v>0</v>
      </c>
      <c r="K31" s="769">
        <v>0</v>
      </c>
      <c r="L31" s="767">
        <v>0</v>
      </c>
      <c r="M31" s="768">
        <v>0</v>
      </c>
      <c r="N31" s="768">
        <v>0</v>
      </c>
      <c r="O31" s="769">
        <v>0</v>
      </c>
      <c r="P31" s="767">
        <v>0</v>
      </c>
      <c r="Q31" s="768">
        <v>0</v>
      </c>
      <c r="R31" s="768">
        <v>0</v>
      </c>
      <c r="S31" s="769">
        <v>0</v>
      </c>
      <c r="T31" s="767">
        <v>0</v>
      </c>
      <c r="U31" s="768">
        <v>0</v>
      </c>
      <c r="V31" s="768">
        <v>0</v>
      </c>
      <c r="W31" s="769">
        <v>0</v>
      </c>
      <c r="X31" s="767">
        <v>0</v>
      </c>
      <c r="Y31" s="768">
        <v>0</v>
      </c>
      <c r="Z31" s="768">
        <v>0</v>
      </c>
      <c r="AA31" s="769">
        <v>0</v>
      </c>
      <c r="AB31" s="767">
        <v>0</v>
      </c>
      <c r="AC31" s="768">
        <v>0</v>
      </c>
      <c r="AD31" s="768">
        <v>0</v>
      </c>
      <c r="AE31" s="769">
        <v>0</v>
      </c>
      <c r="AF31" s="767">
        <v>0</v>
      </c>
      <c r="AG31" s="768">
        <v>0</v>
      </c>
      <c r="AH31" s="768">
        <v>0</v>
      </c>
      <c r="AI31" s="769">
        <v>0</v>
      </c>
      <c r="AJ31" s="767">
        <v>0</v>
      </c>
      <c r="AK31" s="768">
        <v>0</v>
      </c>
      <c r="AL31" s="768">
        <v>0</v>
      </c>
      <c r="AM31" s="769">
        <v>0</v>
      </c>
      <c r="AN31" s="767">
        <v>0</v>
      </c>
      <c r="AO31" s="768">
        <v>0</v>
      </c>
      <c r="AP31" s="768">
        <v>0</v>
      </c>
      <c r="AQ31" s="769">
        <v>0</v>
      </c>
      <c r="AR31" s="767">
        <v>0</v>
      </c>
      <c r="AS31" s="768">
        <v>0</v>
      </c>
      <c r="AT31" s="768">
        <v>0</v>
      </c>
      <c r="AU31" s="769">
        <v>0</v>
      </c>
      <c r="AV31" s="767">
        <v>0</v>
      </c>
      <c r="AW31" s="768">
        <v>0</v>
      </c>
      <c r="AX31" s="768">
        <v>0</v>
      </c>
      <c r="AY31" s="610">
        <v>0</v>
      </c>
      <c r="AZ31" s="609">
        <v>0</v>
      </c>
      <c r="BA31" s="605">
        <v>0</v>
      </c>
      <c r="BB31" s="605">
        <v>0</v>
      </c>
      <c r="BC31" s="610">
        <v>0</v>
      </c>
      <c r="BD31" s="609">
        <v>0</v>
      </c>
      <c r="BE31" s="605">
        <v>0</v>
      </c>
      <c r="BF31" s="605">
        <v>0</v>
      </c>
      <c r="BG31" s="610">
        <v>0</v>
      </c>
      <c r="BH31" s="609">
        <v>0</v>
      </c>
      <c r="BI31" s="605">
        <v>0</v>
      </c>
      <c r="BJ31" s="605">
        <v>0</v>
      </c>
      <c r="BK31" s="610">
        <v>0</v>
      </c>
      <c r="BL31" s="215"/>
      <c r="BM31" s="605">
        <f t="shared" si="47"/>
        <v>0</v>
      </c>
      <c r="BN31" s="605">
        <f t="shared" si="48"/>
        <v>0</v>
      </c>
      <c r="BO31" s="605">
        <f t="shared" si="49"/>
        <v>0</v>
      </c>
      <c r="BP31" s="605">
        <f t="shared" si="50"/>
        <v>0</v>
      </c>
      <c r="BQ31" s="605">
        <f t="shared" si="51"/>
        <v>0</v>
      </c>
      <c r="BR31" s="605">
        <f t="shared" si="52"/>
        <v>0</v>
      </c>
      <c r="BS31" s="605">
        <f t="shared" si="53"/>
        <v>0</v>
      </c>
      <c r="BT31" s="605">
        <f t="shared" si="54"/>
        <v>0</v>
      </c>
      <c r="BU31" s="605">
        <f t="shared" si="55"/>
        <v>0</v>
      </c>
      <c r="BV31" s="605">
        <f t="shared" si="56"/>
        <v>0</v>
      </c>
      <c r="BW31" s="605">
        <f t="shared" si="57"/>
        <v>0</v>
      </c>
      <c r="BX31" s="605">
        <f t="shared" si="58"/>
        <v>0</v>
      </c>
      <c r="BY31" s="605">
        <f t="shared" si="59"/>
        <v>0</v>
      </c>
      <c r="BZ31" s="610">
        <f t="shared" si="60"/>
        <v>0</v>
      </c>
      <c r="CA31" s="606">
        <f t="shared" si="61"/>
        <v>0</v>
      </c>
      <c r="CB31" s="734"/>
      <c r="CC31" s="734"/>
      <c r="CD31" s="204"/>
    </row>
    <row r="32" spans="1:82" ht="14.25" customHeight="1">
      <c r="A32" s="203"/>
      <c r="B32" s="227" t="s">
        <v>274</v>
      </c>
      <c r="C32" s="331"/>
      <c r="D32" s="767">
        <v>-1072.826</v>
      </c>
      <c r="E32" s="768">
        <v>-994.89600000000019</v>
      </c>
      <c r="F32" s="768">
        <v>-829.14199999999983</v>
      </c>
      <c r="G32" s="769">
        <v>5346.3559999999998</v>
      </c>
      <c r="H32" s="767">
        <v>-728.52</v>
      </c>
      <c r="I32" s="768">
        <v>-756.34899999999993</v>
      </c>
      <c r="J32" s="768">
        <v>-891.92200000000025</v>
      </c>
      <c r="K32" s="769">
        <v>-826.63600000000019</v>
      </c>
      <c r="L32" s="767">
        <v>-423.529</v>
      </c>
      <c r="M32" s="768">
        <v>-1106.759</v>
      </c>
      <c r="N32" s="768">
        <v>-726.8090000000002</v>
      </c>
      <c r="O32" s="769">
        <v>-3277.3780000000002</v>
      </c>
      <c r="P32" s="767">
        <v>-227.34800000000001</v>
      </c>
      <c r="Q32" s="768">
        <v>-259.17899999999997</v>
      </c>
      <c r="R32" s="768">
        <v>-162.89000000000004</v>
      </c>
      <c r="S32" s="769">
        <v>-306.83199999999994</v>
      </c>
      <c r="T32" s="767">
        <v>-297.68299999999999</v>
      </c>
      <c r="U32" s="768">
        <v>-530.899</v>
      </c>
      <c r="V32" s="768">
        <v>-528.67899999999997</v>
      </c>
      <c r="W32" s="769">
        <v>-420.47500000000025</v>
      </c>
      <c r="X32" s="767">
        <v>-537</v>
      </c>
      <c r="Y32" s="768">
        <v>-359</v>
      </c>
      <c r="Z32" s="768">
        <v>-49</v>
      </c>
      <c r="AA32" s="769">
        <v>-192</v>
      </c>
      <c r="AB32" s="767">
        <v>-254</v>
      </c>
      <c r="AC32" s="768">
        <v>-460</v>
      </c>
      <c r="AD32" s="768">
        <v>-438</v>
      </c>
      <c r="AE32" s="769">
        <v>-175</v>
      </c>
      <c r="AF32" s="767">
        <v>-143</v>
      </c>
      <c r="AG32" s="768">
        <v>-167</v>
      </c>
      <c r="AH32" s="768">
        <v>-128</v>
      </c>
      <c r="AI32" s="769">
        <v>-169</v>
      </c>
      <c r="AJ32" s="767">
        <v>-163</v>
      </c>
      <c r="AK32" s="768">
        <v>-161</v>
      </c>
      <c r="AL32" s="768">
        <v>-308</v>
      </c>
      <c r="AM32" s="769">
        <v>-179</v>
      </c>
      <c r="AN32" s="767">
        <v>-141</v>
      </c>
      <c r="AO32" s="768">
        <v>-203</v>
      </c>
      <c r="AP32" s="768">
        <v>-616</v>
      </c>
      <c r="AQ32" s="769">
        <v>-202</v>
      </c>
      <c r="AR32" s="767">
        <v>-282</v>
      </c>
      <c r="AS32" s="768">
        <v>-182</v>
      </c>
      <c r="AT32" s="768">
        <v>-483</v>
      </c>
      <c r="AU32" s="769">
        <v>-443</v>
      </c>
      <c r="AV32" s="767">
        <v>-589</v>
      </c>
      <c r="AW32" s="605">
        <f>-2368-AV32</f>
        <v>-1779</v>
      </c>
      <c r="AX32" s="605">
        <f>-3542-AW32-AV32</f>
        <v>-1174</v>
      </c>
      <c r="AY32" s="610">
        <f>-4856-AX32-AW32-AV32</f>
        <v>-1314</v>
      </c>
      <c r="AZ32" s="609">
        <v>0</v>
      </c>
      <c r="BA32" s="605">
        <v>-20</v>
      </c>
      <c r="BB32" s="605">
        <v>-20</v>
      </c>
      <c r="BC32" s="610">
        <v>-20</v>
      </c>
      <c r="BD32" s="609">
        <v>-20</v>
      </c>
      <c r="BE32" s="605">
        <v>-20</v>
      </c>
      <c r="BF32" s="605">
        <v>-20</v>
      </c>
      <c r="BG32" s="610">
        <v>-20</v>
      </c>
      <c r="BH32" s="609">
        <v>-20</v>
      </c>
      <c r="BI32" s="605">
        <v>-20</v>
      </c>
      <c r="BJ32" s="605">
        <v>-20</v>
      </c>
      <c r="BK32" s="610">
        <v>-20</v>
      </c>
      <c r="BL32" s="215"/>
      <c r="BM32" s="605">
        <f t="shared" si="47"/>
        <v>2449.4919999999997</v>
      </c>
      <c r="BN32" s="605">
        <f t="shared" si="48"/>
        <v>-3203.4270000000006</v>
      </c>
      <c r="BO32" s="605">
        <f t="shared" si="49"/>
        <v>-5534.4750000000004</v>
      </c>
      <c r="BP32" s="605">
        <f t="shared" si="50"/>
        <v>-956.24900000000002</v>
      </c>
      <c r="BQ32" s="605">
        <f t="shared" si="51"/>
        <v>-1777.7360000000003</v>
      </c>
      <c r="BR32" s="605">
        <f t="shared" si="52"/>
        <v>-1137</v>
      </c>
      <c r="BS32" s="605">
        <f t="shared" si="53"/>
        <v>-1327</v>
      </c>
      <c r="BT32" s="605">
        <f t="shared" si="54"/>
        <v>-607</v>
      </c>
      <c r="BU32" s="605">
        <f t="shared" si="55"/>
        <v>-811</v>
      </c>
      <c r="BV32" s="605">
        <f t="shared" si="56"/>
        <v>-1162</v>
      </c>
      <c r="BW32" s="605">
        <f t="shared" si="57"/>
        <v>-1390</v>
      </c>
      <c r="BX32" s="605">
        <f t="shared" si="58"/>
        <v>-4856</v>
      </c>
      <c r="BY32" s="605">
        <f t="shared" si="59"/>
        <v>-60</v>
      </c>
      <c r="BZ32" s="610">
        <f t="shared" si="60"/>
        <v>-80</v>
      </c>
      <c r="CA32" s="610">
        <f t="shared" si="61"/>
        <v>-80</v>
      </c>
      <c r="CB32" s="734"/>
      <c r="CC32" s="734"/>
      <c r="CD32" s="204"/>
    </row>
    <row r="33" spans="1:82" ht="14.25" customHeight="1">
      <c r="A33" s="203"/>
      <c r="B33" s="227" t="s">
        <v>273</v>
      </c>
      <c r="C33" s="331"/>
      <c r="D33" s="767">
        <v>1315.6780000000001</v>
      </c>
      <c r="E33" s="768">
        <v>1250.9480000000001</v>
      </c>
      <c r="F33" s="768">
        <v>1279.4539999999995</v>
      </c>
      <c r="G33" s="769">
        <v>-3829.8739999999998</v>
      </c>
      <c r="H33" s="767">
        <v>730.00900000000001</v>
      </c>
      <c r="I33" s="768">
        <v>670.56700000000001</v>
      </c>
      <c r="J33" s="768">
        <v>714.02599999999984</v>
      </c>
      <c r="K33" s="769">
        <v>939.03800000000001</v>
      </c>
      <c r="L33" s="767">
        <v>806.77599999999995</v>
      </c>
      <c r="M33" s="768">
        <v>478.58900000000006</v>
      </c>
      <c r="N33" s="768">
        <v>877.5350000000002</v>
      </c>
      <c r="O33" s="769">
        <v>3799.4160000000002</v>
      </c>
      <c r="P33" s="767">
        <v>541.68899999999996</v>
      </c>
      <c r="Q33" s="768">
        <v>383.79600000000005</v>
      </c>
      <c r="R33" s="768">
        <v>195.54100000000005</v>
      </c>
      <c r="S33" s="769">
        <v>196.33900000000006</v>
      </c>
      <c r="T33" s="767">
        <v>183.881</v>
      </c>
      <c r="U33" s="768">
        <v>355.63400000000001</v>
      </c>
      <c r="V33" s="768">
        <v>427.55200000000002</v>
      </c>
      <c r="W33" s="769">
        <v>440.73700000000008</v>
      </c>
      <c r="X33" s="767">
        <v>443</v>
      </c>
      <c r="Y33" s="768">
        <v>461</v>
      </c>
      <c r="Z33" s="768">
        <v>269</v>
      </c>
      <c r="AA33" s="769">
        <v>753</v>
      </c>
      <c r="AB33" s="767">
        <v>313</v>
      </c>
      <c r="AC33" s="768">
        <v>247</v>
      </c>
      <c r="AD33" s="768">
        <v>205</v>
      </c>
      <c r="AE33" s="769">
        <v>254</v>
      </c>
      <c r="AF33" s="767">
        <v>445</v>
      </c>
      <c r="AG33" s="768">
        <v>158</v>
      </c>
      <c r="AH33" s="768">
        <v>134</v>
      </c>
      <c r="AI33" s="769">
        <v>276</v>
      </c>
      <c r="AJ33" s="767">
        <v>364</v>
      </c>
      <c r="AK33" s="768">
        <v>157</v>
      </c>
      <c r="AL33" s="768">
        <v>181</v>
      </c>
      <c r="AM33" s="769">
        <v>176</v>
      </c>
      <c r="AN33" s="767">
        <v>140</v>
      </c>
      <c r="AO33" s="768">
        <v>177</v>
      </c>
      <c r="AP33" s="768">
        <v>583</v>
      </c>
      <c r="AQ33" s="769">
        <v>200</v>
      </c>
      <c r="AR33" s="767">
        <v>241</v>
      </c>
      <c r="AS33" s="768">
        <v>232</v>
      </c>
      <c r="AT33" s="768">
        <v>208</v>
      </c>
      <c r="AU33" s="769">
        <v>553</v>
      </c>
      <c r="AV33" s="767">
        <v>286</v>
      </c>
      <c r="AW33" s="605">
        <f>887-AV33</f>
        <v>601</v>
      </c>
      <c r="AX33" s="605">
        <f>1822-AW33-AV33</f>
        <v>935</v>
      </c>
      <c r="AY33" s="610">
        <f>2743-AX33-AW33-AV33</f>
        <v>921</v>
      </c>
      <c r="AZ33" s="767">
        <v>1944</v>
      </c>
      <c r="BA33" s="605">
        <v>0</v>
      </c>
      <c r="BB33" s="605">
        <v>0</v>
      </c>
      <c r="BC33" s="610">
        <v>0</v>
      </c>
      <c r="BD33" s="609">
        <v>0</v>
      </c>
      <c r="BE33" s="605">
        <v>0</v>
      </c>
      <c r="BF33" s="605">
        <v>0</v>
      </c>
      <c r="BG33" s="610">
        <v>0</v>
      </c>
      <c r="BH33" s="609">
        <v>0</v>
      </c>
      <c r="BI33" s="605">
        <v>0</v>
      </c>
      <c r="BJ33" s="605">
        <v>0</v>
      </c>
      <c r="BK33" s="610">
        <v>0</v>
      </c>
      <c r="BL33" s="215"/>
      <c r="BM33" s="605">
        <f t="shared" si="47"/>
        <v>16.206000000000131</v>
      </c>
      <c r="BN33" s="605">
        <f t="shared" si="48"/>
        <v>3053.64</v>
      </c>
      <c r="BO33" s="605">
        <f t="shared" si="49"/>
        <v>5962.3160000000007</v>
      </c>
      <c r="BP33" s="605">
        <f t="shared" si="50"/>
        <v>1317.3650000000002</v>
      </c>
      <c r="BQ33" s="605">
        <f t="shared" si="51"/>
        <v>1407.8040000000001</v>
      </c>
      <c r="BR33" s="605">
        <f t="shared" si="52"/>
        <v>1926</v>
      </c>
      <c r="BS33" s="605">
        <f t="shared" si="53"/>
        <v>1019</v>
      </c>
      <c r="BT33" s="605">
        <f t="shared" si="54"/>
        <v>1013</v>
      </c>
      <c r="BU33" s="605">
        <f t="shared" si="55"/>
        <v>878</v>
      </c>
      <c r="BV33" s="605">
        <f t="shared" si="56"/>
        <v>1100</v>
      </c>
      <c r="BW33" s="605">
        <f t="shared" si="57"/>
        <v>1234</v>
      </c>
      <c r="BX33" s="605">
        <f t="shared" si="58"/>
        <v>2743</v>
      </c>
      <c r="BY33" s="605">
        <f t="shared" si="59"/>
        <v>1944</v>
      </c>
      <c r="BZ33" s="610">
        <f t="shared" si="60"/>
        <v>0</v>
      </c>
      <c r="CA33" s="606">
        <f t="shared" si="61"/>
        <v>0</v>
      </c>
      <c r="CB33" s="734"/>
      <c r="CC33" s="734"/>
      <c r="CD33" s="204"/>
    </row>
    <row r="34" spans="1:82" ht="14.25" customHeight="1">
      <c r="A34" s="203"/>
      <c r="B34" s="227" t="s">
        <v>272</v>
      </c>
      <c r="C34" s="331"/>
      <c r="D34" s="767">
        <v>0</v>
      </c>
      <c r="E34" s="768">
        <v>0</v>
      </c>
      <c r="F34" s="768">
        <v>0</v>
      </c>
      <c r="G34" s="769">
        <v>0</v>
      </c>
      <c r="H34" s="767">
        <v>0</v>
      </c>
      <c r="I34" s="768">
        <v>0</v>
      </c>
      <c r="J34" s="768">
        <v>0</v>
      </c>
      <c r="K34" s="769">
        <v>0</v>
      </c>
      <c r="L34" s="767">
        <v>0</v>
      </c>
      <c r="M34" s="768">
        <v>0</v>
      </c>
      <c r="N34" s="768">
        <v>0</v>
      </c>
      <c r="O34" s="769">
        <v>0</v>
      </c>
      <c r="P34" s="767">
        <v>0</v>
      </c>
      <c r="Q34" s="768">
        <v>0</v>
      </c>
      <c r="R34" s="768">
        <v>0</v>
      </c>
      <c r="S34" s="769">
        <v>0</v>
      </c>
      <c r="T34" s="767">
        <v>0</v>
      </c>
      <c r="U34" s="768">
        <v>0</v>
      </c>
      <c r="V34" s="768">
        <v>0</v>
      </c>
      <c r="W34" s="769">
        <v>0</v>
      </c>
      <c r="X34" s="767">
        <v>0</v>
      </c>
      <c r="Y34" s="768">
        <v>0</v>
      </c>
      <c r="Z34" s="768">
        <v>0</v>
      </c>
      <c r="AA34" s="769">
        <v>0</v>
      </c>
      <c r="AB34" s="767">
        <v>0</v>
      </c>
      <c r="AC34" s="768">
        <v>0</v>
      </c>
      <c r="AD34" s="768">
        <v>0</v>
      </c>
      <c r="AE34" s="769">
        <v>0</v>
      </c>
      <c r="AF34" s="767">
        <v>0</v>
      </c>
      <c r="AG34" s="768">
        <v>0</v>
      </c>
      <c r="AH34" s="768">
        <v>0</v>
      </c>
      <c r="AI34" s="769">
        <v>0</v>
      </c>
      <c r="AJ34" s="767">
        <v>0</v>
      </c>
      <c r="AK34" s="768">
        <v>0</v>
      </c>
      <c r="AL34" s="768">
        <v>0</v>
      </c>
      <c r="AM34" s="769">
        <v>0</v>
      </c>
      <c r="AN34" s="767">
        <v>0</v>
      </c>
      <c r="AO34" s="768">
        <v>0</v>
      </c>
      <c r="AP34" s="768">
        <v>0</v>
      </c>
      <c r="AQ34" s="769">
        <v>0</v>
      </c>
      <c r="AR34" s="767">
        <v>0</v>
      </c>
      <c r="AS34" s="768">
        <v>0</v>
      </c>
      <c r="AT34" s="768">
        <v>0</v>
      </c>
      <c r="AU34" s="769">
        <v>0</v>
      </c>
      <c r="AV34" s="767">
        <v>0</v>
      </c>
      <c r="AW34" s="768">
        <v>0</v>
      </c>
      <c r="AX34" s="768">
        <v>0</v>
      </c>
      <c r="AY34" s="610">
        <v>0</v>
      </c>
      <c r="AZ34" s="767">
        <v>-384</v>
      </c>
      <c r="BA34" s="605">
        <v>0</v>
      </c>
      <c r="BB34" s="605">
        <v>0</v>
      </c>
      <c r="BC34" s="610">
        <v>0</v>
      </c>
      <c r="BD34" s="609">
        <v>0</v>
      </c>
      <c r="BE34" s="605">
        <v>0</v>
      </c>
      <c r="BF34" s="605">
        <v>0</v>
      </c>
      <c r="BG34" s="610">
        <v>0</v>
      </c>
      <c r="BH34" s="609">
        <v>0</v>
      </c>
      <c r="BI34" s="605">
        <v>0</v>
      </c>
      <c r="BJ34" s="605">
        <v>0</v>
      </c>
      <c r="BK34" s="610">
        <v>0</v>
      </c>
      <c r="BL34" s="215"/>
      <c r="BM34" s="605">
        <f t="shared" si="47"/>
        <v>0</v>
      </c>
      <c r="BN34" s="605">
        <f t="shared" si="48"/>
        <v>0</v>
      </c>
      <c r="BO34" s="605">
        <f t="shared" si="49"/>
        <v>0</v>
      </c>
      <c r="BP34" s="605">
        <f t="shared" si="50"/>
        <v>0</v>
      </c>
      <c r="BQ34" s="605">
        <f t="shared" si="51"/>
        <v>0</v>
      </c>
      <c r="BR34" s="605">
        <f t="shared" si="52"/>
        <v>0</v>
      </c>
      <c r="BS34" s="605">
        <f t="shared" si="53"/>
        <v>0</v>
      </c>
      <c r="BT34" s="605">
        <f t="shared" si="54"/>
        <v>0</v>
      </c>
      <c r="BU34" s="605">
        <f t="shared" si="55"/>
        <v>0</v>
      </c>
      <c r="BV34" s="605">
        <f t="shared" si="56"/>
        <v>0</v>
      </c>
      <c r="BW34" s="605">
        <f t="shared" si="57"/>
        <v>0</v>
      </c>
      <c r="BX34" s="605">
        <f t="shared" si="58"/>
        <v>0</v>
      </c>
      <c r="BY34" s="605">
        <f t="shared" si="59"/>
        <v>-384</v>
      </c>
      <c r="BZ34" s="610">
        <f t="shared" si="60"/>
        <v>0</v>
      </c>
      <c r="CA34" s="606">
        <f t="shared" si="61"/>
        <v>0</v>
      </c>
      <c r="CB34" s="734"/>
      <c r="CC34" s="734"/>
      <c r="CD34" s="204"/>
    </row>
    <row r="35" spans="1:82" ht="14.25" customHeight="1">
      <c r="A35" s="203"/>
      <c r="B35" s="227" t="s">
        <v>271</v>
      </c>
      <c r="C35" s="331"/>
      <c r="D35" s="767">
        <v>0</v>
      </c>
      <c r="E35" s="768">
        <v>0</v>
      </c>
      <c r="F35" s="768">
        <v>0</v>
      </c>
      <c r="G35" s="769">
        <v>0</v>
      </c>
      <c r="H35" s="767">
        <v>0</v>
      </c>
      <c r="I35" s="768">
        <v>0</v>
      </c>
      <c r="J35" s="768">
        <v>0</v>
      </c>
      <c r="K35" s="769">
        <v>0</v>
      </c>
      <c r="L35" s="767">
        <v>0</v>
      </c>
      <c r="M35" s="768">
        <v>0</v>
      </c>
      <c r="N35" s="768">
        <v>0</v>
      </c>
      <c r="O35" s="769">
        <v>0</v>
      </c>
      <c r="P35" s="767">
        <v>0</v>
      </c>
      <c r="Q35" s="768">
        <v>0</v>
      </c>
      <c r="R35" s="768">
        <v>0</v>
      </c>
      <c r="S35" s="769">
        <v>0</v>
      </c>
      <c r="T35" s="767">
        <v>0</v>
      </c>
      <c r="U35" s="768">
        <v>0</v>
      </c>
      <c r="V35" s="768">
        <v>0</v>
      </c>
      <c r="W35" s="769">
        <v>0</v>
      </c>
      <c r="X35" s="767">
        <v>0</v>
      </c>
      <c r="Y35" s="768">
        <v>0</v>
      </c>
      <c r="Z35" s="768">
        <v>0</v>
      </c>
      <c r="AA35" s="769">
        <v>0</v>
      </c>
      <c r="AB35" s="767">
        <v>0</v>
      </c>
      <c r="AC35" s="768">
        <v>0</v>
      </c>
      <c r="AD35" s="768">
        <v>0</v>
      </c>
      <c r="AE35" s="769">
        <v>0</v>
      </c>
      <c r="AF35" s="767">
        <v>0</v>
      </c>
      <c r="AG35" s="768">
        <v>0</v>
      </c>
      <c r="AH35" s="768">
        <v>0</v>
      </c>
      <c r="AI35" s="769">
        <v>0</v>
      </c>
      <c r="AJ35" s="767">
        <v>0</v>
      </c>
      <c r="AK35" s="768">
        <v>0</v>
      </c>
      <c r="AL35" s="768">
        <v>0</v>
      </c>
      <c r="AM35" s="769">
        <v>0</v>
      </c>
      <c r="AN35" s="767">
        <v>0</v>
      </c>
      <c r="AO35" s="768">
        <v>0</v>
      </c>
      <c r="AP35" s="768">
        <v>0</v>
      </c>
      <c r="AQ35" s="769">
        <v>0</v>
      </c>
      <c r="AR35" s="767">
        <v>0</v>
      </c>
      <c r="AS35" s="768">
        <v>0</v>
      </c>
      <c r="AT35" s="768">
        <v>0</v>
      </c>
      <c r="AU35" s="769">
        <v>0</v>
      </c>
      <c r="AV35" s="767">
        <v>0</v>
      </c>
      <c r="AW35" s="768">
        <v>0</v>
      </c>
      <c r="AX35" s="768">
        <v>0</v>
      </c>
      <c r="AY35" s="610">
        <v>0</v>
      </c>
      <c r="AZ35" s="609">
        <v>0</v>
      </c>
      <c r="BA35" s="605">
        <v>0</v>
      </c>
      <c r="BB35" s="605">
        <v>0</v>
      </c>
      <c r="BC35" s="610">
        <v>0</v>
      </c>
      <c r="BD35" s="609">
        <v>0</v>
      </c>
      <c r="BE35" s="605">
        <v>0</v>
      </c>
      <c r="BF35" s="605">
        <v>0</v>
      </c>
      <c r="BG35" s="610">
        <v>0</v>
      </c>
      <c r="BH35" s="609">
        <v>0</v>
      </c>
      <c r="BI35" s="605">
        <v>0</v>
      </c>
      <c r="BJ35" s="605">
        <v>0</v>
      </c>
      <c r="BK35" s="610">
        <v>0</v>
      </c>
      <c r="BL35" s="215"/>
      <c r="BM35" s="605">
        <f t="shared" si="47"/>
        <v>0</v>
      </c>
      <c r="BN35" s="605">
        <f t="shared" si="48"/>
        <v>0</v>
      </c>
      <c r="BO35" s="605">
        <f t="shared" si="49"/>
        <v>0</v>
      </c>
      <c r="BP35" s="605">
        <f t="shared" si="50"/>
        <v>0</v>
      </c>
      <c r="BQ35" s="605">
        <f t="shared" si="51"/>
        <v>0</v>
      </c>
      <c r="BR35" s="605">
        <f t="shared" si="52"/>
        <v>0</v>
      </c>
      <c r="BS35" s="605">
        <f t="shared" si="53"/>
        <v>0</v>
      </c>
      <c r="BT35" s="605">
        <f t="shared" si="54"/>
        <v>0</v>
      </c>
      <c r="BU35" s="605">
        <f t="shared" si="55"/>
        <v>0</v>
      </c>
      <c r="BV35" s="605">
        <f t="shared" si="56"/>
        <v>0</v>
      </c>
      <c r="BW35" s="605">
        <f t="shared" si="57"/>
        <v>0</v>
      </c>
      <c r="BX35" s="605">
        <f t="shared" si="58"/>
        <v>0</v>
      </c>
      <c r="BY35" s="605">
        <f t="shared" si="59"/>
        <v>0</v>
      </c>
      <c r="BZ35" s="610">
        <f t="shared" si="60"/>
        <v>0</v>
      </c>
      <c r="CA35" s="606">
        <f t="shared" si="61"/>
        <v>0</v>
      </c>
      <c r="CB35" s="734"/>
      <c r="CC35" s="734"/>
      <c r="CD35" s="204"/>
    </row>
    <row r="36" spans="1:82" ht="14.25" customHeight="1">
      <c r="A36" s="203"/>
      <c r="B36" s="227" t="s">
        <v>173</v>
      </c>
      <c r="C36" s="331"/>
      <c r="D36" s="767">
        <v>-18.257000000000001</v>
      </c>
      <c r="E36" s="768">
        <v>-1.6359999999999992</v>
      </c>
      <c r="F36" s="768">
        <v>-309.43299999999999</v>
      </c>
      <c r="G36" s="769">
        <v>-9.7670000000000243</v>
      </c>
      <c r="H36" s="767">
        <v>0</v>
      </c>
      <c r="I36" s="768">
        <v>-127.67700000000001</v>
      </c>
      <c r="J36" s="768">
        <v>-9.1509999999999962</v>
      </c>
      <c r="K36" s="769">
        <v>-462.82500000000005</v>
      </c>
      <c r="L36" s="767">
        <v>-19.084</v>
      </c>
      <c r="M36" s="768">
        <v>-216.24</v>
      </c>
      <c r="N36" s="768">
        <v>0</v>
      </c>
      <c r="O36" s="769">
        <v>0</v>
      </c>
      <c r="P36" s="767">
        <v>0</v>
      </c>
      <c r="Q36" s="768">
        <v>0</v>
      </c>
      <c r="R36" s="768">
        <v>0</v>
      </c>
      <c r="S36" s="769">
        <v>0</v>
      </c>
      <c r="T36" s="767">
        <v>-322.59899999999999</v>
      </c>
      <c r="U36" s="768">
        <v>0</v>
      </c>
      <c r="V36" s="768">
        <v>0</v>
      </c>
      <c r="W36" s="769">
        <v>0</v>
      </c>
      <c r="X36" s="767">
        <v>39</v>
      </c>
      <c r="Y36" s="768">
        <v>0</v>
      </c>
      <c r="Z36" s="768">
        <v>87</v>
      </c>
      <c r="AA36" s="769">
        <v>4</v>
      </c>
      <c r="AB36" s="767">
        <v>-4179</v>
      </c>
      <c r="AC36" s="768">
        <v>-7</v>
      </c>
      <c r="AD36" s="768">
        <v>-3</v>
      </c>
      <c r="AE36" s="769">
        <v>-1</v>
      </c>
      <c r="AF36" s="767">
        <v>0</v>
      </c>
      <c r="AG36" s="768">
        <v>0</v>
      </c>
      <c r="AH36" s="768">
        <v>-1</v>
      </c>
      <c r="AI36" s="769">
        <v>8</v>
      </c>
      <c r="AJ36" s="767">
        <v>0</v>
      </c>
      <c r="AK36" s="768">
        <v>0</v>
      </c>
      <c r="AL36" s="768">
        <v>0</v>
      </c>
      <c r="AM36" s="769">
        <v>25</v>
      </c>
      <c r="AN36" s="767">
        <v>0</v>
      </c>
      <c r="AO36" s="768">
        <v>0</v>
      </c>
      <c r="AP36" s="768">
        <v>0</v>
      </c>
      <c r="AQ36" s="769">
        <v>0</v>
      </c>
      <c r="AR36" s="767">
        <v>0</v>
      </c>
      <c r="AS36" s="768">
        <v>-8</v>
      </c>
      <c r="AT36" s="768">
        <v>3</v>
      </c>
      <c r="AU36" s="769">
        <v>0</v>
      </c>
      <c r="AV36" s="767">
        <v>0</v>
      </c>
      <c r="AW36" s="605">
        <f>-26-AV36</f>
        <v>-26</v>
      </c>
      <c r="AX36" s="605">
        <f>-56-AW36-AV36</f>
        <v>-30</v>
      </c>
      <c r="AY36" s="610">
        <v>0</v>
      </c>
      <c r="AZ36" s="609">
        <v>0</v>
      </c>
      <c r="BA36" s="605">
        <v>0</v>
      </c>
      <c r="BB36" s="605">
        <v>0</v>
      </c>
      <c r="BC36" s="606">
        <v>0</v>
      </c>
      <c r="BD36" s="609">
        <v>0</v>
      </c>
      <c r="BE36" s="605">
        <v>0</v>
      </c>
      <c r="BF36" s="605">
        <v>0</v>
      </c>
      <c r="BG36" s="610">
        <v>0</v>
      </c>
      <c r="BH36" s="609">
        <v>0</v>
      </c>
      <c r="BI36" s="605">
        <v>0</v>
      </c>
      <c r="BJ36" s="605">
        <v>0</v>
      </c>
      <c r="BK36" s="610">
        <v>0</v>
      </c>
      <c r="BL36" s="215"/>
      <c r="BM36" s="605">
        <f t="shared" si="47"/>
        <v>-339.09300000000007</v>
      </c>
      <c r="BN36" s="605">
        <f t="shared" si="48"/>
        <v>-599.65300000000002</v>
      </c>
      <c r="BO36" s="605">
        <f t="shared" si="49"/>
        <v>-235.32400000000001</v>
      </c>
      <c r="BP36" s="605">
        <f t="shared" si="50"/>
        <v>0</v>
      </c>
      <c r="BQ36" s="605">
        <f t="shared" si="51"/>
        <v>-322.59899999999999</v>
      </c>
      <c r="BR36" s="605">
        <f t="shared" si="52"/>
        <v>130</v>
      </c>
      <c r="BS36" s="605">
        <f t="shared" si="53"/>
        <v>-4190</v>
      </c>
      <c r="BT36" s="605">
        <f t="shared" si="54"/>
        <v>7</v>
      </c>
      <c r="BU36" s="605">
        <f t="shared" si="55"/>
        <v>25</v>
      </c>
      <c r="BV36" s="605">
        <f t="shared" si="56"/>
        <v>0</v>
      </c>
      <c r="BW36" s="605">
        <f t="shared" si="57"/>
        <v>-5</v>
      </c>
      <c r="BX36" s="605">
        <f t="shared" si="58"/>
        <v>-56</v>
      </c>
      <c r="BY36" s="605">
        <f t="shared" si="59"/>
        <v>0</v>
      </c>
      <c r="BZ36" s="610">
        <f t="shared" si="60"/>
        <v>0</v>
      </c>
      <c r="CA36" s="606">
        <f t="shared" si="61"/>
        <v>0</v>
      </c>
      <c r="CB36" s="734"/>
      <c r="CC36" s="734"/>
      <c r="CD36" s="204"/>
    </row>
    <row r="37" spans="1:82" ht="14.25" customHeight="1">
      <c r="A37" s="206"/>
      <c r="B37" s="227" t="s">
        <v>174</v>
      </c>
      <c r="C37" s="331"/>
      <c r="D37" s="767">
        <v>0</v>
      </c>
      <c r="E37" s="768">
        <v>0</v>
      </c>
      <c r="F37" s="768">
        <v>16.206</v>
      </c>
      <c r="G37" s="769">
        <v>-14.343</v>
      </c>
      <c r="H37" s="767">
        <v>9.484</v>
      </c>
      <c r="I37" s="768">
        <v>8.2430000000000003</v>
      </c>
      <c r="J37" s="768">
        <v>5.6310000000000002</v>
      </c>
      <c r="K37" s="769">
        <v>14.252999999999995</v>
      </c>
      <c r="L37" s="767">
        <v>0</v>
      </c>
      <c r="M37" s="768">
        <v>0</v>
      </c>
      <c r="N37" s="768">
        <v>0</v>
      </c>
      <c r="O37" s="769">
        <v>42.21</v>
      </c>
      <c r="P37" s="767">
        <v>0</v>
      </c>
      <c r="Q37" s="768">
        <v>0</v>
      </c>
      <c r="R37" s="768">
        <v>0</v>
      </c>
      <c r="S37" s="769">
        <v>0</v>
      </c>
      <c r="T37" s="767">
        <v>0</v>
      </c>
      <c r="U37" s="768">
        <v>0</v>
      </c>
      <c r="V37" s="768">
        <v>0</v>
      </c>
      <c r="W37" s="769">
        <v>0</v>
      </c>
      <c r="X37" s="767">
        <v>0</v>
      </c>
      <c r="Y37" s="768">
        <v>0</v>
      </c>
      <c r="Z37" s="768">
        <v>0</v>
      </c>
      <c r="AA37" s="769">
        <v>0</v>
      </c>
      <c r="AB37" s="767">
        <v>0</v>
      </c>
      <c r="AC37" s="768">
        <v>0</v>
      </c>
      <c r="AD37" s="768">
        <v>0</v>
      </c>
      <c r="AE37" s="769">
        <v>0</v>
      </c>
      <c r="AF37" s="767">
        <v>0</v>
      </c>
      <c r="AG37" s="768">
        <v>-1</v>
      </c>
      <c r="AH37" s="768">
        <v>1</v>
      </c>
      <c r="AI37" s="769">
        <v>-1</v>
      </c>
      <c r="AJ37" s="767">
        <v>0</v>
      </c>
      <c r="AK37" s="768">
        <v>0</v>
      </c>
      <c r="AL37" s="768">
        <v>0</v>
      </c>
      <c r="AM37" s="769">
        <v>-12</v>
      </c>
      <c r="AN37" s="767">
        <v>0</v>
      </c>
      <c r="AO37" s="768">
        <v>0</v>
      </c>
      <c r="AP37" s="768">
        <v>0</v>
      </c>
      <c r="AQ37" s="769">
        <v>-2</v>
      </c>
      <c r="AR37" s="767">
        <v>0</v>
      </c>
      <c r="AS37" s="768">
        <v>0</v>
      </c>
      <c r="AT37" s="768">
        <v>0</v>
      </c>
      <c r="AU37" s="769">
        <v>-11</v>
      </c>
      <c r="AV37" s="767">
        <v>0</v>
      </c>
      <c r="AW37" s="768">
        <v>0</v>
      </c>
      <c r="AX37" s="768">
        <v>0</v>
      </c>
      <c r="AY37" s="610">
        <v>-12</v>
      </c>
      <c r="AZ37" s="767">
        <v>-5</v>
      </c>
      <c r="BA37" s="605">
        <f>BS!AZ20-BS!BA20</f>
        <v>0</v>
      </c>
      <c r="BB37" s="605">
        <f>BS!BA20-BS!BB20</f>
        <v>0</v>
      </c>
      <c r="BC37" s="610">
        <f>BS!BB20-BS!BC20</f>
        <v>0</v>
      </c>
      <c r="BD37" s="609">
        <f>BS!BC20-BS!BD20</f>
        <v>0</v>
      </c>
      <c r="BE37" s="605">
        <f>BS!BD20-BS!BE20</f>
        <v>0</v>
      </c>
      <c r="BF37" s="605">
        <f>BS!BE20-BS!BF20</f>
        <v>0</v>
      </c>
      <c r="BG37" s="610">
        <f>BS!BF20-BS!BG20</f>
        <v>0</v>
      </c>
      <c r="BH37" s="609">
        <f>BS!BG20-BS!BH20</f>
        <v>0</v>
      </c>
      <c r="BI37" s="605">
        <f>BS!BH20-BS!BI20</f>
        <v>0</v>
      </c>
      <c r="BJ37" s="605">
        <f>BS!BI20-BS!BJ20</f>
        <v>0</v>
      </c>
      <c r="BK37" s="610">
        <f>BS!BJ20-BS!BK20</f>
        <v>0</v>
      </c>
      <c r="BL37" s="463"/>
      <c r="BM37" s="605">
        <f t="shared" si="47"/>
        <v>1.8629999999999995</v>
      </c>
      <c r="BN37" s="605">
        <f t="shared" si="48"/>
        <v>37.610999999999997</v>
      </c>
      <c r="BO37" s="605">
        <f t="shared" si="49"/>
        <v>42.21</v>
      </c>
      <c r="BP37" s="605">
        <f t="shared" si="50"/>
        <v>0</v>
      </c>
      <c r="BQ37" s="605">
        <f t="shared" si="51"/>
        <v>0</v>
      </c>
      <c r="BR37" s="605">
        <f t="shared" si="52"/>
        <v>0</v>
      </c>
      <c r="BS37" s="605">
        <f t="shared" si="53"/>
        <v>0</v>
      </c>
      <c r="BT37" s="605">
        <f t="shared" si="54"/>
        <v>-1</v>
      </c>
      <c r="BU37" s="605">
        <f t="shared" si="55"/>
        <v>-12</v>
      </c>
      <c r="BV37" s="605">
        <f t="shared" si="56"/>
        <v>-2</v>
      </c>
      <c r="BW37" s="605">
        <f t="shared" si="57"/>
        <v>-11</v>
      </c>
      <c r="BX37" s="605">
        <f t="shared" si="58"/>
        <v>-12</v>
      </c>
      <c r="BY37" s="605">
        <f t="shared" si="59"/>
        <v>-5</v>
      </c>
      <c r="BZ37" s="610">
        <f t="shared" si="60"/>
        <v>0</v>
      </c>
      <c r="CA37" s="610">
        <f t="shared" si="61"/>
        <v>0</v>
      </c>
      <c r="CB37" s="209"/>
      <c r="CC37" s="209"/>
      <c r="CD37" s="209"/>
    </row>
    <row r="38" spans="1:82" ht="14.25" customHeight="1" thickBot="1">
      <c r="A38" s="203"/>
      <c r="B38" s="618" t="s">
        <v>270</v>
      </c>
      <c r="C38" s="617"/>
      <c r="D38" s="616">
        <f>SUM(D30:D37)</f>
        <v>175.77400000000017</v>
      </c>
      <c r="E38" s="614">
        <f t="shared" ref="E38:AQ38" si="62">SUM(E30:E37)</f>
        <v>222.68499999999992</v>
      </c>
      <c r="F38" s="614">
        <f t="shared" si="62"/>
        <v>117.53399999999975</v>
      </c>
      <c r="G38" s="615">
        <f t="shared" si="62"/>
        <v>1432.9929999999999</v>
      </c>
      <c r="H38" s="616">
        <f t="shared" si="62"/>
        <v>-47.927999999999919</v>
      </c>
      <c r="I38" s="614">
        <f t="shared" si="62"/>
        <v>-277.58099999999996</v>
      </c>
      <c r="J38" s="614">
        <f t="shared" si="62"/>
        <v>-254.38600000000045</v>
      </c>
      <c r="K38" s="615">
        <f t="shared" si="62"/>
        <v>-396.71800000000025</v>
      </c>
      <c r="L38" s="616">
        <f t="shared" si="62"/>
        <v>290.01899999999995</v>
      </c>
      <c r="M38" s="614">
        <f t="shared" si="62"/>
        <v>-907.96500000000003</v>
      </c>
      <c r="N38" s="614">
        <f t="shared" si="62"/>
        <v>78.913000000000011</v>
      </c>
      <c r="O38" s="615">
        <f t="shared" si="62"/>
        <v>485.85400000000021</v>
      </c>
      <c r="P38" s="616">
        <f t="shared" si="62"/>
        <v>241.02299999999997</v>
      </c>
      <c r="Q38" s="614">
        <f t="shared" si="62"/>
        <v>69.83600000000007</v>
      </c>
      <c r="R38" s="614">
        <f t="shared" si="62"/>
        <v>-27.05400000000003</v>
      </c>
      <c r="S38" s="615">
        <f t="shared" si="62"/>
        <v>-171.11599999999987</v>
      </c>
      <c r="T38" s="616">
        <f t="shared" si="62"/>
        <v>-489.56799999999998</v>
      </c>
      <c r="U38" s="614">
        <f t="shared" si="62"/>
        <v>-219.97199999999998</v>
      </c>
      <c r="V38" s="614">
        <f t="shared" si="62"/>
        <v>-137.29699999999991</v>
      </c>
      <c r="W38" s="615">
        <f t="shared" si="62"/>
        <v>-14.775000000000148</v>
      </c>
      <c r="X38" s="616">
        <f t="shared" si="62"/>
        <v>-79</v>
      </c>
      <c r="Y38" s="614">
        <f t="shared" si="62"/>
        <v>45</v>
      </c>
      <c r="Z38" s="614">
        <f t="shared" si="62"/>
        <v>252</v>
      </c>
      <c r="AA38" s="615">
        <f t="shared" si="62"/>
        <v>492</v>
      </c>
      <c r="AB38" s="616">
        <f t="shared" si="62"/>
        <v>-4157</v>
      </c>
      <c r="AC38" s="614">
        <f t="shared" si="62"/>
        <v>-259</v>
      </c>
      <c r="AD38" s="614">
        <f t="shared" si="62"/>
        <v>-281</v>
      </c>
      <c r="AE38" s="615">
        <f t="shared" si="62"/>
        <v>37</v>
      </c>
      <c r="AF38" s="616">
        <f t="shared" si="62"/>
        <v>253</v>
      </c>
      <c r="AG38" s="614">
        <f t="shared" si="62"/>
        <v>-61</v>
      </c>
      <c r="AH38" s="614">
        <f t="shared" si="62"/>
        <v>-34</v>
      </c>
      <c r="AI38" s="615">
        <f t="shared" si="62"/>
        <v>57</v>
      </c>
      <c r="AJ38" s="616">
        <f t="shared" si="62"/>
        <v>153</v>
      </c>
      <c r="AK38" s="614">
        <f t="shared" si="62"/>
        <v>-69</v>
      </c>
      <c r="AL38" s="614">
        <f t="shared" si="62"/>
        <v>-192</v>
      </c>
      <c r="AM38" s="615">
        <f t="shared" si="62"/>
        <v>-53</v>
      </c>
      <c r="AN38" s="616">
        <f t="shared" si="62"/>
        <v>-50</v>
      </c>
      <c r="AO38" s="614">
        <f t="shared" si="62"/>
        <v>-90</v>
      </c>
      <c r="AP38" s="614">
        <f t="shared" si="62"/>
        <v>-84</v>
      </c>
      <c r="AQ38" s="615">
        <f t="shared" si="62"/>
        <v>-57</v>
      </c>
      <c r="AR38" s="616">
        <f t="shared" ref="AR38:AY38" si="63">SUM(AR30:AR37)</f>
        <v>-109</v>
      </c>
      <c r="AS38" s="614">
        <f t="shared" si="63"/>
        <v>-5</v>
      </c>
      <c r="AT38" s="614">
        <f t="shared" si="63"/>
        <v>-322</v>
      </c>
      <c r="AU38" s="615">
        <f t="shared" si="63"/>
        <v>11</v>
      </c>
      <c r="AV38" s="616">
        <f t="shared" ref="AV38:AW38" si="64">SUM(AV30:AV37)</f>
        <v>-367</v>
      </c>
      <c r="AW38" s="614">
        <f t="shared" si="64"/>
        <v>-1281</v>
      </c>
      <c r="AX38" s="614">
        <f t="shared" si="63"/>
        <v>-349</v>
      </c>
      <c r="AY38" s="615">
        <f t="shared" si="63"/>
        <v>-529</v>
      </c>
      <c r="AZ38" s="616">
        <f t="shared" ref="AZ38:BG38" si="65">SUM(AZ30:AZ37)</f>
        <v>1352</v>
      </c>
      <c r="BA38" s="614">
        <f t="shared" si="65"/>
        <v>-235.35064747859184</v>
      </c>
      <c r="BB38" s="614">
        <f t="shared" si="65"/>
        <v>-229.70481017483348</v>
      </c>
      <c r="BC38" s="615">
        <f t="shared" si="65"/>
        <v>-231.05193226266653</v>
      </c>
      <c r="BD38" s="616">
        <f t="shared" si="65"/>
        <v>-224.67611965666924</v>
      </c>
      <c r="BE38" s="614">
        <f t="shared" si="65"/>
        <v>-226.51817972982266</v>
      </c>
      <c r="BF38" s="614">
        <f t="shared" si="65"/>
        <v>-227.6930530847265</v>
      </c>
      <c r="BG38" s="615">
        <f t="shared" si="65"/>
        <v>-230.51849850897977</v>
      </c>
      <c r="BH38" s="616">
        <f t="shared" ref="BH38:BK38" si="66">SUM(BH30:BH37)</f>
        <v>-228.94227053302177</v>
      </c>
      <c r="BI38" s="614">
        <f t="shared" si="66"/>
        <v>-230.77969572707639</v>
      </c>
      <c r="BJ38" s="614">
        <f t="shared" si="66"/>
        <v>-232.95839828837703</v>
      </c>
      <c r="BK38" s="615">
        <f t="shared" si="66"/>
        <v>-233.17690881312052</v>
      </c>
      <c r="BL38" s="215"/>
      <c r="BM38" s="614">
        <f t="shared" ref="BM38:BX38" si="67">SUM(BM30:BM37)</f>
        <v>1948.9859999999999</v>
      </c>
      <c r="BN38" s="614">
        <f t="shared" si="67"/>
        <v>-976.61300000000085</v>
      </c>
      <c r="BO38" s="614">
        <f t="shared" si="67"/>
        <v>-53.178999999999611</v>
      </c>
      <c r="BP38" s="614">
        <f t="shared" si="67"/>
        <v>112.68900000000031</v>
      </c>
      <c r="BQ38" s="614">
        <f t="shared" si="67"/>
        <v>-861.61200000000008</v>
      </c>
      <c r="BR38" s="614">
        <f t="shared" si="67"/>
        <v>710</v>
      </c>
      <c r="BS38" s="614">
        <f t="shared" si="67"/>
        <v>-4660</v>
      </c>
      <c r="BT38" s="614">
        <f t="shared" si="67"/>
        <v>215</v>
      </c>
      <c r="BU38" s="614">
        <f t="shared" si="67"/>
        <v>-161</v>
      </c>
      <c r="BV38" s="614">
        <f t="shared" si="67"/>
        <v>-281</v>
      </c>
      <c r="BW38" s="614">
        <f t="shared" si="67"/>
        <v>-425</v>
      </c>
      <c r="BX38" s="614">
        <f t="shared" si="67"/>
        <v>-2526</v>
      </c>
      <c r="BY38" s="614">
        <f>SUM(BY30:BY37)</f>
        <v>655.89261008390827</v>
      </c>
      <c r="BZ38" s="615">
        <f>SUM(BZ30:BZ37)</f>
        <v>-909.40585098019824</v>
      </c>
      <c r="CA38" s="615">
        <f>SUM(CA30:CA37)</f>
        <v>-925.85727336159562</v>
      </c>
      <c r="CB38" s="734"/>
      <c r="CC38" s="734"/>
      <c r="CD38" s="204"/>
    </row>
    <row r="39" spans="1:82" ht="14.25" customHeight="1" thickTop="1">
      <c r="A39" s="203"/>
      <c r="B39" s="217"/>
      <c r="C39" s="216"/>
      <c r="D39" s="607"/>
      <c r="E39" s="608"/>
      <c r="F39" s="608"/>
      <c r="G39" s="606"/>
      <c r="H39" s="607"/>
      <c r="I39" s="608"/>
      <c r="J39" s="608"/>
      <c r="K39" s="606"/>
      <c r="L39" s="607"/>
      <c r="M39" s="608"/>
      <c r="N39" s="608"/>
      <c r="O39" s="606"/>
      <c r="P39" s="607"/>
      <c r="Q39" s="608"/>
      <c r="R39" s="608"/>
      <c r="S39" s="606"/>
      <c r="T39" s="607"/>
      <c r="U39" s="608"/>
      <c r="V39" s="608"/>
      <c r="W39" s="606"/>
      <c r="X39" s="607"/>
      <c r="Y39" s="608"/>
      <c r="Z39" s="608"/>
      <c r="AA39" s="606"/>
      <c r="AB39" s="607"/>
      <c r="AC39" s="608"/>
      <c r="AD39" s="608"/>
      <c r="AE39" s="606"/>
      <c r="AF39" s="607"/>
      <c r="AG39" s="608"/>
      <c r="AH39" s="608"/>
      <c r="AI39" s="606"/>
      <c r="AJ39" s="607"/>
      <c r="AK39" s="608"/>
      <c r="AL39" s="608"/>
      <c r="AM39" s="606"/>
      <c r="AN39" s="607"/>
      <c r="AO39" s="608"/>
      <c r="AP39" s="608"/>
      <c r="AQ39" s="606"/>
      <c r="AR39" s="607"/>
      <c r="AS39" s="608"/>
      <c r="AT39" s="608"/>
      <c r="AU39" s="606"/>
      <c r="AV39" s="607"/>
      <c r="AW39" s="608"/>
      <c r="AX39" s="608"/>
      <c r="AY39" s="606"/>
      <c r="AZ39" s="607"/>
      <c r="BA39" s="608"/>
      <c r="BB39" s="608"/>
      <c r="BC39" s="606"/>
      <c r="BD39" s="607"/>
      <c r="BE39" s="608"/>
      <c r="BF39" s="608"/>
      <c r="BG39" s="606"/>
      <c r="BH39" s="607"/>
      <c r="BI39" s="608"/>
      <c r="BJ39" s="608"/>
      <c r="BK39" s="606"/>
      <c r="BL39" s="215"/>
      <c r="BM39" s="608"/>
      <c r="BN39" s="608"/>
      <c r="BO39" s="608"/>
      <c r="BP39" s="608"/>
      <c r="BQ39" s="608"/>
      <c r="BR39" s="608"/>
      <c r="BS39" s="608"/>
      <c r="BT39" s="608"/>
      <c r="BU39" s="608"/>
      <c r="BV39" s="608"/>
      <c r="BW39" s="608"/>
      <c r="BX39" s="608"/>
      <c r="BY39" s="608"/>
      <c r="BZ39" s="606"/>
      <c r="CA39" s="606"/>
      <c r="CB39" s="734"/>
      <c r="CC39" s="734"/>
      <c r="CD39" s="204"/>
    </row>
    <row r="40" spans="1:82" ht="14.25" customHeight="1">
      <c r="A40" s="203"/>
      <c r="B40" s="604" t="s">
        <v>23</v>
      </c>
      <c r="C40" s="603"/>
      <c r="D40" s="607"/>
      <c r="E40" s="619"/>
      <c r="F40" s="619"/>
      <c r="G40" s="606"/>
      <c r="H40" s="607"/>
      <c r="I40" s="619"/>
      <c r="J40" s="619"/>
      <c r="K40" s="606"/>
      <c r="L40" s="607"/>
      <c r="M40" s="619"/>
      <c r="N40" s="619"/>
      <c r="O40" s="606"/>
      <c r="P40" s="607"/>
      <c r="Q40" s="619"/>
      <c r="R40" s="619"/>
      <c r="S40" s="606"/>
      <c r="T40" s="607"/>
      <c r="U40" s="619"/>
      <c r="V40" s="619"/>
      <c r="W40" s="606"/>
      <c r="X40" s="607"/>
      <c r="Y40" s="619"/>
      <c r="Z40" s="619"/>
      <c r="AA40" s="606"/>
      <c r="AB40" s="607"/>
      <c r="AC40" s="619"/>
      <c r="AD40" s="619"/>
      <c r="AE40" s="606"/>
      <c r="AF40" s="607"/>
      <c r="AG40" s="619"/>
      <c r="AH40" s="619"/>
      <c r="AI40" s="606"/>
      <c r="AJ40" s="607"/>
      <c r="AK40" s="619"/>
      <c r="AL40" s="619"/>
      <c r="AM40" s="606"/>
      <c r="AN40" s="607"/>
      <c r="AO40" s="619"/>
      <c r="AP40" s="619"/>
      <c r="AQ40" s="606"/>
      <c r="AR40" s="607"/>
      <c r="AS40" s="619"/>
      <c r="AT40" s="619"/>
      <c r="AU40" s="606"/>
      <c r="AV40" s="607"/>
      <c r="AW40" s="608"/>
      <c r="AX40" s="608"/>
      <c r="AY40" s="606"/>
      <c r="AZ40" s="607"/>
      <c r="BA40" s="608"/>
      <c r="BB40" s="608"/>
      <c r="BC40" s="606"/>
      <c r="BD40" s="607"/>
      <c r="BE40" s="608"/>
      <c r="BF40" s="608"/>
      <c r="BG40" s="606"/>
      <c r="BH40" s="607"/>
      <c r="BI40" s="608"/>
      <c r="BJ40" s="608"/>
      <c r="BK40" s="606"/>
      <c r="BL40" s="215"/>
      <c r="BM40" s="608"/>
      <c r="BN40" s="608"/>
      <c r="BO40" s="608"/>
      <c r="BP40" s="608"/>
      <c r="BQ40" s="608"/>
      <c r="BR40" s="608"/>
      <c r="BS40" s="608"/>
      <c r="BT40" s="608"/>
      <c r="BU40" s="608"/>
      <c r="BV40" s="608"/>
      <c r="BW40" s="608"/>
      <c r="BX40" s="608"/>
      <c r="BY40" s="608"/>
      <c r="BZ40" s="606"/>
      <c r="CA40" s="606"/>
      <c r="CB40" s="734"/>
      <c r="CC40" s="734"/>
      <c r="CD40" s="204"/>
    </row>
    <row r="41" spans="1:82" ht="14.25" customHeight="1">
      <c r="A41" s="203"/>
      <c r="B41" s="227" t="s">
        <v>179</v>
      </c>
      <c r="C41" s="331"/>
      <c r="D41" s="767">
        <v>0</v>
      </c>
      <c r="E41" s="768">
        <v>0</v>
      </c>
      <c r="F41" s="768">
        <v>0</v>
      </c>
      <c r="G41" s="769">
        <v>0</v>
      </c>
      <c r="H41" s="767">
        <v>0</v>
      </c>
      <c r="I41" s="768">
        <v>0</v>
      </c>
      <c r="J41" s="768">
        <v>0</v>
      </c>
      <c r="K41" s="769">
        <v>-202.04</v>
      </c>
      <c r="L41" s="767">
        <v>0.34300000000000003</v>
      </c>
      <c r="M41" s="768">
        <v>-0.34300000000000003</v>
      </c>
      <c r="N41" s="768">
        <v>0</v>
      </c>
      <c r="O41" s="769">
        <v>0</v>
      </c>
      <c r="P41" s="767">
        <v>0</v>
      </c>
      <c r="Q41" s="768">
        <v>0</v>
      </c>
      <c r="R41" s="768">
        <v>0</v>
      </c>
      <c r="S41" s="769">
        <v>0</v>
      </c>
      <c r="T41" s="767">
        <v>0</v>
      </c>
      <c r="U41" s="768">
        <v>0</v>
      </c>
      <c r="V41" s="768">
        <v>0</v>
      </c>
      <c r="W41" s="769">
        <v>0</v>
      </c>
      <c r="X41" s="767">
        <v>0</v>
      </c>
      <c r="Y41" s="768">
        <v>-1</v>
      </c>
      <c r="Z41" s="768">
        <v>1745</v>
      </c>
      <c r="AA41" s="769">
        <v>0</v>
      </c>
      <c r="AB41" s="767">
        <v>0</v>
      </c>
      <c r="AC41" s="768">
        <v>0</v>
      </c>
      <c r="AD41" s="768">
        <v>0</v>
      </c>
      <c r="AE41" s="769">
        <v>0</v>
      </c>
      <c r="AF41" s="767">
        <v>0</v>
      </c>
      <c r="AG41" s="768">
        <v>0</v>
      </c>
      <c r="AH41" s="768">
        <v>0</v>
      </c>
      <c r="AI41" s="769">
        <v>0</v>
      </c>
      <c r="AJ41" s="767">
        <v>0</v>
      </c>
      <c r="AK41" s="768">
        <v>0</v>
      </c>
      <c r="AL41" s="768">
        <v>0</v>
      </c>
      <c r="AM41" s="769">
        <v>0</v>
      </c>
      <c r="AN41" s="767">
        <v>0</v>
      </c>
      <c r="AO41" s="768">
        <v>0</v>
      </c>
      <c r="AP41" s="768">
        <v>0</v>
      </c>
      <c r="AQ41" s="769">
        <v>0</v>
      </c>
      <c r="AR41" s="767">
        <v>0</v>
      </c>
      <c r="AS41" s="768">
        <v>0</v>
      </c>
      <c r="AT41" s="768">
        <v>0</v>
      </c>
      <c r="AU41" s="769">
        <v>0</v>
      </c>
      <c r="AV41" s="767">
        <v>0</v>
      </c>
      <c r="AW41" s="768">
        <v>0</v>
      </c>
      <c r="AX41" s="605">
        <f>-205-AW41-AV41</f>
        <v>-205</v>
      </c>
      <c r="AY41" s="610">
        <f>-205-AX41-AW41-AV41</f>
        <v>0</v>
      </c>
      <c r="AZ41" s="609">
        <v>0</v>
      </c>
      <c r="BA41" s="605">
        <v>0</v>
      </c>
      <c r="BB41" s="605">
        <v>0</v>
      </c>
      <c r="BC41" s="606">
        <v>0</v>
      </c>
      <c r="BD41" s="609">
        <v>0</v>
      </c>
      <c r="BE41" s="605">
        <v>0</v>
      </c>
      <c r="BF41" s="605">
        <v>0</v>
      </c>
      <c r="BG41" s="610">
        <v>0</v>
      </c>
      <c r="BH41" s="609">
        <v>0</v>
      </c>
      <c r="BI41" s="605">
        <v>0</v>
      </c>
      <c r="BJ41" s="605">
        <v>0</v>
      </c>
      <c r="BK41" s="610">
        <v>0</v>
      </c>
      <c r="BL41" s="215"/>
      <c r="BM41" s="605">
        <f t="shared" ref="BM41:BM46" si="68">SUM(D41:G41)</f>
        <v>0</v>
      </c>
      <c r="BN41" s="605">
        <f t="shared" ref="BN41:BN46" si="69">SUM(H41:K41)</f>
        <v>-202.04</v>
      </c>
      <c r="BO41" s="605">
        <f t="shared" ref="BO41:BO46" si="70">SUM(L41:O41)</f>
        <v>0</v>
      </c>
      <c r="BP41" s="605">
        <f t="shared" ref="BP41:BP46" si="71">SUM(P41:S41)</f>
        <v>0</v>
      </c>
      <c r="BQ41" s="605">
        <f t="shared" ref="BQ41:BQ46" si="72">SUM(T41:W41)</f>
        <v>0</v>
      </c>
      <c r="BR41" s="605">
        <f t="shared" ref="BR41:BR46" si="73">SUM(X41:AA41)</f>
        <v>1744</v>
      </c>
      <c r="BS41" s="605">
        <f t="shared" ref="BS41:BS46" si="74">SUM(AB41:AE41)</f>
        <v>0</v>
      </c>
      <c r="BT41" s="605">
        <f t="shared" ref="BT41:BT46" si="75">SUM(AF41:AI41)</f>
        <v>0</v>
      </c>
      <c r="BU41" s="605">
        <f t="shared" ref="BU41:BU46" si="76">SUM(AJ41:AM41)</f>
        <v>0</v>
      </c>
      <c r="BV41" s="605">
        <f t="shared" ref="BV41:BV46" si="77">SUM(AN41:AQ41)</f>
        <v>0</v>
      </c>
      <c r="BW41" s="605">
        <f t="shared" ref="BW41:BW46" si="78">SUM(AR41:AU41)</f>
        <v>0</v>
      </c>
      <c r="BX41" s="605">
        <f t="shared" ref="BX41:BX46" si="79">SUM(AV41:AY41)</f>
        <v>-205</v>
      </c>
      <c r="BY41" s="605">
        <f t="shared" ref="BY41:BY46" si="80">SUM(AZ41:BC41)</f>
        <v>0</v>
      </c>
      <c r="BZ41" s="610">
        <f t="shared" ref="BZ41:BZ46" si="81">SUM(BD41:BG41)</f>
        <v>0</v>
      </c>
      <c r="CA41" s="610">
        <f t="shared" ref="CA41:CA46" si="82">SUM(BH41:BK41)</f>
        <v>0</v>
      </c>
      <c r="CB41" s="734"/>
      <c r="CC41" s="734"/>
      <c r="CD41" s="204"/>
    </row>
    <row r="42" spans="1:82" ht="14.25" customHeight="1">
      <c r="A42" s="203"/>
      <c r="B42" s="227" t="s">
        <v>175</v>
      </c>
      <c r="C42" s="331"/>
      <c r="D42" s="767">
        <v>88.323999999999998</v>
      </c>
      <c r="E42" s="768">
        <v>73.495999999999995</v>
      </c>
      <c r="F42" s="768">
        <v>10.256</v>
      </c>
      <c r="G42" s="769">
        <v>165.03000000000003</v>
      </c>
      <c r="H42" s="767">
        <v>75.093999999999994</v>
      </c>
      <c r="I42" s="768">
        <v>94.789999999999992</v>
      </c>
      <c r="J42" s="768">
        <v>266.55900000000003</v>
      </c>
      <c r="K42" s="769">
        <v>461.58199999999994</v>
      </c>
      <c r="L42" s="767">
        <v>15.680999999999999</v>
      </c>
      <c r="M42" s="768">
        <v>292.78200000000004</v>
      </c>
      <c r="N42" s="768">
        <v>26.111999999999952</v>
      </c>
      <c r="O42" s="769">
        <v>59.403000000000006</v>
      </c>
      <c r="P42" s="767">
        <v>0.69199999999999995</v>
      </c>
      <c r="Q42" s="768">
        <v>26.940999999999999</v>
      </c>
      <c r="R42" s="768">
        <v>1.7729999999999999</v>
      </c>
      <c r="S42" s="769">
        <v>32.417999999999999</v>
      </c>
      <c r="T42" s="767">
        <v>19.855</v>
      </c>
      <c r="U42" s="768">
        <v>77.286000000000001</v>
      </c>
      <c r="V42" s="768">
        <v>1.7789999999999999</v>
      </c>
      <c r="W42" s="769">
        <v>29.911999999999995</v>
      </c>
      <c r="X42" s="767">
        <v>13</v>
      </c>
      <c r="Y42" s="768">
        <v>46</v>
      </c>
      <c r="Z42" s="768">
        <v>5</v>
      </c>
      <c r="AA42" s="769">
        <v>31</v>
      </c>
      <c r="AB42" s="767">
        <v>2</v>
      </c>
      <c r="AC42" s="768">
        <v>43</v>
      </c>
      <c r="AD42" s="768">
        <v>6</v>
      </c>
      <c r="AE42" s="769">
        <v>46</v>
      </c>
      <c r="AF42" s="767">
        <v>18</v>
      </c>
      <c r="AG42" s="768">
        <v>67</v>
      </c>
      <c r="AH42" s="768">
        <v>40</v>
      </c>
      <c r="AI42" s="769">
        <v>57</v>
      </c>
      <c r="AJ42" s="767">
        <v>28</v>
      </c>
      <c r="AK42" s="768">
        <v>63</v>
      </c>
      <c r="AL42" s="768">
        <v>2</v>
      </c>
      <c r="AM42" s="769">
        <v>14</v>
      </c>
      <c r="AN42" s="767">
        <v>39</v>
      </c>
      <c r="AO42" s="768">
        <v>54</v>
      </c>
      <c r="AP42" s="768">
        <v>4</v>
      </c>
      <c r="AQ42" s="769">
        <v>-9</v>
      </c>
      <c r="AR42" s="767">
        <v>2</v>
      </c>
      <c r="AS42" s="768">
        <v>42</v>
      </c>
      <c r="AT42" s="768">
        <v>-2</v>
      </c>
      <c r="AU42" s="769">
        <v>44</v>
      </c>
      <c r="AV42" s="767">
        <v>0</v>
      </c>
      <c r="AW42" s="605">
        <f>46-AV42</f>
        <v>46</v>
      </c>
      <c r="AX42" s="605">
        <f>47-AW42-AV42</f>
        <v>1</v>
      </c>
      <c r="AY42" s="610">
        <f>97-AX42-AW42-AV42</f>
        <v>50</v>
      </c>
      <c r="AZ42" s="609">
        <v>0</v>
      </c>
      <c r="BA42" s="605">
        <v>0</v>
      </c>
      <c r="BB42" s="605">
        <v>0</v>
      </c>
      <c r="BC42" s="610">
        <v>0</v>
      </c>
      <c r="BD42" s="609">
        <v>0</v>
      </c>
      <c r="BE42" s="605">
        <v>0</v>
      </c>
      <c r="BF42" s="605">
        <v>0</v>
      </c>
      <c r="BG42" s="610">
        <v>0</v>
      </c>
      <c r="BH42" s="609">
        <v>0</v>
      </c>
      <c r="BI42" s="605">
        <v>0</v>
      </c>
      <c r="BJ42" s="605">
        <v>0</v>
      </c>
      <c r="BK42" s="610">
        <v>0</v>
      </c>
      <c r="BL42" s="215"/>
      <c r="BM42" s="605">
        <f t="shared" si="68"/>
        <v>337.10599999999999</v>
      </c>
      <c r="BN42" s="605">
        <f t="shared" si="69"/>
        <v>898.02499999999986</v>
      </c>
      <c r="BO42" s="605">
        <f t="shared" si="70"/>
        <v>393.97800000000001</v>
      </c>
      <c r="BP42" s="605">
        <f t="shared" si="71"/>
        <v>61.823999999999998</v>
      </c>
      <c r="BQ42" s="605">
        <f t="shared" si="72"/>
        <v>128.83199999999999</v>
      </c>
      <c r="BR42" s="605">
        <f t="shared" si="73"/>
        <v>95</v>
      </c>
      <c r="BS42" s="605">
        <f t="shared" si="74"/>
        <v>97</v>
      </c>
      <c r="BT42" s="605">
        <f t="shared" si="75"/>
        <v>182</v>
      </c>
      <c r="BU42" s="605">
        <f t="shared" si="76"/>
        <v>107</v>
      </c>
      <c r="BV42" s="605">
        <f t="shared" si="77"/>
        <v>88</v>
      </c>
      <c r="BW42" s="605">
        <f t="shared" si="78"/>
        <v>86</v>
      </c>
      <c r="BX42" s="605">
        <f t="shared" si="79"/>
        <v>97</v>
      </c>
      <c r="BY42" s="605">
        <f t="shared" si="80"/>
        <v>0</v>
      </c>
      <c r="BZ42" s="610">
        <f t="shared" si="81"/>
        <v>0</v>
      </c>
      <c r="CA42" s="610">
        <f t="shared" si="82"/>
        <v>0</v>
      </c>
      <c r="CB42" s="734"/>
      <c r="CC42" s="734"/>
      <c r="CD42" s="204"/>
    </row>
    <row r="43" spans="1:82" ht="14.25" customHeight="1">
      <c r="A43" s="203"/>
      <c r="B43" s="227" t="s">
        <v>178</v>
      </c>
      <c r="C43" s="331"/>
      <c r="D43" s="767">
        <v>-5.0069999999999997</v>
      </c>
      <c r="E43" s="768">
        <v>-0.4300000000000006</v>
      </c>
      <c r="F43" s="768">
        <v>3.8000000000000256E-2</v>
      </c>
      <c r="G43" s="769">
        <v>-2.3109999999999999</v>
      </c>
      <c r="H43" s="767">
        <v>0</v>
      </c>
      <c r="I43" s="768">
        <v>-0.30199999999999999</v>
      </c>
      <c r="J43" s="768">
        <v>5.1999999999999991E-2</v>
      </c>
      <c r="K43" s="769">
        <v>0.151</v>
      </c>
      <c r="L43" s="767">
        <v>0</v>
      </c>
      <c r="M43" s="768">
        <v>-1.2E-2</v>
      </c>
      <c r="N43" s="768">
        <v>-1.8420000000000001</v>
      </c>
      <c r="O43" s="769">
        <v>-0.2629999999999999</v>
      </c>
      <c r="P43" s="767">
        <v>0</v>
      </c>
      <c r="Q43" s="768">
        <v>-0.32300000000000001</v>
      </c>
      <c r="R43" s="768">
        <v>8.2000000000000017E-2</v>
      </c>
      <c r="S43" s="769">
        <v>-0.50900000000000012</v>
      </c>
      <c r="T43" s="767">
        <v>0.97699999999999998</v>
      </c>
      <c r="U43" s="768">
        <v>-6.2970000000000006</v>
      </c>
      <c r="V43" s="768">
        <v>-0.36399999999999955</v>
      </c>
      <c r="W43" s="769">
        <v>-0.75699999999999934</v>
      </c>
      <c r="X43" s="767">
        <v>0</v>
      </c>
      <c r="Y43" s="768">
        <v>0</v>
      </c>
      <c r="Z43" s="768">
        <v>0</v>
      </c>
      <c r="AA43" s="769">
        <v>0</v>
      </c>
      <c r="AB43" s="767">
        <v>0</v>
      </c>
      <c r="AC43" s="768">
        <v>0</v>
      </c>
      <c r="AD43" s="768">
        <v>0</v>
      </c>
      <c r="AE43" s="769">
        <v>-1</v>
      </c>
      <c r="AF43" s="767">
        <v>0</v>
      </c>
      <c r="AG43" s="768">
        <v>0</v>
      </c>
      <c r="AH43" s="768">
        <v>0</v>
      </c>
      <c r="AI43" s="769">
        <v>0</v>
      </c>
      <c r="AJ43" s="767">
        <v>0</v>
      </c>
      <c r="AK43" s="768">
        <v>0</v>
      </c>
      <c r="AL43" s="768">
        <v>0</v>
      </c>
      <c r="AM43" s="769">
        <v>0</v>
      </c>
      <c r="AN43" s="767">
        <v>0</v>
      </c>
      <c r="AO43" s="768">
        <v>0</v>
      </c>
      <c r="AP43" s="768">
        <v>0</v>
      </c>
      <c r="AQ43" s="769">
        <v>2581</v>
      </c>
      <c r="AR43" s="767">
        <v>-1205</v>
      </c>
      <c r="AS43" s="768">
        <v>0</v>
      </c>
      <c r="AT43" s="768">
        <v>0</v>
      </c>
      <c r="AU43" s="769">
        <v>0</v>
      </c>
      <c r="AV43" s="767">
        <v>0</v>
      </c>
      <c r="AW43" s="605">
        <f>2176-AV43</f>
        <v>2176</v>
      </c>
      <c r="AX43" s="605">
        <v>0</v>
      </c>
      <c r="AY43" s="610">
        <f>2176-AX43-AW43-AV43</f>
        <v>0</v>
      </c>
      <c r="AZ43" s="609">
        <v>0</v>
      </c>
      <c r="BA43" s="605">
        <v>0</v>
      </c>
      <c r="BB43" s="605">
        <v>0</v>
      </c>
      <c r="BC43" s="610">
        <v>0</v>
      </c>
      <c r="BD43" s="609">
        <v>0</v>
      </c>
      <c r="BE43" s="605">
        <v>0</v>
      </c>
      <c r="BF43" s="605">
        <v>0</v>
      </c>
      <c r="BG43" s="610">
        <v>0</v>
      </c>
      <c r="BH43" s="609">
        <v>0</v>
      </c>
      <c r="BI43" s="605">
        <v>0</v>
      </c>
      <c r="BJ43" s="605">
        <v>0</v>
      </c>
      <c r="BK43" s="610">
        <v>0</v>
      </c>
      <c r="BL43" s="215"/>
      <c r="BM43" s="605">
        <f t="shared" si="68"/>
        <v>-7.71</v>
      </c>
      <c r="BN43" s="605">
        <f t="shared" si="69"/>
        <v>-9.9000000000000005E-2</v>
      </c>
      <c r="BO43" s="605">
        <f t="shared" si="70"/>
        <v>-2.117</v>
      </c>
      <c r="BP43" s="605">
        <f t="shared" si="71"/>
        <v>-0.75000000000000011</v>
      </c>
      <c r="BQ43" s="605">
        <f t="shared" si="72"/>
        <v>-6.4409999999999998</v>
      </c>
      <c r="BR43" s="605">
        <f t="shared" si="73"/>
        <v>0</v>
      </c>
      <c r="BS43" s="605">
        <f t="shared" si="74"/>
        <v>-1</v>
      </c>
      <c r="BT43" s="605">
        <f t="shared" si="75"/>
        <v>0</v>
      </c>
      <c r="BU43" s="605">
        <f t="shared" si="76"/>
        <v>0</v>
      </c>
      <c r="BV43" s="605">
        <f t="shared" si="77"/>
        <v>2581</v>
      </c>
      <c r="BW43" s="605">
        <f t="shared" si="78"/>
        <v>-1205</v>
      </c>
      <c r="BX43" s="605">
        <f t="shared" si="79"/>
        <v>2176</v>
      </c>
      <c r="BY43" s="605">
        <f t="shared" si="80"/>
        <v>0</v>
      </c>
      <c r="BZ43" s="610">
        <f t="shared" si="81"/>
        <v>0</v>
      </c>
      <c r="CA43" s="610">
        <f t="shared" si="82"/>
        <v>0</v>
      </c>
      <c r="CB43" s="734"/>
      <c r="CC43" s="734"/>
      <c r="CD43" s="204"/>
    </row>
    <row r="44" spans="1:82" ht="14.25" customHeight="1">
      <c r="A44" s="203"/>
      <c r="B44" s="227" t="s">
        <v>176</v>
      </c>
      <c r="C44" s="331"/>
      <c r="D44" s="767">
        <v>-48.235999999999997</v>
      </c>
      <c r="E44" s="768">
        <v>-47.625000000000007</v>
      </c>
      <c r="F44" s="768">
        <v>-78.208000000000027</v>
      </c>
      <c r="G44" s="769">
        <v>-76.712999999999994</v>
      </c>
      <c r="H44" s="767">
        <v>-69.614000000000004</v>
      </c>
      <c r="I44" s="768">
        <v>-69.875</v>
      </c>
      <c r="J44" s="768">
        <v>-83.048000000000002</v>
      </c>
      <c r="K44" s="769">
        <v>-83.135000000000019</v>
      </c>
      <c r="L44" s="767">
        <v>-83.067999999999998</v>
      </c>
      <c r="M44" s="768">
        <v>-81.206000000000003</v>
      </c>
      <c r="N44" s="768">
        <v>-81.285000000000011</v>
      </c>
      <c r="O44" s="769">
        <v>-79.845999999999933</v>
      </c>
      <c r="P44" s="767">
        <v>-79.762</v>
      </c>
      <c r="Q44" s="768">
        <v>-79.97399999999999</v>
      </c>
      <c r="R44" s="768">
        <v>-80.02000000000001</v>
      </c>
      <c r="S44" s="769">
        <v>-79.751000000000005</v>
      </c>
      <c r="T44" s="767">
        <v>-80.463999999999999</v>
      </c>
      <c r="U44" s="768">
        <v>-80.60499999999999</v>
      </c>
      <c r="V44" s="768">
        <v>-93.963000000000022</v>
      </c>
      <c r="W44" s="769">
        <v>-93.489999999999981</v>
      </c>
      <c r="X44" s="767">
        <v>-93</v>
      </c>
      <c r="Y44" s="768">
        <v>-93</v>
      </c>
      <c r="Z44" s="768">
        <v>-105</v>
      </c>
      <c r="AA44" s="769">
        <v>-106</v>
      </c>
      <c r="AB44" s="767">
        <v>-104</v>
      </c>
      <c r="AC44" s="768">
        <v>-104</v>
      </c>
      <c r="AD44" s="768">
        <v>-115</v>
      </c>
      <c r="AE44" s="769">
        <v>-111</v>
      </c>
      <c r="AF44" s="767">
        <v>-108</v>
      </c>
      <c r="AG44" s="768">
        <v>-108</v>
      </c>
      <c r="AH44" s="768">
        <v>-120</v>
      </c>
      <c r="AI44" s="769">
        <v>-120</v>
      </c>
      <c r="AJ44" s="767">
        <v>-120</v>
      </c>
      <c r="AK44" s="768">
        <v>-122</v>
      </c>
      <c r="AL44" s="768">
        <v>-121</v>
      </c>
      <c r="AM44" s="769">
        <v>-122</v>
      </c>
      <c r="AN44" s="767">
        <v>-122</v>
      </c>
      <c r="AO44" s="768">
        <v>-123</v>
      </c>
      <c r="AP44" s="768">
        <v>-123</v>
      </c>
      <c r="AQ44" s="769">
        <v>-119</v>
      </c>
      <c r="AR44" s="767">
        <v>-115</v>
      </c>
      <c r="AS44" s="768">
        <v>-113</v>
      </c>
      <c r="AT44" s="768">
        <v>-108</v>
      </c>
      <c r="AU44" s="769">
        <v>-108</v>
      </c>
      <c r="AV44" s="767">
        <v>-108</v>
      </c>
      <c r="AW44" s="768">
        <v>-108</v>
      </c>
      <c r="AX44" s="605">
        <f>-323-AW44-AV44</f>
        <v>-107</v>
      </c>
      <c r="AY44" s="610">
        <f>-430-AX44-AW44-AV44</f>
        <v>-107</v>
      </c>
      <c r="AZ44" s="767">
        <v>-106</v>
      </c>
      <c r="BA44" s="605">
        <f>0.1*IS!BA139*-1</f>
        <v>-106.60000000000001</v>
      </c>
      <c r="BB44" s="605">
        <f>0.2*IS!BB139*-1</f>
        <v>-212.20000000000002</v>
      </c>
      <c r="BC44" s="610">
        <f>0.2*IS!BC139*-1</f>
        <v>-211.20000000000002</v>
      </c>
      <c r="BD44" s="609">
        <f>0.2*IS!BD139*-1</f>
        <v>-210.8</v>
      </c>
      <c r="BE44" s="605">
        <f>0.2*IS!BE139*-1</f>
        <v>-210.4</v>
      </c>
      <c r="BF44" s="605">
        <f>0.2*IS!BF139*-1</f>
        <v>-210</v>
      </c>
      <c r="BG44" s="610">
        <f>0.2*IS!BG139*-1</f>
        <v>-209.60000000000002</v>
      </c>
      <c r="BH44" s="609">
        <f>0.2*IS!BH139*-1</f>
        <v>-209.5</v>
      </c>
      <c r="BI44" s="605">
        <f>0.2*IS!BI139*-1</f>
        <v>-209.4</v>
      </c>
      <c r="BJ44" s="605">
        <f>0.2*IS!BJ139*-1</f>
        <v>-209.3</v>
      </c>
      <c r="BK44" s="610">
        <f>0.2*IS!BK139*-1</f>
        <v>-209.20000000000002</v>
      </c>
      <c r="BL44" s="215"/>
      <c r="BM44" s="605">
        <f t="shared" si="68"/>
        <v>-250.78200000000001</v>
      </c>
      <c r="BN44" s="605">
        <f t="shared" si="69"/>
        <v>-305.67200000000003</v>
      </c>
      <c r="BO44" s="605">
        <f t="shared" si="70"/>
        <v>-325.40499999999997</v>
      </c>
      <c r="BP44" s="605">
        <f t="shared" si="71"/>
        <v>-319.50700000000001</v>
      </c>
      <c r="BQ44" s="605">
        <f t="shared" si="72"/>
        <v>-348.52199999999999</v>
      </c>
      <c r="BR44" s="605">
        <f t="shared" si="73"/>
        <v>-397</v>
      </c>
      <c r="BS44" s="605">
        <f t="shared" si="74"/>
        <v>-434</v>
      </c>
      <c r="BT44" s="605">
        <f t="shared" si="75"/>
        <v>-456</v>
      </c>
      <c r="BU44" s="605">
        <f t="shared" si="76"/>
        <v>-485</v>
      </c>
      <c r="BV44" s="605">
        <f t="shared" si="77"/>
        <v>-487</v>
      </c>
      <c r="BW44" s="605">
        <f t="shared" si="78"/>
        <v>-444</v>
      </c>
      <c r="BX44" s="605">
        <f t="shared" si="79"/>
        <v>-430</v>
      </c>
      <c r="BY44" s="605">
        <f t="shared" si="80"/>
        <v>-636.00000000000011</v>
      </c>
      <c r="BZ44" s="610">
        <f t="shared" si="81"/>
        <v>-840.80000000000007</v>
      </c>
      <c r="CA44" s="610">
        <f t="shared" si="82"/>
        <v>-837.40000000000009</v>
      </c>
      <c r="CB44" s="734"/>
      <c r="CC44" s="734"/>
      <c r="CD44" s="204"/>
    </row>
    <row r="45" spans="1:82" ht="14.25" customHeight="1">
      <c r="A45" s="203"/>
      <c r="B45" s="227" t="s">
        <v>269</v>
      </c>
      <c r="C45" s="331"/>
      <c r="D45" s="767">
        <v>-522.26900000000001</v>
      </c>
      <c r="E45" s="768">
        <v>-500</v>
      </c>
      <c r="F45" s="768">
        <v>-499.83600000000001</v>
      </c>
      <c r="G45" s="769">
        <v>-2635.62</v>
      </c>
      <c r="H45" s="767">
        <v>-132.017</v>
      </c>
      <c r="I45" s="768">
        <v>-399.99799999999999</v>
      </c>
      <c r="J45" s="768">
        <v>-399.98100000000005</v>
      </c>
      <c r="K45" s="769">
        <v>-400.00100000000003</v>
      </c>
      <c r="L45" s="767">
        <v>-600</v>
      </c>
      <c r="M45" s="768">
        <v>-299.98400000000004</v>
      </c>
      <c r="N45" s="768">
        <v>-299.99999999999989</v>
      </c>
      <c r="O45" s="769">
        <v>-299.99999999999989</v>
      </c>
      <c r="P45" s="767">
        <v>-22.905999999999999</v>
      </c>
      <c r="Q45" s="768">
        <v>0</v>
      </c>
      <c r="R45" s="768">
        <v>0</v>
      </c>
      <c r="S45" s="769">
        <v>0</v>
      </c>
      <c r="T45" s="767">
        <v>0</v>
      </c>
      <c r="U45" s="768">
        <v>-100</v>
      </c>
      <c r="V45" s="768">
        <v>-100</v>
      </c>
      <c r="W45" s="769">
        <v>-150</v>
      </c>
      <c r="X45" s="767">
        <v>-150</v>
      </c>
      <c r="Y45" s="768">
        <v>-118</v>
      </c>
      <c r="Z45" s="768">
        <v>-25</v>
      </c>
      <c r="AA45" s="769">
        <v>-175</v>
      </c>
      <c r="AB45" s="767">
        <v>-200</v>
      </c>
      <c r="AC45" s="768">
        <v>-200</v>
      </c>
      <c r="AD45" s="768">
        <v>-500</v>
      </c>
      <c r="AE45" s="769">
        <v>-516</v>
      </c>
      <c r="AF45" s="767">
        <v>-48</v>
      </c>
      <c r="AG45" s="768">
        <v>-100</v>
      </c>
      <c r="AH45" s="768">
        <v>-50</v>
      </c>
      <c r="AI45" s="769">
        <v>-47</v>
      </c>
      <c r="AJ45" s="767">
        <v>0</v>
      </c>
      <c r="AK45" s="768">
        <v>0</v>
      </c>
      <c r="AL45" s="768">
        <v>0</v>
      </c>
      <c r="AM45" s="769">
        <v>0</v>
      </c>
      <c r="AN45" s="767">
        <v>0</v>
      </c>
      <c r="AO45" s="768">
        <v>0</v>
      </c>
      <c r="AP45" s="768">
        <v>-625</v>
      </c>
      <c r="AQ45" s="769">
        <v>-700</v>
      </c>
      <c r="AR45" s="767">
        <v>-625</v>
      </c>
      <c r="AS45" s="768">
        <v>-900</v>
      </c>
      <c r="AT45" s="768">
        <v>-196</v>
      </c>
      <c r="AU45" s="769">
        <v>-171</v>
      </c>
      <c r="AV45" s="767">
        <v>-130</v>
      </c>
      <c r="AW45" s="768">
        <v>-282</v>
      </c>
      <c r="AX45" s="605">
        <f>-787-AW45-AV45</f>
        <v>-375</v>
      </c>
      <c r="AY45" s="610">
        <f>-1172-AX45-AW45-AV45</f>
        <v>-385</v>
      </c>
      <c r="AZ45" s="767">
        <v>-782</v>
      </c>
      <c r="BA45" s="605">
        <f t="shared" ref="BA45:BC45" si="83">AZ45</f>
        <v>-782</v>
      </c>
      <c r="BB45" s="605">
        <f t="shared" si="83"/>
        <v>-782</v>
      </c>
      <c r="BC45" s="610">
        <f t="shared" si="83"/>
        <v>-782</v>
      </c>
      <c r="BD45" s="609">
        <f t="shared" ref="BD45" si="84">BC45</f>
        <v>-782</v>
      </c>
      <c r="BE45" s="605">
        <f t="shared" ref="BE45" si="85">BD45</f>
        <v>-782</v>
      </c>
      <c r="BF45" s="605">
        <f t="shared" ref="BF45" si="86">BE45</f>
        <v>-782</v>
      </c>
      <c r="BG45" s="610">
        <f t="shared" ref="BG45" si="87">BF45</f>
        <v>-782</v>
      </c>
      <c r="BH45" s="609">
        <f t="shared" ref="BH45" si="88">BG45</f>
        <v>-782</v>
      </c>
      <c r="BI45" s="605">
        <f t="shared" ref="BI45" si="89">BH45</f>
        <v>-782</v>
      </c>
      <c r="BJ45" s="605">
        <f t="shared" ref="BJ45" si="90">BI45</f>
        <v>-782</v>
      </c>
      <c r="BK45" s="610">
        <f t="shared" ref="BK45" si="91">BJ45</f>
        <v>-782</v>
      </c>
      <c r="BL45" s="215"/>
      <c r="BM45" s="605">
        <f t="shared" si="68"/>
        <v>-4157.7250000000004</v>
      </c>
      <c r="BN45" s="605">
        <f t="shared" si="69"/>
        <v>-1331.9970000000001</v>
      </c>
      <c r="BO45" s="605">
        <f t="shared" si="70"/>
        <v>-1499.9839999999999</v>
      </c>
      <c r="BP45" s="605">
        <f t="shared" si="71"/>
        <v>-22.905999999999999</v>
      </c>
      <c r="BQ45" s="605">
        <f t="shared" si="72"/>
        <v>-350</v>
      </c>
      <c r="BR45" s="605">
        <f t="shared" si="73"/>
        <v>-468</v>
      </c>
      <c r="BS45" s="605">
        <f t="shared" si="74"/>
        <v>-1416</v>
      </c>
      <c r="BT45" s="605">
        <f t="shared" si="75"/>
        <v>-245</v>
      </c>
      <c r="BU45" s="605">
        <f t="shared" si="76"/>
        <v>0</v>
      </c>
      <c r="BV45" s="605">
        <f t="shared" si="77"/>
        <v>-1325</v>
      </c>
      <c r="BW45" s="605">
        <f t="shared" si="78"/>
        <v>-1892</v>
      </c>
      <c r="BX45" s="605">
        <f>SUM(AV45:AY45)</f>
        <v>-1172</v>
      </c>
      <c r="BY45" s="605">
        <f t="shared" si="80"/>
        <v>-3128</v>
      </c>
      <c r="BZ45" s="610">
        <f t="shared" si="81"/>
        <v>-3128</v>
      </c>
      <c r="CA45" s="610">
        <f t="shared" si="82"/>
        <v>-3128</v>
      </c>
      <c r="CB45" s="734"/>
      <c r="CC45" s="734"/>
      <c r="CD45" s="204"/>
    </row>
    <row r="46" spans="1:82" ht="14.25" customHeight="1">
      <c r="A46" s="203"/>
      <c r="B46" s="227" t="s">
        <v>177</v>
      </c>
      <c r="C46" s="331"/>
      <c r="D46" s="767">
        <v>0</v>
      </c>
      <c r="E46" s="768">
        <v>0</v>
      </c>
      <c r="F46" s="768">
        <v>0</v>
      </c>
      <c r="G46" s="769">
        <v>0</v>
      </c>
      <c r="H46" s="767">
        <v>0</v>
      </c>
      <c r="I46" s="768">
        <v>3.2429999999999999</v>
      </c>
      <c r="J46" s="768">
        <v>13.746999999999998</v>
      </c>
      <c r="K46" s="769">
        <v>-16.989999999999998</v>
      </c>
      <c r="L46" s="767">
        <v>0</v>
      </c>
      <c r="M46" s="768">
        <v>5.4059999999999997</v>
      </c>
      <c r="N46" s="768">
        <v>0</v>
      </c>
      <c r="O46" s="769">
        <v>-5.4059999999999997</v>
      </c>
      <c r="P46" s="767">
        <v>0</v>
      </c>
      <c r="Q46" s="768">
        <v>0</v>
      </c>
      <c r="R46" s="768">
        <v>0</v>
      </c>
      <c r="S46" s="769">
        <v>0</v>
      </c>
      <c r="T46" s="767">
        <v>0</v>
      </c>
      <c r="U46" s="768">
        <v>0</v>
      </c>
      <c r="V46" s="768">
        <v>0</v>
      </c>
      <c r="W46" s="769">
        <v>0</v>
      </c>
      <c r="X46" s="767">
        <v>0</v>
      </c>
      <c r="Y46" s="768">
        <v>0</v>
      </c>
      <c r="Z46" s="768">
        <v>-14</v>
      </c>
      <c r="AA46" s="769">
        <v>0</v>
      </c>
      <c r="AB46" s="767">
        <v>0</v>
      </c>
      <c r="AC46" s="768">
        <v>0</v>
      </c>
      <c r="AD46" s="768">
        <v>0</v>
      </c>
      <c r="AE46" s="769">
        <v>0</v>
      </c>
      <c r="AF46" s="767">
        <v>0</v>
      </c>
      <c r="AG46" s="768">
        <v>0</v>
      </c>
      <c r="AH46" s="768">
        <v>0</v>
      </c>
      <c r="AI46" s="769">
        <v>0</v>
      </c>
      <c r="AJ46" s="767">
        <v>0</v>
      </c>
      <c r="AK46" s="768">
        <v>0</v>
      </c>
      <c r="AL46" s="768">
        <v>0</v>
      </c>
      <c r="AM46" s="769">
        <v>30</v>
      </c>
      <c r="AN46" s="767">
        <v>0</v>
      </c>
      <c r="AO46" s="768">
        <v>0</v>
      </c>
      <c r="AP46" s="768">
        <v>0</v>
      </c>
      <c r="AQ46" s="769">
        <v>56</v>
      </c>
      <c r="AR46" s="767">
        <v>10</v>
      </c>
      <c r="AS46" s="768">
        <v>3</v>
      </c>
      <c r="AT46" s="768">
        <v>5</v>
      </c>
      <c r="AU46" s="769">
        <v>5</v>
      </c>
      <c r="AV46" s="767">
        <v>44</v>
      </c>
      <c r="AW46" s="768">
        <v>4</v>
      </c>
      <c r="AX46" s="605">
        <f>51-AW46-AV46</f>
        <v>3</v>
      </c>
      <c r="AY46" s="610">
        <f>55-AX46-AW46-AV46</f>
        <v>4</v>
      </c>
      <c r="AZ46" s="767">
        <v>-141</v>
      </c>
      <c r="BA46" s="605">
        <f>BS!BA37-BS!AZ37+BS!BA60-BS!AZ60</f>
        <v>0</v>
      </c>
      <c r="BB46" s="605">
        <f>BS!BB37-BS!BA37+BS!BB60-BS!BA60</f>
        <v>0</v>
      </c>
      <c r="BC46" s="610">
        <f>BS!BC37-BS!BB37+BS!BC60-BS!BB60</f>
        <v>0</v>
      </c>
      <c r="BD46" s="609">
        <f>BS!BD37-BS!BC37+BS!BD60-BS!BC60</f>
        <v>0</v>
      </c>
      <c r="BE46" s="605">
        <f>BS!BE37-BS!BD37+BS!BE60-BS!BD60</f>
        <v>0</v>
      </c>
      <c r="BF46" s="605">
        <f>BS!BF37-BS!BE37+BS!BF60-BS!BE60</f>
        <v>0</v>
      </c>
      <c r="BG46" s="610">
        <f>BS!BG37-BS!BF37+BS!BG60-BS!BF60</f>
        <v>0</v>
      </c>
      <c r="BH46" s="609">
        <f>BS!BH37-BS!BG37+BS!BH60-BS!BG60</f>
        <v>0</v>
      </c>
      <c r="BI46" s="605">
        <f>BS!BI37-BS!BH37+BS!BI60-BS!BH60</f>
        <v>0</v>
      </c>
      <c r="BJ46" s="605">
        <f>BS!BJ37-BS!BI37+BS!BJ60-BS!BI60</f>
        <v>0</v>
      </c>
      <c r="BK46" s="610">
        <f>BS!BK37-BS!BJ37+BS!BK60-BS!BJ60</f>
        <v>0</v>
      </c>
      <c r="BL46" s="215"/>
      <c r="BM46" s="605">
        <f t="shared" si="68"/>
        <v>0</v>
      </c>
      <c r="BN46" s="605">
        <f t="shared" si="69"/>
        <v>0</v>
      </c>
      <c r="BO46" s="605">
        <f t="shared" si="70"/>
        <v>0</v>
      </c>
      <c r="BP46" s="605">
        <f t="shared" si="71"/>
        <v>0</v>
      </c>
      <c r="BQ46" s="605">
        <f t="shared" si="72"/>
        <v>0</v>
      </c>
      <c r="BR46" s="605">
        <f t="shared" si="73"/>
        <v>-14</v>
      </c>
      <c r="BS46" s="605">
        <f t="shared" si="74"/>
        <v>0</v>
      </c>
      <c r="BT46" s="605">
        <f t="shared" si="75"/>
        <v>0</v>
      </c>
      <c r="BU46" s="605">
        <f t="shared" si="76"/>
        <v>30</v>
      </c>
      <c r="BV46" s="605">
        <f t="shared" si="77"/>
        <v>56</v>
      </c>
      <c r="BW46" s="605">
        <f t="shared" si="78"/>
        <v>23</v>
      </c>
      <c r="BX46" s="605">
        <f t="shared" si="79"/>
        <v>55</v>
      </c>
      <c r="BY46" s="605">
        <f t="shared" si="80"/>
        <v>-141</v>
      </c>
      <c r="BZ46" s="610">
        <f t="shared" si="81"/>
        <v>0</v>
      </c>
      <c r="CA46" s="610">
        <f t="shared" si="82"/>
        <v>0</v>
      </c>
      <c r="CB46" s="734"/>
      <c r="CC46" s="734"/>
      <c r="CD46" s="204"/>
    </row>
    <row r="47" spans="1:82" ht="14.25" customHeight="1" thickBot="1">
      <c r="A47" s="203"/>
      <c r="B47" s="618" t="s">
        <v>268</v>
      </c>
      <c r="C47" s="617"/>
      <c r="D47" s="616">
        <f>SUM(D41:D46)</f>
        <v>-487.18799999999999</v>
      </c>
      <c r="E47" s="614">
        <f t="shared" ref="E47:AQ47" si="92">SUM(E41:E46)</f>
        <v>-474.55900000000003</v>
      </c>
      <c r="F47" s="614">
        <f t="shared" si="92"/>
        <v>-567.75</v>
      </c>
      <c r="G47" s="615">
        <f t="shared" si="92"/>
        <v>-2549.614</v>
      </c>
      <c r="H47" s="616">
        <f t="shared" si="92"/>
        <v>-126.53700000000001</v>
      </c>
      <c r="I47" s="614">
        <f t="shared" si="92"/>
        <v>-372.142</v>
      </c>
      <c r="J47" s="614">
        <f t="shared" si="92"/>
        <v>-202.67100000000002</v>
      </c>
      <c r="K47" s="615">
        <f t="shared" si="92"/>
        <v>-240.43300000000013</v>
      </c>
      <c r="L47" s="616">
        <f t="shared" si="92"/>
        <v>-667.04399999999998</v>
      </c>
      <c r="M47" s="614">
        <f t="shared" si="92"/>
        <v>-83.357000000000028</v>
      </c>
      <c r="N47" s="614">
        <f t="shared" si="92"/>
        <v>-357.01499999999993</v>
      </c>
      <c r="O47" s="615">
        <f t="shared" si="92"/>
        <v>-326.1119999999998</v>
      </c>
      <c r="P47" s="616">
        <f t="shared" si="92"/>
        <v>-101.976</v>
      </c>
      <c r="Q47" s="614">
        <f t="shared" si="92"/>
        <v>-53.355999999999995</v>
      </c>
      <c r="R47" s="614">
        <f t="shared" si="92"/>
        <v>-78.165000000000006</v>
      </c>
      <c r="S47" s="615">
        <f t="shared" si="92"/>
        <v>-47.842000000000006</v>
      </c>
      <c r="T47" s="616">
        <f t="shared" si="92"/>
        <v>-59.631999999999998</v>
      </c>
      <c r="U47" s="614">
        <f t="shared" si="92"/>
        <v>-109.61599999999999</v>
      </c>
      <c r="V47" s="614">
        <f t="shared" si="92"/>
        <v>-192.548</v>
      </c>
      <c r="W47" s="615">
        <f t="shared" si="92"/>
        <v>-214.33499999999998</v>
      </c>
      <c r="X47" s="616">
        <f t="shared" si="92"/>
        <v>-230</v>
      </c>
      <c r="Y47" s="614">
        <f t="shared" si="92"/>
        <v>-166</v>
      </c>
      <c r="Z47" s="614">
        <f t="shared" si="92"/>
        <v>1606</v>
      </c>
      <c r="AA47" s="615">
        <f t="shared" si="92"/>
        <v>-250</v>
      </c>
      <c r="AB47" s="616">
        <f t="shared" si="92"/>
        <v>-302</v>
      </c>
      <c r="AC47" s="614">
        <f t="shared" si="92"/>
        <v>-261</v>
      </c>
      <c r="AD47" s="614">
        <f t="shared" si="92"/>
        <v>-609</v>
      </c>
      <c r="AE47" s="615">
        <f t="shared" si="92"/>
        <v>-582</v>
      </c>
      <c r="AF47" s="616">
        <f t="shared" si="92"/>
        <v>-138</v>
      </c>
      <c r="AG47" s="614">
        <f t="shared" si="92"/>
        <v>-141</v>
      </c>
      <c r="AH47" s="614">
        <f t="shared" si="92"/>
        <v>-130</v>
      </c>
      <c r="AI47" s="615">
        <f t="shared" si="92"/>
        <v>-110</v>
      </c>
      <c r="AJ47" s="616">
        <f>SUM(AJ41:AJ46)</f>
        <v>-92</v>
      </c>
      <c r="AK47" s="614">
        <f>SUM(AK41:AK46)</f>
        <v>-59</v>
      </c>
      <c r="AL47" s="614">
        <f>SUM(AL41:AL46)</f>
        <v>-119</v>
      </c>
      <c r="AM47" s="615">
        <f>SUM(AM41:AM46)</f>
        <v>-78</v>
      </c>
      <c r="AN47" s="616">
        <f t="shared" si="92"/>
        <v>-83</v>
      </c>
      <c r="AO47" s="614">
        <f t="shared" si="92"/>
        <v>-69</v>
      </c>
      <c r="AP47" s="614">
        <f t="shared" si="92"/>
        <v>-744</v>
      </c>
      <c r="AQ47" s="615">
        <f t="shared" si="92"/>
        <v>1809</v>
      </c>
      <c r="AR47" s="616">
        <f t="shared" ref="AR47:AY47" si="93">SUM(AR41:AR46)</f>
        <v>-1933</v>
      </c>
      <c r="AS47" s="614">
        <f t="shared" si="93"/>
        <v>-968</v>
      </c>
      <c r="AT47" s="614">
        <f t="shared" si="93"/>
        <v>-301</v>
      </c>
      <c r="AU47" s="615">
        <f t="shared" si="93"/>
        <v>-230</v>
      </c>
      <c r="AV47" s="616">
        <f t="shared" ref="AV47:AW47" si="94">SUM(AV41:AV46)</f>
        <v>-194</v>
      </c>
      <c r="AW47" s="614">
        <f t="shared" si="94"/>
        <v>1836</v>
      </c>
      <c r="AX47" s="614">
        <f t="shared" si="93"/>
        <v>-683</v>
      </c>
      <c r="AY47" s="615">
        <f t="shared" si="93"/>
        <v>-438</v>
      </c>
      <c r="AZ47" s="616">
        <f t="shared" ref="AZ47:BG47" si="95">SUM(AZ41:AZ46)</f>
        <v>-1029</v>
      </c>
      <c r="BA47" s="614">
        <f t="shared" si="95"/>
        <v>-888.6</v>
      </c>
      <c r="BB47" s="614">
        <f t="shared" si="95"/>
        <v>-994.2</v>
      </c>
      <c r="BC47" s="615">
        <f t="shared" si="95"/>
        <v>-993.2</v>
      </c>
      <c r="BD47" s="616">
        <f t="shared" si="95"/>
        <v>-992.8</v>
      </c>
      <c r="BE47" s="614">
        <f t="shared" si="95"/>
        <v>-992.4</v>
      </c>
      <c r="BF47" s="614">
        <f t="shared" si="95"/>
        <v>-992</v>
      </c>
      <c r="BG47" s="615">
        <f t="shared" si="95"/>
        <v>-991.6</v>
      </c>
      <c r="BH47" s="616">
        <f t="shared" ref="BH47:BK47" si="96">SUM(BH41:BH46)</f>
        <v>-991.5</v>
      </c>
      <c r="BI47" s="614">
        <f t="shared" si="96"/>
        <v>-991.4</v>
      </c>
      <c r="BJ47" s="614">
        <f t="shared" si="96"/>
        <v>-991.3</v>
      </c>
      <c r="BK47" s="615">
        <f t="shared" si="96"/>
        <v>-991.2</v>
      </c>
      <c r="BL47" s="215"/>
      <c r="BM47" s="614">
        <f t="shared" ref="BM47:BX47" si="97">SUM(BM41:BM46)</f>
        <v>-4079.1110000000003</v>
      </c>
      <c r="BN47" s="614">
        <f t="shared" si="97"/>
        <v>-941.78300000000024</v>
      </c>
      <c r="BO47" s="614">
        <f t="shared" si="97"/>
        <v>-1433.5279999999998</v>
      </c>
      <c r="BP47" s="614">
        <f t="shared" si="97"/>
        <v>-281.339</v>
      </c>
      <c r="BQ47" s="614">
        <f t="shared" si="97"/>
        <v>-576.13099999999997</v>
      </c>
      <c r="BR47" s="614">
        <f t="shared" si="97"/>
        <v>960</v>
      </c>
      <c r="BS47" s="614">
        <f t="shared" si="97"/>
        <v>-1754</v>
      </c>
      <c r="BT47" s="614">
        <f t="shared" si="97"/>
        <v>-519</v>
      </c>
      <c r="BU47" s="614">
        <f t="shared" si="97"/>
        <v>-348</v>
      </c>
      <c r="BV47" s="614">
        <f t="shared" si="97"/>
        <v>913</v>
      </c>
      <c r="BW47" s="614">
        <f t="shared" si="97"/>
        <v>-3432</v>
      </c>
      <c r="BX47" s="614">
        <f t="shared" si="97"/>
        <v>521</v>
      </c>
      <c r="BY47" s="614">
        <f>SUM(BY41:BY46)</f>
        <v>-3905</v>
      </c>
      <c r="BZ47" s="615">
        <f>SUM(BZ41:BZ46)</f>
        <v>-3968.8</v>
      </c>
      <c r="CA47" s="615">
        <f>SUM(CA41:CA46)</f>
        <v>-3965.4</v>
      </c>
      <c r="CB47" s="734"/>
      <c r="CC47" s="734"/>
      <c r="CD47" s="204"/>
    </row>
    <row r="48" spans="1:82" ht="14.25" customHeight="1" thickTop="1">
      <c r="A48" s="203"/>
      <c r="B48" s="321"/>
      <c r="C48" s="320"/>
      <c r="D48" s="602"/>
      <c r="E48" s="594"/>
      <c r="F48" s="594"/>
      <c r="G48" s="595"/>
      <c r="H48" s="602"/>
      <c r="I48" s="594"/>
      <c r="J48" s="594"/>
      <c r="K48" s="595"/>
      <c r="L48" s="602"/>
      <c r="M48" s="594"/>
      <c r="N48" s="594"/>
      <c r="O48" s="595"/>
      <c r="P48" s="602"/>
      <c r="Q48" s="594"/>
      <c r="R48" s="594"/>
      <c r="S48" s="595"/>
      <c r="T48" s="602"/>
      <c r="U48" s="594"/>
      <c r="V48" s="594"/>
      <c r="W48" s="595"/>
      <c r="X48" s="602"/>
      <c r="Y48" s="594"/>
      <c r="Z48" s="594"/>
      <c r="AA48" s="595"/>
      <c r="AB48" s="602"/>
      <c r="AC48" s="594"/>
      <c r="AD48" s="594"/>
      <c r="AE48" s="595"/>
      <c r="AF48" s="602"/>
      <c r="AG48" s="594"/>
      <c r="AH48" s="594"/>
      <c r="AI48" s="595"/>
      <c r="AJ48" s="602"/>
      <c r="AK48" s="594"/>
      <c r="AL48" s="594"/>
      <c r="AM48" s="595"/>
      <c r="AN48" s="602"/>
      <c r="AO48" s="594"/>
      <c r="AP48" s="594"/>
      <c r="AQ48" s="595"/>
      <c r="AR48" s="602"/>
      <c r="AS48" s="594"/>
      <c r="AT48" s="594"/>
      <c r="AU48" s="595"/>
      <c r="AV48" s="602"/>
      <c r="AW48" s="594"/>
      <c r="AX48" s="594"/>
      <c r="AY48" s="595"/>
      <c r="AZ48" s="602"/>
      <c r="BA48" s="594"/>
      <c r="BB48" s="594"/>
      <c r="BC48" s="595"/>
      <c r="BD48" s="602"/>
      <c r="BE48" s="594"/>
      <c r="BF48" s="594"/>
      <c r="BG48" s="595"/>
      <c r="BH48" s="602"/>
      <c r="BI48" s="594"/>
      <c r="BJ48" s="594"/>
      <c r="BK48" s="595"/>
      <c r="BL48" s="215"/>
      <c r="BM48" s="594"/>
      <c r="BN48" s="594"/>
      <c r="BO48" s="594"/>
      <c r="BP48" s="594"/>
      <c r="BQ48" s="594"/>
      <c r="BR48" s="594"/>
      <c r="BS48" s="594"/>
      <c r="BT48" s="594"/>
      <c r="BU48" s="594"/>
      <c r="BV48" s="594"/>
      <c r="BW48" s="594"/>
      <c r="BX48" s="594"/>
      <c r="BY48" s="594"/>
      <c r="BZ48" s="595"/>
      <c r="CA48" s="595"/>
      <c r="CB48" s="734"/>
      <c r="CC48" s="734"/>
      <c r="CD48" s="204"/>
    </row>
    <row r="49" spans="1:88" ht="14.25" customHeight="1">
      <c r="A49" s="203"/>
      <c r="B49" s="321" t="s">
        <v>180</v>
      </c>
      <c r="C49" s="320"/>
      <c r="D49" s="767">
        <v>4.0000000000000001E-3</v>
      </c>
      <c r="E49" s="768">
        <v>0</v>
      </c>
      <c r="F49" s="768">
        <v>6.0000000000000001E-3</v>
      </c>
      <c r="G49" s="769">
        <v>0.45400000000000001</v>
      </c>
      <c r="H49" s="767">
        <v>0.42</v>
      </c>
      <c r="I49" s="768">
        <v>1.8000000000000016E-2</v>
      </c>
      <c r="J49" s="768">
        <v>0.12100000000000005</v>
      </c>
      <c r="K49" s="769">
        <v>5.9999999999998943E-3</v>
      </c>
      <c r="L49" s="767">
        <v>0.221</v>
      </c>
      <c r="M49" s="768">
        <v>-7.0000000000000007E-2</v>
      </c>
      <c r="N49" s="768">
        <v>-4.300000000000001E-2</v>
      </c>
      <c r="O49" s="769">
        <v>-22.458000000000002</v>
      </c>
      <c r="P49" s="767">
        <v>0.74199999999999999</v>
      </c>
      <c r="Q49" s="768">
        <v>0</v>
      </c>
      <c r="R49" s="768">
        <v>0</v>
      </c>
      <c r="S49" s="769">
        <v>0</v>
      </c>
      <c r="T49" s="767">
        <v>0</v>
      </c>
      <c r="U49" s="768">
        <v>0</v>
      </c>
      <c r="V49" s="768">
        <v>-1.145</v>
      </c>
      <c r="W49" s="769">
        <v>-2.6819999999999999</v>
      </c>
      <c r="X49" s="768">
        <v>0.33600000000000002</v>
      </c>
      <c r="Y49" s="768">
        <v>1</v>
      </c>
      <c r="Z49" s="768">
        <v>3</v>
      </c>
      <c r="AA49" s="769">
        <v>2</v>
      </c>
      <c r="AB49" s="767">
        <v>-1</v>
      </c>
      <c r="AC49" s="768">
        <v>-3</v>
      </c>
      <c r="AD49" s="768">
        <v>2</v>
      </c>
      <c r="AE49" s="769">
        <v>-3</v>
      </c>
      <c r="AF49" s="767">
        <v>0</v>
      </c>
      <c r="AG49" s="768">
        <v>0</v>
      </c>
      <c r="AH49" s="768">
        <v>0</v>
      </c>
      <c r="AI49" s="769">
        <v>0</v>
      </c>
      <c r="AJ49" s="767">
        <v>0</v>
      </c>
      <c r="AK49" s="768">
        <v>0</v>
      </c>
      <c r="AL49" s="768">
        <v>0</v>
      </c>
      <c r="AM49" s="769">
        <v>0</v>
      </c>
      <c r="AN49" s="767">
        <v>0</v>
      </c>
      <c r="AO49" s="768">
        <v>-1</v>
      </c>
      <c r="AP49" s="768">
        <v>1</v>
      </c>
      <c r="AQ49" s="769">
        <v>0</v>
      </c>
      <c r="AR49" s="767">
        <v>0</v>
      </c>
      <c r="AS49" s="768">
        <v>0</v>
      </c>
      <c r="AT49" s="768">
        <v>0</v>
      </c>
      <c r="AU49" s="769">
        <v>0</v>
      </c>
      <c r="AV49" s="767">
        <v>0</v>
      </c>
      <c r="AW49" s="768">
        <v>0</v>
      </c>
      <c r="AX49" s="768">
        <v>0</v>
      </c>
      <c r="AY49" s="769">
        <v>0</v>
      </c>
      <c r="AZ49" s="609">
        <v>0</v>
      </c>
      <c r="BA49" s="608">
        <v>0</v>
      </c>
      <c r="BB49" s="608">
        <v>0</v>
      </c>
      <c r="BC49" s="606">
        <v>0</v>
      </c>
      <c r="BD49" s="609">
        <v>0</v>
      </c>
      <c r="BE49" s="608">
        <v>0</v>
      </c>
      <c r="BF49" s="608">
        <v>0</v>
      </c>
      <c r="BG49" s="606">
        <v>0</v>
      </c>
      <c r="BH49" s="609">
        <v>0</v>
      </c>
      <c r="BI49" s="608">
        <v>0</v>
      </c>
      <c r="BJ49" s="608">
        <v>0</v>
      </c>
      <c r="BK49" s="606">
        <v>0</v>
      </c>
      <c r="BL49" s="215"/>
      <c r="BM49" s="605">
        <f>SUM(D49:G49)</f>
        <v>0.46400000000000002</v>
      </c>
      <c r="BN49" s="605">
        <f>SUM(H49:K49)</f>
        <v>0.56499999999999995</v>
      </c>
      <c r="BO49" s="605">
        <f>SUM(L49:O49)</f>
        <v>-22.35</v>
      </c>
      <c r="BP49" s="605">
        <f>SUM(P49:S49)</f>
        <v>0.74199999999999999</v>
      </c>
      <c r="BQ49" s="605">
        <f>SUM(T49:W49)</f>
        <v>-3.827</v>
      </c>
      <c r="BR49" s="605">
        <f>SUM(X49:AA49)</f>
        <v>6.3360000000000003</v>
      </c>
      <c r="BS49" s="605">
        <f>SUM(AB49:AE49)</f>
        <v>-5</v>
      </c>
      <c r="BT49" s="605">
        <f>SUM(AF49:AI49)</f>
        <v>0</v>
      </c>
      <c r="BU49" s="605">
        <f>SUM(AJ49:AM49)</f>
        <v>0</v>
      </c>
      <c r="BV49" s="605">
        <f>SUM(AN49:AQ49)</f>
        <v>0</v>
      </c>
      <c r="BW49" s="605">
        <f>SUM(AR49:AU49)</f>
        <v>0</v>
      </c>
      <c r="BX49" s="605">
        <f>SUM(AV49:AY49)</f>
        <v>0</v>
      </c>
      <c r="BY49" s="605">
        <f>SUM(AZ49:BC49)</f>
        <v>0</v>
      </c>
      <c r="BZ49" s="610">
        <f t="shared" ref="BZ49:CA49" si="98">SUM(BD49:BG49)</f>
        <v>0</v>
      </c>
      <c r="CA49" s="610">
        <f t="shared" si="98"/>
        <v>0</v>
      </c>
      <c r="CB49" s="734"/>
      <c r="CC49" s="734"/>
      <c r="CD49" s="204"/>
    </row>
    <row r="50" spans="1:88" ht="14.25" customHeight="1">
      <c r="A50" s="203"/>
      <c r="B50" s="321"/>
      <c r="C50" s="320"/>
      <c r="D50" s="613"/>
      <c r="E50" s="611"/>
      <c r="F50" s="611"/>
      <c r="G50" s="612"/>
      <c r="H50" s="613"/>
      <c r="I50" s="611"/>
      <c r="J50" s="611"/>
      <c r="K50" s="612"/>
      <c r="L50" s="613"/>
      <c r="M50" s="611"/>
      <c r="N50" s="611"/>
      <c r="O50" s="612"/>
      <c r="P50" s="613"/>
      <c r="Q50" s="611"/>
      <c r="R50" s="611"/>
      <c r="S50" s="612"/>
      <c r="T50" s="613"/>
      <c r="U50" s="611"/>
      <c r="V50" s="611"/>
      <c r="W50" s="612"/>
      <c r="X50" s="613"/>
      <c r="Y50" s="611"/>
      <c r="Z50" s="611"/>
      <c r="AA50" s="612"/>
      <c r="AB50" s="613"/>
      <c r="AC50" s="611"/>
      <c r="AD50" s="611"/>
      <c r="AE50" s="612"/>
      <c r="AF50" s="613"/>
      <c r="AG50" s="611"/>
      <c r="AH50" s="611"/>
      <c r="AI50" s="612"/>
      <c r="AJ50" s="613"/>
      <c r="AK50" s="611"/>
      <c r="AL50" s="611"/>
      <c r="AM50" s="612"/>
      <c r="AN50" s="613"/>
      <c r="AO50" s="611"/>
      <c r="AP50" s="611"/>
      <c r="AQ50" s="612"/>
      <c r="AR50" s="613"/>
      <c r="AS50" s="611"/>
      <c r="AT50" s="611"/>
      <c r="AU50" s="612"/>
      <c r="AV50" s="613"/>
      <c r="AW50" s="611"/>
      <c r="AX50" s="611"/>
      <c r="AY50" s="612"/>
      <c r="AZ50" s="613"/>
      <c r="BA50" s="611"/>
      <c r="BB50" s="611"/>
      <c r="BC50" s="612"/>
      <c r="BD50" s="613"/>
      <c r="BE50" s="611"/>
      <c r="BF50" s="611"/>
      <c r="BG50" s="612"/>
      <c r="BH50" s="613"/>
      <c r="BI50" s="611"/>
      <c r="BJ50" s="611"/>
      <c r="BK50" s="612"/>
      <c r="BL50" s="215"/>
      <c r="BM50" s="611"/>
      <c r="BN50" s="611"/>
      <c r="BO50" s="611"/>
      <c r="BP50" s="611"/>
      <c r="BQ50" s="611"/>
      <c r="BR50" s="611"/>
      <c r="BS50" s="611"/>
      <c r="BT50" s="611"/>
      <c r="BU50" s="611"/>
      <c r="BV50" s="611"/>
      <c r="BW50" s="611"/>
      <c r="BX50" s="611"/>
      <c r="BY50" s="611"/>
      <c r="BZ50" s="612"/>
      <c r="CA50" s="612"/>
      <c r="CB50" s="734"/>
      <c r="CC50" s="734"/>
      <c r="CD50" s="204"/>
    </row>
    <row r="51" spans="1:88" ht="14.25" customHeight="1">
      <c r="A51" s="203"/>
      <c r="B51" s="321" t="s">
        <v>267</v>
      </c>
      <c r="C51" s="320"/>
      <c r="D51" s="602">
        <v>990.34199999999998</v>
      </c>
      <c r="E51" s="594">
        <v>1107.2990000000002</v>
      </c>
      <c r="F51" s="594">
        <v>1376.6800000000003</v>
      </c>
      <c r="G51" s="595">
        <v>1308.4570000000001</v>
      </c>
      <c r="H51" s="602">
        <v>861.46300000000019</v>
      </c>
      <c r="I51" s="594">
        <v>1068.6150000000002</v>
      </c>
      <c r="J51" s="594">
        <v>932.04400000000055</v>
      </c>
      <c r="K51" s="595">
        <v>1112.675</v>
      </c>
      <c r="L51" s="602">
        <v>1202.7219999999998</v>
      </c>
      <c r="M51" s="594">
        <v>1215.6489999999997</v>
      </c>
      <c r="N51" s="594">
        <v>1098.2589999999996</v>
      </c>
      <c r="O51" s="595">
        <v>1140.5319999999995</v>
      </c>
      <c r="P51" s="602">
        <v>1411.624</v>
      </c>
      <c r="Q51" s="594">
        <v>1366.1959999999999</v>
      </c>
      <c r="R51" s="594">
        <v>1466.9760000000001</v>
      </c>
      <c r="S51" s="595">
        <v>1555.47</v>
      </c>
      <c r="T51" s="602">
        <v>1576.3809999999999</v>
      </c>
      <c r="U51" s="594">
        <v>1399.0540000000001</v>
      </c>
      <c r="V51" s="594">
        <v>1596.4290000000001</v>
      </c>
      <c r="W51" s="595">
        <v>1564.3369999999998</v>
      </c>
      <c r="X51" s="602">
        <v>1857.664</v>
      </c>
      <c r="Y51" s="594">
        <v>1974</v>
      </c>
      <c r="Z51" s="594">
        <v>2558</v>
      </c>
      <c r="AA51" s="595">
        <v>5018</v>
      </c>
      <c r="AB51" s="602">
        <v>5960</v>
      </c>
      <c r="AC51" s="594">
        <v>1681</v>
      </c>
      <c r="AD51" s="594">
        <v>1761</v>
      </c>
      <c r="AE51" s="595">
        <v>1529</v>
      </c>
      <c r="AF51" s="602">
        <v>1392</v>
      </c>
      <c r="AG51" s="594">
        <v>1523</v>
      </c>
      <c r="AH51" s="594">
        <v>1545</v>
      </c>
      <c r="AI51" s="595">
        <v>1745</v>
      </c>
      <c r="AJ51" s="602">
        <v>1711</v>
      </c>
      <c r="AK51" s="594">
        <v>2144</v>
      </c>
      <c r="AL51" s="594">
        <v>2453</v>
      </c>
      <c r="AM51" s="595">
        <v>2726</v>
      </c>
      <c r="AN51" s="602">
        <v>3002</v>
      </c>
      <c r="AO51" s="594">
        <v>2929</v>
      </c>
      <c r="AP51" s="594">
        <v>3067</v>
      </c>
      <c r="AQ51" s="595">
        <v>2574</v>
      </c>
      <c r="AR51" s="602">
        <v>4797</v>
      </c>
      <c r="AS51" s="594">
        <v>2962</v>
      </c>
      <c r="AT51" s="594">
        <f>+AS54</f>
        <v>2470</v>
      </c>
      <c r="AU51" s="595">
        <f>+AT54</f>
        <v>2828</v>
      </c>
      <c r="AV51" s="602">
        <f>+AU54</f>
        <v>3406</v>
      </c>
      <c r="AW51" s="594">
        <f>AV54</f>
        <v>3491</v>
      </c>
      <c r="AX51" s="594">
        <f t="shared" ref="AX51:BC51" si="99">AW54</f>
        <v>4944</v>
      </c>
      <c r="AY51" s="595">
        <f t="shared" si="99"/>
        <v>5278</v>
      </c>
      <c r="AZ51" s="602">
        <f t="shared" si="99"/>
        <v>5010</v>
      </c>
      <c r="BA51" s="594">
        <f t="shared" si="99"/>
        <v>6799</v>
      </c>
      <c r="BB51" s="594">
        <f t="shared" si="99"/>
        <v>5930.2725488823908</v>
      </c>
      <c r="BC51" s="595">
        <f t="shared" si="99"/>
        <v>6113.4818115431226</v>
      </c>
      <c r="BD51" s="602">
        <f t="shared" ref="BD51" si="100">BC54</f>
        <v>6182.9333549875992</v>
      </c>
      <c r="BE51" s="594">
        <f t="shared" ref="BE51" si="101">BD54</f>
        <v>6274.955038450069</v>
      </c>
      <c r="BF51" s="594">
        <f t="shared" ref="BF51" si="102">BE54</f>
        <v>6221.0668106489438</v>
      </c>
      <c r="BG51" s="595">
        <f t="shared" ref="BG51" si="103">BF54</f>
        <v>6169.6930991123336</v>
      </c>
      <c r="BH51" s="602">
        <f t="shared" ref="BH51" si="104">BG54</f>
        <v>6118.6835916909658</v>
      </c>
      <c r="BI51" s="594">
        <f t="shared" ref="BI51" si="105">BH54</f>
        <v>6159.6984614245566</v>
      </c>
      <c r="BJ51" s="594">
        <f t="shared" ref="BJ51" si="106">BI54</f>
        <v>6149.9775238358379</v>
      </c>
      <c r="BK51" s="595">
        <f t="shared" ref="BK51" si="107">BJ54</f>
        <v>6152.9880129270095</v>
      </c>
      <c r="BL51" s="215"/>
      <c r="BM51" s="594">
        <f>D51</f>
        <v>990.34199999999998</v>
      </c>
      <c r="BN51" s="594">
        <f t="shared" ref="BN51:CA51" si="108">BM54</f>
        <v>861.46300000000019</v>
      </c>
      <c r="BO51" s="594">
        <f t="shared" si="108"/>
        <v>1202.7219999999993</v>
      </c>
      <c r="BP51" s="594">
        <f t="shared" si="108"/>
        <v>1411.624</v>
      </c>
      <c r="BQ51" s="594">
        <f t="shared" si="108"/>
        <v>1576.3810000000003</v>
      </c>
      <c r="BR51" s="594">
        <f t="shared" si="108"/>
        <v>1857.6639999999998</v>
      </c>
      <c r="BS51" s="594">
        <f t="shared" si="108"/>
        <v>5960</v>
      </c>
      <c r="BT51" s="594">
        <f t="shared" si="108"/>
        <v>1392</v>
      </c>
      <c r="BU51" s="594">
        <f t="shared" si="108"/>
        <v>1711</v>
      </c>
      <c r="BV51" s="594">
        <f t="shared" si="108"/>
        <v>3002</v>
      </c>
      <c r="BW51" s="594">
        <f t="shared" si="108"/>
        <v>4797</v>
      </c>
      <c r="BX51" s="594">
        <f t="shared" si="108"/>
        <v>3406</v>
      </c>
      <c r="BY51" s="594">
        <f t="shared" si="108"/>
        <v>5010</v>
      </c>
      <c r="BZ51" s="595">
        <f t="shared" si="108"/>
        <v>6182.9333549876001</v>
      </c>
      <c r="CA51" s="595">
        <f t="shared" si="108"/>
        <v>6118.6835916909658</v>
      </c>
      <c r="CB51" s="734"/>
      <c r="CC51" s="734"/>
      <c r="CD51" s="204"/>
    </row>
    <row r="52" spans="1:88" s="211" customFormat="1" ht="14.25" customHeight="1">
      <c r="A52" s="203"/>
      <c r="B52" s="217" t="s">
        <v>145</v>
      </c>
      <c r="C52" s="216"/>
      <c r="D52" s="609">
        <v>0</v>
      </c>
      <c r="E52" s="605">
        <v>0</v>
      </c>
      <c r="F52" s="605">
        <v>0</v>
      </c>
      <c r="G52" s="610">
        <v>0</v>
      </c>
      <c r="H52" s="609">
        <v>0</v>
      </c>
      <c r="I52" s="605">
        <v>0</v>
      </c>
      <c r="J52" s="605">
        <v>0</v>
      </c>
      <c r="K52" s="610">
        <v>0</v>
      </c>
      <c r="L52" s="609">
        <v>0</v>
      </c>
      <c r="M52" s="605">
        <v>0</v>
      </c>
      <c r="N52" s="605">
        <v>0</v>
      </c>
      <c r="O52" s="610">
        <v>0</v>
      </c>
      <c r="P52" s="609">
        <v>0</v>
      </c>
      <c r="Q52" s="605">
        <v>0</v>
      </c>
      <c r="R52" s="605">
        <v>0</v>
      </c>
      <c r="S52" s="610">
        <v>0</v>
      </c>
      <c r="T52" s="609">
        <v>0</v>
      </c>
      <c r="U52" s="605">
        <v>0</v>
      </c>
      <c r="V52" s="605">
        <v>0</v>
      </c>
      <c r="W52" s="610">
        <v>0</v>
      </c>
      <c r="X52" s="609">
        <v>0</v>
      </c>
      <c r="Y52" s="605">
        <v>0</v>
      </c>
      <c r="Z52" s="605">
        <v>0</v>
      </c>
      <c r="AA52" s="610">
        <v>0</v>
      </c>
      <c r="AB52" s="609">
        <v>0</v>
      </c>
      <c r="AC52" s="605">
        <v>0</v>
      </c>
      <c r="AD52" s="605">
        <v>0</v>
      </c>
      <c r="AE52" s="610">
        <v>0</v>
      </c>
      <c r="AF52" s="609">
        <v>0</v>
      </c>
      <c r="AG52" s="605">
        <v>0</v>
      </c>
      <c r="AH52" s="605">
        <v>0</v>
      </c>
      <c r="AI52" s="610">
        <v>0</v>
      </c>
      <c r="AJ52" s="609">
        <v>0</v>
      </c>
      <c r="AK52" s="605">
        <v>0</v>
      </c>
      <c r="AL52" s="605">
        <v>0</v>
      </c>
      <c r="AM52" s="610">
        <v>0</v>
      </c>
      <c r="AN52" s="609">
        <v>0</v>
      </c>
      <c r="AO52" s="605">
        <v>0</v>
      </c>
      <c r="AP52" s="605">
        <v>0</v>
      </c>
      <c r="AQ52" s="610">
        <v>0</v>
      </c>
      <c r="AR52" s="609">
        <v>0</v>
      </c>
      <c r="AS52" s="605">
        <v>0</v>
      </c>
      <c r="AT52" s="605">
        <v>0</v>
      </c>
      <c r="AU52" s="610">
        <v>0</v>
      </c>
      <c r="AV52" s="767">
        <v>0</v>
      </c>
      <c r="AW52" s="768">
        <v>0</v>
      </c>
      <c r="AX52" s="608"/>
      <c r="AY52" s="606"/>
      <c r="AZ52" s="609"/>
      <c r="BA52" s="608"/>
      <c r="BB52" s="608"/>
      <c r="BC52" s="606"/>
      <c r="BD52" s="609"/>
      <c r="BE52" s="608"/>
      <c r="BF52" s="608"/>
      <c r="BG52" s="606"/>
      <c r="BH52" s="609"/>
      <c r="BI52" s="608"/>
      <c r="BJ52" s="608"/>
      <c r="BK52" s="606"/>
      <c r="BL52" s="215"/>
      <c r="BM52" s="605">
        <f>SUM(D52:G52)</f>
        <v>0</v>
      </c>
      <c r="BN52" s="605">
        <f>SUM(H52:K52)</f>
        <v>0</v>
      </c>
      <c r="BO52" s="605">
        <f>SUM(L52:O52)</f>
        <v>0</v>
      </c>
      <c r="BP52" s="605">
        <f>SUM(P52:S52)</f>
        <v>0</v>
      </c>
      <c r="BQ52" s="605">
        <v>0.24999999999931788</v>
      </c>
      <c r="BR52" s="605">
        <f>SUM(X52:AA52)</f>
        <v>0</v>
      </c>
      <c r="BS52" s="605">
        <f>SUM(AB52:AE52)</f>
        <v>0</v>
      </c>
      <c r="BT52" s="605">
        <f>SUM(AF52:AI52)</f>
        <v>0</v>
      </c>
      <c r="BU52" s="605">
        <f>SUM(AJ52:AM52)</f>
        <v>0</v>
      </c>
      <c r="BV52" s="605">
        <f>SUM(AN52:AQ52)</f>
        <v>0</v>
      </c>
      <c r="BW52" s="605">
        <f>SUM(AR52:AU52)</f>
        <v>0</v>
      </c>
      <c r="BX52" s="605">
        <f>SUM(AV52:AY52)</f>
        <v>0</v>
      </c>
      <c r="BY52" s="608">
        <f>SUM(AZ52:BC52)</f>
        <v>0</v>
      </c>
      <c r="BZ52" s="606">
        <f t="shared" ref="BZ52:CA52" si="109">SUM(BD52:BG52)</f>
        <v>0</v>
      </c>
      <c r="CA52" s="606">
        <f t="shared" si="109"/>
        <v>0</v>
      </c>
      <c r="CB52" s="734"/>
      <c r="CC52" s="734"/>
      <c r="CD52" s="204"/>
      <c r="CE52"/>
      <c r="CF52"/>
      <c r="CG52"/>
      <c r="CH52"/>
      <c r="CI52"/>
      <c r="CJ52"/>
    </row>
    <row r="53" spans="1:88" ht="14.25" customHeight="1">
      <c r="A53" s="203"/>
      <c r="B53" s="604" t="s">
        <v>181</v>
      </c>
      <c r="C53" s="603"/>
      <c r="D53" s="602">
        <v>116.95700000000026</v>
      </c>
      <c r="E53" s="594">
        <v>269.38099999999997</v>
      </c>
      <c r="F53" s="594">
        <v>-68.223000000000269</v>
      </c>
      <c r="G53" s="595">
        <v>-446.99399999999997</v>
      </c>
      <c r="H53" s="602">
        <v>207.15199999999996</v>
      </c>
      <c r="I53" s="594">
        <v>-136.57099999999971</v>
      </c>
      <c r="J53" s="594">
        <v>180.63099999999932</v>
      </c>
      <c r="K53" s="595">
        <v>90.046999999999713</v>
      </c>
      <c r="L53" s="602">
        <v>12.927000000000017</v>
      </c>
      <c r="M53" s="594">
        <v>-117.39000000000016</v>
      </c>
      <c r="N53" s="594">
        <v>42.272999999999861</v>
      </c>
      <c r="O53" s="595">
        <v>271.0920000000005</v>
      </c>
      <c r="P53" s="602">
        <v>-45.428000000000075</v>
      </c>
      <c r="Q53" s="594">
        <v>100.78000000000009</v>
      </c>
      <c r="R53" s="594">
        <v>88.493999999999872</v>
      </c>
      <c r="S53" s="595">
        <v>20.911000000000257</v>
      </c>
      <c r="T53" s="602">
        <v>-177.32699999999977</v>
      </c>
      <c r="U53" s="594">
        <v>197.37500000000011</v>
      </c>
      <c r="V53" s="594">
        <v>-32.092000000000233</v>
      </c>
      <c r="W53" s="595">
        <v>293.327</v>
      </c>
      <c r="X53" s="602">
        <v>116.336</v>
      </c>
      <c r="Y53" s="594">
        <v>584</v>
      </c>
      <c r="Z53" s="594">
        <v>2460</v>
      </c>
      <c r="AA53" s="595">
        <v>942</v>
      </c>
      <c r="AB53" s="602">
        <v>-4279</v>
      </c>
      <c r="AC53" s="594">
        <v>80</v>
      </c>
      <c r="AD53" s="594">
        <v>-232</v>
      </c>
      <c r="AE53" s="595">
        <v>-137</v>
      </c>
      <c r="AF53" s="602">
        <v>131</v>
      </c>
      <c r="AG53" s="594">
        <v>22</v>
      </c>
      <c r="AH53" s="594">
        <v>200</v>
      </c>
      <c r="AI53" s="595">
        <v>-34</v>
      </c>
      <c r="AJ53" s="602">
        <v>433</v>
      </c>
      <c r="AK53" s="594">
        <v>309</v>
      </c>
      <c r="AL53" s="594">
        <v>273</v>
      </c>
      <c r="AM53" s="595">
        <v>276</v>
      </c>
      <c r="AN53" s="602">
        <v>-73</v>
      </c>
      <c r="AO53" s="594">
        <v>138</v>
      </c>
      <c r="AP53" s="594">
        <v>-493</v>
      </c>
      <c r="AQ53" s="595">
        <v>2223</v>
      </c>
      <c r="AR53" s="594">
        <f t="shared" ref="AR53:AY53" si="110">AR47+AR38+AR27+AR49</f>
        <v>-1835</v>
      </c>
      <c r="AS53" s="594">
        <v>-492</v>
      </c>
      <c r="AT53" s="594">
        <f t="shared" si="110"/>
        <v>358</v>
      </c>
      <c r="AU53" s="595">
        <f>AU47+AU38+AU27+AU49</f>
        <v>578</v>
      </c>
      <c r="AV53" s="594">
        <f t="shared" si="110"/>
        <v>85</v>
      </c>
      <c r="AW53" s="594">
        <f t="shared" si="110"/>
        <v>1453</v>
      </c>
      <c r="AX53" s="594">
        <f t="shared" si="110"/>
        <v>334</v>
      </c>
      <c r="AY53" s="595">
        <f t="shared" si="110"/>
        <v>-268</v>
      </c>
      <c r="AZ53" s="594">
        <f t="shared" ref="AZ53:BG53" si="111">AZ47+AZ38+AZ27+AZ49</f>
        <v>1789</v>
      </c>
      <c r="BA53" s="594">
        <f t="shared" si="111"/>
        <v>-868.72745111760923</v>
      </c>
      <c r="BB53" s="594">
        <f t="shared" si="111"/>
        <v>183.20926266073229</v>
      </c>
      <c r="BC53" s="595">
        <f t="shared" si="111"/>
        <v>69.451543444476783</v>
      </c>
      <c r="BD53" s="594">
        <f t="shared" si="111"/>
        <v>92.021683462469355</v>
      </c>
      <c r="BE53" s="594">
        <f t="shared" si="111"/>
        <v>-53.888227801125367</v>
      </c>
      <c r="BF53" s="594">
        <f t="shared" si="111"/>
        <v>-51.373711536610472</v>
      </c>
      <c r="BG53" s="595">
        <f t="shared" si="111"/>
        <v>-51.009507421368198</v>
      </c>
      <c r="BH53" s="594">
        <f t="shared" ref="BH53:BK53" si="112">BH47+BH38+BH27+BH49</f>
        <v>41.014869733591013</v>
      </c>
      <c r="BI53" s="594">
        <f t="shared" si="112"/>
        <v>-9.7209375887182432</v>
      </c>
      <c r="BJ53" s="594">
        <f t="shared" si="112"/>
        <v>3.0104890911720759</v>
      </c>
      <c r="BK53" s="595">
        <f t="shared" si="112"/>
        <v>48.492414206227522</v>
      </c>
      <c r="BL53" s="215"/>
      <c r="BM53" s="594">
        <f t="shared" ref="BM53:BX53" si="113">BM47+BM38+BM27+BM49</f>
        <v>-128.87899999999985</v>
      </c>
      <c r="BN53" s="594">
        <f t="shared" si="113"/>
        <v>341.25899999999905</v>
      </c>
      <c r="BO53" s="594">
        <f t="shared" si="113"/>
        <v>208.90200000000064</v>
      </c>
      <c r="BP53" s="594">
        <f t="shared" si="113"/>
        <v>164.75700000000037</v>
      </c>
      <c r="BQ53" s="594">
        <f t="shared" si="113"/>
        <v>281.03300000000013</v>
      </c>
      <c r="BR53" s="594">
        <f t="shared" si="113"/>
        <v>4102.3360000000002</v>
      </c>
      <c r="BS53" s="594">
        <f t="shared" si="113"/>
        <v>-4568</v>
      </c>
      <c r="BT53" s="594">
        <f t="shared" si="113"/>
        <v>319</v>
      </c>
      <c r="BU53" s="594">
        <f t="shared" si="113"/>
        <v>1291</v>
      </c>
      <c r="BV53" s="594">
        <f t="shared" si="113"/>
        <v>1795</v>
      </c>
      <c r="BW53" s="594">
        <f t="shared" si="113"/>
        <v>-1391</v>
      </c>
      <c r="BX53" s="594">
        <f t="shared" si="113"/>
        <v>1604</v>
      </c>
      <c r="BY53" s="594">
        <f>BY47+BY38+BY27+BY49</f>
        <v>1172.9333549876001</v>
      </c>
      <c r="BZ53" s="595">
        <f>BZ47+BZ38+BZ27+BZ49</f>
        <v>-64.249763296634228</v>
      </c>
      <c r="CA53" s="595">
        <f>CA47+CA38+CA27+CA49</f>
        <v>82.796835442271913</v>
      </c>
      <c r="CB53" s="734"/>
      <c r="CC53" s="734"/>
      <c r="CD53" s="204"/>
    </row>
    <row r="54" spans="1:88" ht="14.25" customHeight="1">
      <c r="A54" s="203"/>
      <c r="B54" s="601" t="s">
        <v>266</v>
      </c>
      <c r="C54" s="600"/>
      <c r="D54" s="597">
        <f>D53+D51+D52</f>
        <v>1107.2990000000002</v>
      </c>
      <c r="E54" s="597">
        <f t="shared" ref="E54:AQ54" si="114">E53+E51+E52</f>
        <v>1376.6800000000003</v>
      </c>
      <c r="F54" s="597">
        <f t="shared" si="114"/>
        <v>1308.4570000000001</v>
      </c>
      <c r="G54" s="598">
        <f t="shared" si="114"/>
        <v>861.46300000000019</v>
      </c>
      <c r="H54" s="599">
        <f t="shared" si="114"/>
        <v>1068.6150000000002</v>
      </c>
      <c r="I54" s="597">
        <f t="shared" si="114"/>
        <v>932.04400000000055</v>
      </c>
      <c r="J54" s="597">
        <f t="shared" si="114"/>
        <v>1112.675</v>
      </c>
      <c r="K54" s="598">
        <f t="shared" si="114"/>
        <v>1202.7219999999998</v>
      </c>
      <c r="L54" s="599">
        <f t="shared" si="114"/>
        <v>1215.6489999999997</v>
      </c>
      <c r="M54" s="597">
        <f t="shared" si="114"/>
        <v>1098.2589999999996</v>
      </c>
      <c r="N54" s="597">
        <f t="shared" si="114"/>
        <v>1140.5319999999995</v>
      </c>
      <c r="O54" s="598">
        <f t="shared" si="114"/>
        <v>1411.624</v>
      </c>
      <c r="P54" s="599">
        <f t="shared" si="114"/>
        <v>1366.1959999999999</v>
      </c>
      <c r="Q54" s="597">
        <f t="shared" si="114"/>
        <v>1466.9760000000001</v>
      </c>
      <c r="R54" s="597">
        <f t="shared" si="114"/>
        <v>1555.47</v>
      </c>
      <c r="S54" s="598">
        <f t="shared" si="114"/>
        <v>1576.3810000000003</v>
      </c>
      <c r="T54" s="599">
        <f t="shared" si="114"/>
        <v>1399.0540000000001</v>
      </c>
      <c r="U54" s="597">
        <f t="shared" si="114"/>
        <v>1596.4290000000001</v>
      </c>
      <c r="V54" s="597">
        <f t="shared" si="114"/>
        <v>1564.3369999999998</v>
      </c>
      <c r="W54" s="598">
        <f t="shared" si="114"/>
        <v>1857.6639999999998</v>
      </c>
      <c r="X54" s="599">
        <f t="shared" si="114"/>
        <v>1974</v>
      </c>
      <c r="Y54" s="597">
        <f t="shared" si="114"/>
        <v>2558</v>
      </c>
      <c r="Z54" s="597">
        <f t="shared" si="114"/>
        <v>5018</v>
      </c>
      <c r="AA54" s="598">
        <f t="shared" si="114"/>
        <v>5960</v>
      </c>
      <c r="AB54" s="599">
        <f t="shared" si="114"/>
        <v>1681</v>
      </c>
      <c r="AC54" s="597">
        <f t="shared" si="114"/>
        <v>1761</v>
      </c>
      <c r="AD54" s="597">
        <f t="shared" si="114"/>
        <v>1529</v>
      </c>
      <c r="AE54" s="598">
        <f t="shared" si="114"/>
        <v>1392</v>
      </c>
      <c r="AF54" s="599">
        <f t="shared" si="114"/>
        <v>1523</v>
      </c>
      <c r="AG54" s="597">
        <f t="shared" si="114"/>
        <v>1545</v>
      </c>
      <c r="AH54" s="597">
        <f t="shared" si="114"/>
        <v>1745</v>
      </c>
      <c r="AI54" s="598">
        <f t="shared" si="114"/>
        <v>1711</v>
      </c>
      <c r="AJ54" s="599">
        <f t="shared" si="114"/>
        <v>2144</v>
      </c>
      <c r="AK54" s="597">
        <f t="shared" si="114"/>
        <v>2453</v>
      </c>
      <c r="AL54" s="597">
        <f t="shared" si="114"/>
        <v>2726</v>
      </c>
      <c r="AM54" s="598">
        <f t="shared" si="114"/>
        <v>3002</v>
      </c>
      <c r="AN54" s="599">
        <f t="shared" si="114"/>
        <v>2929</v>
      </c>
      <c r="AO54" s="597">
        <f t="shared" si="114"/>
        <v>3067</v>
      </c>
      <c r="AP54" s="597">
        <f t="shared" si="114"/>
        <v>2574</v>
      </c>
      <c r="AQ54" s="598">
        <f t="shared" si="114"/>
        <v>4797</v>
      </c>
      <c r="AR54" s="599">
        <f t="shared" ref="AR54:AY54" si="115">AR53+AR51+AR52</f>
        <v>2962</v>
      </c>
      <c r="AS54" s="597">
        <f t="shared" si="115"/>
        <v>2470</v>
      </c>
      <c r="AT54" s="597">
        <f t="shared" si="115"/>
        <v>2828</v>
      </c>
      <c r="AU54" s="598">
        <f>AU53+AU51+AU52</f>
        <v>3406</v>
      </c>
      <c r="AV54" s="599">
        <f t="shared" ref="AV54:AW54" si="116">AV53+AV51+AV52</f>
        <v>3491</v>
      </c>
      <c r="AW54" s="597">
        <f t="shared" si="116"/>
        <v>4944</v>
      </c>
      <c r="AX54" s="597">
        <f t="shared" si="115"/>
        <v>5278</v>
      </c>
      <c r="AY54" s="598">
        <f t="shared" si="115"/>
        <v>5010</v>
      </c>
      <c r="AZ54" s="599">
        <f t="shared" ref="AZ54:BG54" si="117">AZ53+AZ51+AZ52</f>
        <v>6799</v>
      </c>
      <c r="BA54" s="597">
        <f t="shared" si="117"/>
        <v>5930.2725488823908</v>
      </c>
      <c r="BB54" s="597">
        <f t="shared" si="117"/>
        <v>6113.4818115431226</v>
      </c>
      <c r="BC54" s="598">
        <f t="shared" si="117"/>
        <v>6182.9333549875992</v>
      </c>
      <c r="BD54" s="599">
        <f t="shared" si="117"/>
        <v>6274.955038450069</v>
      </c>
      <c r="BE54" s="597">
        <f t="shared" si="117"/>
        <v>6221.0668106489438</v>
      </c>
      <c r="BF54" s="597">
        <f t="shared" si="117"/>
        <v>6169.6930991123336</v>
      </c>
      <c r="BG54" s="598">
        <f t="shared" si="117"/>
        <v>6118.6835916909658</v>
      </c>
      <c r="BH54" s="599">
        <f t="shared" ref="BH54:BK54" si="118">BH53+BH51+BH52</f>
        <v>6159.6984614245566</v>
      </c>
      <c r="BI54" s="597">
        <f t="shared" si="118"/>
        <v>6149.9775238358379</v>
      </c>
      <c r="BJ54" s="597">
        <f t="shared" si="118"/>
        <v>6152.9880129270095</v>
      </c>
      <c r="BK54" s="598">
        <f t="shared" si="118"/>
        <v>6201.4804271332368</v>
      </c>
      <c r="BL54" s="215"/>
      <c r="BM54" s="597">
        <f t="shared" ref="BM54:BX54" si="119">BM53+BM51+BM52</f>
        <v>861.46300000000019</v>
      </c>
      <c r="BN54" s="597">
        <f t="shared" si="119"/>
        <v>1202.7219999999993</v>
      </c>
      <c r="BO54" s="597">
        <f t="shared" si="119"/>
        <v>1411.624</v>
      </c>
      <c r="BP54" s="597">
        <f t="shared" si="119"/>
        <v>1576.3810000000003</v>
      </c>
      <c r="BQ54" s="597">
        <f t="shared" si="119"/>
        <v>1857.6639999999998</v>
      </c>
      <c r="BR54" s="597">
        <f t="shared" si="119"/>
        <v>5960</v>
      </c>
      <c r="BS54" s="597">
        <f t="shared" si="119"/>
        <v>1392</v>
      </c>
      <c r="BT54" s="597">
        <f t="shared" si="119"/>
        <v>1711</v>
      </c>
      <c r="BU54" s="597">
        <f t="shared" si="119"/>
        <v>3002</v>
      </c>
      <c r="BV54" s="597">
        <f t="shared" si="119"/>
        <v>4797</v>
      </c>
      <c r="BW54" s="597">
        <f t="shared" si="119"/>
        <v>3406</v>
      </c>
      <c r="BX54" s="597">
        <f t="shared" si="119"/>
        <v>5010</v>
      </c>
      <c r="BY54" s="597">
        <f>BY53+BY51+BY52</f>
        <v>6182.9333549876001</v>
      </c>
      <c r="BZ54" s="598">
        <f>BZ53+BZ51+BZ52</f>
        <v>6118.6835916909658</v>
      </c>
      <c r="CA54" s="598">
        <f>CA53+CA51+CA52</f>
        <v>6201.4804271332378</v>
      </c>
      <c r="CB54" s="734"/>
      <c r="CC54" s="734"/>
      <c r="CD54" s="204"/>
    </row>
    <row r="55" spans="1:88" ht="14.25" customHeight="1">
      <c r="A55" s="203"/>
      <c r="B55" s="596"/>
      <c r="C55" s="596"/>
      <c r="D55" s="594"/>
      <c r="E55" s="594"/>
      <c r="F55" s="594"/>
      <c r="G55" s="594"/>
      <c r="H55" s="594"/>
      <c r="I55" s="594"/>
      <c r="J55" s="594"/>
      <c r="K55" s="594"/>
      <c r="L55" s="594"/>
      <c r="M55" s="594"/>
      <c r="N55" s="594"/>
      <c r="O55" s="594"/>
      <c r="P55" s="594"/>
      <c r="Q55" s="594"/>
      <c r="R55" s="594"/>
      <c r="S55" s="594"/>
      <c r="T55" s="594"/>
      <c r="U55" s="594"/>
      <c r="V55" s="594"/>
      <c r="W55" s="594"/>
      <c r="X55" s="594"/>
      <c r="Y55" s="594"/>
      <c r="Z55" s="594"/>
      <c r="AA55" s="594"/>
      <c r="AB55" s="594"/>
      <c r="AC55" s="594"/>
      <c r="AD55" s="594"/>
      <c r="AE55" s="594"/>
      <c r="AF55" s="594"/>
      <c r="AG55" s="594"/>
      <c r="AH55" s="594"/>
      <c r="AI55" s="594"/>
      <c r="AJ55" s="594"/>
      <c r="AK55" s="594"/>
      <c r="AL55" s="594"/>
      <c r="AM55" s="594"/>
      <c r="AN55" s="594"/>
      <c r="AO55" s="594"/>
      <c r="AP55" s="594"/>
      <c r="AQ55" s="594"/>
      <c r="AR55" s="594"/>
      <c r="AS55" s="594"/>
      <c r="AT55" s="594"/>
      <c r="AU55" s="594"/>
      <c r="AV55" s="594"/>
      <c r="AW55" s="594"/>
      <c r="AX55" s="594"/>
      <c r="AY55" s="595"/>
      <c r="AZ55" s="594"/>
      <c r="BA55" s="594"/>
      <c r="BB55" s="594"/>
      <c r="BC55" s="595"/>
      <c r="BD55" s="594"/>
      <c r="BE55" s="594"/>
      <c r="BF55" s="594"/>
      <c r="BG55" s="595"/>
      <c r="BH55" s="594"/>
      <c r="BI55" s="594"/>
      <c r="BJ55" s="594"/>
      <c r="BK55" s="595"/>
      <c r="BL55" s="204"/>
      <c r="BM55" s="593"/>
      <c r="BN55" s="593"/>
      <c r="BO55" s="593"/>
      <c r="BP55" s="593"/>
      <c r="BQ55" s="593"/>
      <c r="BR55" s="593"/>
      <c r="BS55" s="593"/>
      <c r="BT55" s="593"/>
      <c r="BU55" s="593"/>
      <c r="BV55" s="593"/>
      <c r="BW55" s="593"/>
      <c r="BX55" s="593"/>
      <c r="BY55" s="593"/>
      <c r="BZ55" s="593"/>
      <c r="CA55" s="593"/>
      <c r="CB55" s="734"/>
      <c r="CC55" s="734"/>
      <c r="CD55" s="204"/>
    </row>
    <row r="56" spans="1:88" ht="14.25" customHeight="1">
      <c r="A56" s="203"/>
      <c r="B56" s="237" t="s">
        <v>265</v>
      </c>
      <c r="C56" s="556"/>
      <c r="D56" s="467">
        <f>BS!D8</f>
        <v>1107.299</v>
      </c>
      <c r="E56" s="467">
        <f>BS!E8</f>
        <v>1376.68</v>
      </c>
      <c r="F56" s="467">
        <f>BS!F8</f>
        <v>1308.4569999999999</v>
      </c>
      <c r="G56" s="468">
        <f>BS!G8</f>
        <v>861.46299999999951</v>
      </c>
      <c r="H56" s="467">
        <f>BS!H8</f>
        <v>1068.615</v>
      </c>
      <c r="I56" s="467">
        <f>BS!I8</f>
        <v>932.04400000000112</v>
      </c>
      <c r="J56" s="467">
        <f>BS!J8</f>
        <v>1112.675</v>
      </c>
      <c r="K56" s="468">
        <f>BS!K8</f>
        <v>1202.7220000000004</v>
      </c>
      <c r="L56" s="467">
        <f>BS!L8</f>
        <v>1215.6490000000006</v>
      </c>
      <c r="M56" s="467">
        <f>BS!M8</f>
        <v>1098.2590000000007</v>
      </c>
      <c r="N56" s="467">
        <f>BS!N8</f>
        <v>1140.5320000000006</v>
      </c>
      <c r="O56" s="468">
        <f>BS!O8</f>
        <v>1411.624</v>
      </c>
      <c r="P56" s="467">
        <f>BS!P8</f>
        <v>1366.1960000000001</v>
      </c>
      <c r="Q56" s="467">
        <f>BS!Q8</f>
        <v>1466.9760000000001</v>
      </c>
      <c r="R56" s="467">
        <f>BS!R8</f>
        <v>1555.47</v>
      </c>
      <c r="S56" s="468">
        <f>BS!S8</f>
        <v>1576.3810000000003</v>
      </c>
      <c r="T56" s="467">
        <f>BS!T8</f>
        <v>1399.0540000000003</v>
      </c>
      <c r="U56" s="467">
        <f>BS!U8</f>
        <v>1596.4290000000003</v>
      </c>
      <c r="V56" s="467">
        <f>BS!V8</f>
        <v>1564.337</v>
      </c>
      <c r="W56" s="468">
        <f>BS!W8</f>
        <v>1857.6639999999998</v>
      </c>
      <c r="X56" s="467">
        <f>BS!X8</f>
        <v>1974</v>
      </c>
      <c r="Y56" s="467">
        <f>BS!Y8</f>
        <v>2558</v>
      </c>
      <c r="Z56" s="467">
        <f>BS!Z8</f>
        <v>5018</v>
      </c>
      <c r="AA56" s="468">
        <f>BS!AA8</f>
        <v>5960</v>
      </c>
      <c r="AB56" s="467">
        <f>BS!AB8</f>
        <v>1681</v>
      </c>
      <c r="AC56" s="467">
        <f>BS!AC8</f>
        <v>1761</v>
      </c>
      <c r="AD56" s="467">
        <f>BS!AD8</f>
        <v>1529</v>
      </c>
      <c r="AE56" s="468">
        <f>BS!AE8</f>
        <v>1392</v>
      </c>
      <c r="AF56" s="467">
        <f>BS!AF8</f>
        <v>1523</v>
      </c>
      <c r="AG56" s="467">
        <f>BS!AG8</f>
        <v>1545</v>
      </c>
      <c r="AH56" s="467">
        <f>BS!AH8</f>
        <v>1745</v>
      </c>
      <c r="AI56" s="468">
        <f>BS!AI8</f>
        <v>1711</v>
      </c>
      <c r="AJ56" s="467">
        <f>BS!AJ8</f>
        <v>2144</v>
      </c>
      <c r="AK56" s="467">
        <f>BS!AK8</f>
        <v>2453</v>
      </c>
      <c r="AL56" s="467">
        <f>BS!AL8</f>
        <v>2726</v>
      </c>
      <c r="AM56" s="468">
        <f>BS!AM8</f>
        <v>3002</v>
      </c>
      <c r="AN56" s="467">
        <f>BS!AN8</f>
        <v>2929</v>
      </c>
      <c r="AO56" s="467">
        <f>BS!AO8</f>
        <v>3067</v>
      </c>
      <c r="AP56" s="467">
        <f>BS!AP8</f>
        <v>2574</v>
      </c>
      <c r="AQ56" s="468">
        <f>BS!AQ8</f>
        <v>4797</v>
      </c>
      <c r="AR56" s="467">
        <f>BS!AR8</f>
        <v>2962</v>
      </c>
      <c r="AS56" s="467">
        <f>BS!AS8</f>
        <v>2470</v>
      </c>
      <c r="AT56" s="467">
        <v>2828</v>
      </c>
      <c r="AU56" s="467">
        <f>BS!AU8</f>
        <v>3406</v>
      </c>
      <c r="AV56" s="467">
        <f>BS!AV8</f>
        <v>3491</v>
      </c>
      <c r="AW56" s="467">
        <f>BS!AW8</f>
        <v>4944</v>
      </c>
      <c r="AX56" s="467">
        <f>BS!AX8</f>
        <v>5278</v>
      </c>
      <c r="AY56" s="468">
        <f>BS!AY8</f>
        <v>5010</v>
      </c>
      <c r="AZ56" s="467">
        <f>BS!AZ8</f>
        <v>6799</v>
      </c>
      <c r="BA56" s="467">
        <f>BS!BA8</f>
        <v>5930.2725488823908</v>
      </c>
      <c r="BB56" s="467">
        <f>BS!BB8</f>
        <v>6113.4818115431226</v>
      </c>
      <c r="BC56" s="468">
        <f>BS!BC8</f>
        <v>6182.9333549875992</v>
      </c>
      <c r="BD56" s="467">
        <f>BS!BD8</f>
        <v>6274.955038450069</v>
      </c>
      <c r="BE56" s="467">
        <f>BS!BE8</f>
        <v>6221.0668106489438</v>
      </c>
      <c r="BF56" s="467">
        <f>BS!BF8</f>
        <v>6169.6930991123336</v>
      </c>
      <c r="BG56" s="468">
        <f>BS!BG8</f>
        <v>6118.6835916909658</v>
      </c>
      <c r="BH56" s="467">
        <f>BS!BH8</f>
        <v>6159.6984614245566</v>
      </c>
      <c r="BI56" s="467">
        <f>BS!BI8</f>
        <v>6149.9775238358379</v>
      </c>
      <c r="BJ56" s="467">
        <f>BS!BJ8</f>
        <v>6152.9880129270095</v>
      </c>
      <c r="BK56" s="468">
        <f>BS!BK8</f>
        <v>6201.4804271332368</v>
      </c>
      <c r="BL56" s="215"/>
      <c r="BM56" s="470">
        <f>BS!BM8</f>
        <v>861.46299999999951</v>
      </c>
      <c r="BN56" s="470">
        <f>BS!BN8</f>
        <v>1202.7220000000004</v>
      </c>
      <c r="BO56" s="470">
        <f>BS!BO8</f>
        <v>1411.624</v>
      </c>
      <c r="BP56" s="470">
        <f>BS!BP8</f>
        <v>1576.3810000000003</v>
      </c>
      <c r="BQ56" s="470">
        <f>BS!BQ8</f>
        <v>1857.6639999999998</v>
      </c>
      <c r="BR56" s="470">
        <f>BS!BR8</f>
        <v>5960</v>
      </c>
      <c r="BS56" s="470">
        <f>BS!BS8</f>
        <v>1392</v>
      </c>
      <c r="BT56" s="470">
        <f>BS!BT8</f>
        <v>1711</v>
      </c>
      <c r="BU56" s="470">
        <f>BS!BU8</f>
        <v>3002</v>
      </c>
      <c r="BV56" s="470">
        <f>BS!BV8</f>
        <v>4797</v>
      </c>
      <c r="BW56" s="470">
        <f>BS!BW8</f>
        <v>3406</v>
      </c>
      <c r="BX56" s="470">
        <f>BS!BX8</f>
        <v>5010</v>
      </c>
      <c r="BY56" s="470">
        <f>BS!BY8</f>
        <v>6182.9333549875992</v>
      </c>
      <c r="BZ56" s="468">
        <f>BS!BZ8</f>
        <v>6118.6835916909658</v>
      </c>
      <c r="CA56" s="468">
        <f>BS!CA8</f>
        <v>6201.4804271332368</v>
      </c>
      <c r="CB56" s="734"/>
      <c r="CC56" s="734"/>
      <c r="CD56" s="204"/>
    </row>
    <row r="57" spans="1:88" ht="14.25" customHeight="1">
      <c r="A57" s="203"/>
      <c r="B57" s="466" t="s">
        <v>65</v>
      </c>
      <c r="C57" s="465"/>
      <c r="D57" s="462">
        <f>IF(ROUND(D56,4)=ROUND(D54,4),0,(D56-D54))</f>
        <v>0</v>
      </c>
      <c r="E57" s="460">
        <f t="shared" ref="E57:AQ57" si="120">IF(ROUND(E56,4)=ROUND(E54,4),0,(E56-E54))</f>
        <v>0</v>
      </c>
      <c r="F57" s="460">
        <f t="shared" si="120"/>
        <v>0</v>
      </c>
      <c r="G57" s="461">
        <f t="shared" si="120"/>
        <v>0</v>
      </c>
      <c r="H57" s="462">
        <f t="shared" si="120"/>
        <v>0</v>
      </c>
      <c r="I57" s="460">
        <f t="shared" si="120"/>
        <v>0</v>
      </c>
      <c r="J57" s="460">
        <f t="shared" si="120"/>
        <v>0</v>
      </c>
      <c r="K57" s="461">
        <f t="shared" si="120"/>
        <v>0</v>
      </c>
      <c r="L57" s="462">
        <f t="shared" si="120"/>
        <v>0</v>
      </c>
      <c r="M57" s="460">
        <f t="shared" si="120"/>
        <v>0</v>
      </c>
      <c r="N57" s="460">
        <f t="shared" si="120"/>
        <v>0</v>
      </c>
      <c r="O57" s="461">
        <f t="shared" si="120"/>
        <v>0</v>
      </c>
      <c r="P57" s="462">
        <f t="shared" si="120"/>
        <v>0</v>
      </c>
      <c r="Q57" s="460">
        <f t="shared" si="120"/>
        <v>0</v>
      </c>
      <c r="R57" s="460">
        <f t="shared" si="120"/>
        <v>0</v>
      </c>
      <c r="S57" s="461">
        <f t="shared" si="120"/>
        <v>0</v>
      </c>
      <c r="T57" s="462">
        <f t="shared" si="120"/>
        <v>0</v>
      </c>
      <c r="U57" s="460">
        <f t="shared" si="120"/>
        <v>0</v>
      </c>
      <c r="V57" s="460">
        <f t="shared" si="120"/>
        <v>0</v>
      </c>
      <c r="W57" s="461">
        <f t="shared" si="120"/>
        <v>0</v>
      </c>
      <c r="X57" s="462">
        <f t="shared" si="120"/>
        <v>0</v>
      </c>
      <c r="Y57" s="460">
        <f t="shared" si="120"/>
        <v>0</v>
      </c>
      <c r="Z57" s="460">
        <f t="shared" si="120"/>
        <v>0</v>
      </c>
      <c r="AA57" s="461">
        <f t="shared" si="120"/>
        <v>0</v>
      </c>
      <c r="AB57" s="462">
        <f t="shared" si="120"/>
        <v>0</v>
      </c>
      <c r="AC57" s="460">
        <f t="shared" si="120"/>
        <v>0</v>
      </c>
      <c r="AD57" s="460">
        <f t="shared" si="120"/>
        <v>0</v>
      </c>
      <c r="AE57" s="461">
        <f t="shared" si="120"/>
        <v>0</v>
      </c>
      <c r="AF57" s="462">
        <f t="shared" si="120"/>
        <v>0</v>
      </c>
      <c r="AG57" s="460">
        <f t="shared" si="120"/>
        <v>0</v>
      </c>
      <c r="AH57" s="460">
        <f t="shared" si="120"/>
        <v>0</v>
      </c>
      <c r="AI57" s="461">
        <f t="shared" si="120"/>
        <v>0</v>
      </c>
      <c r="AJ57" s="462">
        <f t="shared" si="120"/>
        <v>0</v>
      </c>
      <c r="AK57" s="460">
        <f t="shared" si="120"/>
        <v>0</v>
      </c>
      <c r="AL57" s="460">
        <f t="shared" si="120"/>
        <v>0</v>
      </c>
      <c r="AM57" s="461">
        <f t="shared" si="120"/>
        <v>0</v>
      </c>
      <c r="AN57" s="462">
        <f t="shared" si="120"/>
        <v>0</v>
      </c>
      <c r="AO57" s="460">
        <f t="shared" si="120"/>
        <v>0</v>
      </c>
      <c r="AP57" s="460">
        <f t="shared" si="120"/>
        <v>0</v>
      </c>
      <c r="AQ57" s="461">
        <f t="shared" si="120"/>
        <v>0</v>
      </c>
      <c r="AR57" s="462">
        <f t="shared" ref="AR57:AY57" si="121">IF(ROUND(AR56,4)=ROUND(AR54,4),0,(AR56-AR54))</f>
        <v>0</v>
      </c>
      <c r="AS57" s="460">
        <f t="shared" si="121"/>
        <v>0</v>
      </c>
      <c r="AT57" s="460">
        <f t="shared" si="121"/>
        <v>0</v>
      </c>
      <c r="AU57" s="461">
        <f t="shared" si="121"/>
        <v>0</v>
      </c>
      <c r="AV57" s="462">
        <f t="shared" ref="AV57:AW57" si="122">IF(ROUND(AV56,4)=ROUND(AV54,4),0,(AV56-AV54))</f>
        <v>0</v>
      </c>
      <c r="AW57" s="460">
        <f t="shared" si="122"/>
        <v>0</v>
      </c>
      <c r="AX57" s="460">
        <f t="shared" si="121"/>
        <v>0</v>
      </c>
      <c r="AY57" s="461">
        <f t="shared" si="121"/>
        <v>0</v>
      </c>
      <c r="AZ57" s="462">
        <f t="shared" ref="AZ57:BG57" si="123">IF(ROUND(AZ56,4)=ROUND(AZ54,4),0,(AZ56-AZ54))</f>
        <v>0</v>
      </c>
      <c r="BA57" s="460">
        <f t="shared" si="123"/>
        <v>0</v>
      </c>
      <c r="BB57" s="460">
        <f t="shared" si="123"/>
        <v>0</v>
      </c>
      <c r="BC57" s="461">
        <f t="shared" si="123"/>
        <v>0</v>
      </c>
      <c r="BD57" s="462">
        <f t="shared" si="123"/>
        <v>0</v>
      </c>
      <c r="BE57" s="460">
        <f t="shared" si="123"/>
        <v>0</v>
      </c>
      <c r="BF57" s="460">
        <f t="shared" si="123"/>
        <v>0</v>
      </c>
      <c r="BG57" s="461">
        <f t="shared" si="123"/>
        <v>0</v>
      </c>
      <c r="BH57" s="462">
        <f t="shared" ref="BH57:BK57" si="124">IF(ROUND(BH56,4)=ROUND(BH54,4),0,(BH56-BH54))</f>
        <v>0</v>
      </c>
      <c r="BI57" s="460">
        <f t="shared" si="124"/>
        <v>0</v>
      </c>
      <c r="BJ57" s="460">
        <f t="shared" si="124"/>
        <v>0</v>
      </c>
      <c r="BK57" s="461">
        <f t="shared" si="124"/>
        <v>0</v>
      </c>
      <c r="BL57" s="215"/>
      <c r="BM57" s="592">
        <f t="shared" ref="BM57:BX57" si="125">IF(ROUND(BM56,4)=ROUND(BM54,4),0,(BM56-BM54))</f>
        <v>0</v>
      </c>
      <c r="BN57" s="592">
        <f t="shared" si="125"/>
        <v>0</v>
      </c>
      <c r="BO57" s="592">
        <f t="shared" si="125"/>
        <v>0</v>
      </c>
      <c r="BP57" s="592">
        <f t="shared" si="125"/>
        <v>0</v>
      </c>
      <c r="BQ57" s="592">
        <f t="shared" si="125"/>
        <v>0</v>
      </c>
      <c r="BR57" s="592">
        <f t="shared" si="125"/>
        <v>0</v>
      </c>
      <c r="BS57" s="592">
        <f t="shared" si="125"/>
        <v>0</v>
      </c>
      <c r="BT57" s="592">
        <f t="shared" si="125"/>
        <v>0</v>
      </c>
      <c r="BU57" s="592">
        <f t="shared" si="125"/>
        <v>0</v>
      </c>
      <c r="BV57" s="592">
        <f t="shared" si="125"/>
        <v>0</v>
      </c>
      <c r="BW57" s="592">
        <f t="shared" si="125"/>
        <v>0</v>
      </c>
      <c r="BX57" s="592">
        <f t="shared" si="125"/>
        <v>0</v>
      </c>
      <c r="BY57" s="592">
        <f>IF(ROUND(BY56,4)=ROUND(BY54,4),0,(BY56-BY54))</f>
        <v>0</v>
      </c>
      <c r="BZ57" s="782">
        <f>IF(ROUND(BZ56,4)=ROUND(BZ54,4),0,(BZ56-BZ54))</f>
        <v>0</v>
      </c>
      <c r="CA57" s="782">
        <f>IF(ROUND(CA56,4)=ROUND(CA54,4),0,(CA56-CA54))</f>
        <v>0</v>
      </c>
      <c r="CB57" s="734"/>
      <c r="CC57" s="734"/>
      <c r="CD57" s="204"/>
    </row>
    <row r="58" spans="1:88" ht="14.25" customHeight="1">
      <c r="A58" s="203"/>
      <c r="B58" s="591"/>
      <c r="C58" s="591"/>
      <c r="D58" s="590"/>
      <c r="E58" s="590"/>
      <c r="F58" s="590"/>
      <c r="G58" s="590"/>
      <c r="H58" s="590"/>
      <c r="I58" s="590"/>
      <c r="J58" s="590"/>
      <c r="K58" s="590"/>
      <c r="L58" s="590"/>
      <c r="M58" s="590"/>
      <c r="N58" s="590"/>
      <c r="O58" s="590"/>
      <c r="P58" s="590"/>
      <c r="Q58" s="590"/>
      <c r="R58" s="590"/>
      <c r="S58" s="590"/>
      <c r="T58" s="590"/>
      <c r="U58" s="590"/>
      <c r="V58" s="590"/>
      <c r="W58" s="590"/>
      <c r="X58" s="590"/>
      <c r="Y58" s="590"/>
      <c r="Z58" s="590"/>
      <c r="AA58" s="590"/>
      <c r="AB58" s="590"/>
      <c r="AC58" s="590"/>
      <c r="AD58" s="590"/>
      <c r="AE58" s="590"/>
      <c r="AF58" s="590"/>
      <c r="AG58" s="590"/>
      <c r="AH58" s="590"/>
      <c r="AI58" s="590"/>
      <c r="AJ58" s="590"/>
      <c r="AK58" s="590"/>
      <c r="AL58" s="590"/>
      <c r="AM58" s="590"/>
      <c r="AN58" s="590"/>
      <c r="AO58" s="590"/>
      <c r="AP58" s="590"/>
      <c r="AQ58" s="590"/>
      <c r="AR58" s="590"/>
      <c r="AS58" s="590"/>
      <c r="AT58" s="590"/>
      <c r="AU58" s="590"/>
      <c r="AV58" s="590"/>
      <c r="AW58" s="590"/>
      <c r="AX58" s="590"/>
      <c r="AY58" s="590"/>
      <c r="AZ58" s="590"/>
      <c r="BA58" s="590"/>
      <c r="BB58" s="590"/>
      <c r="BC58" s="590"/>
      <c r="BD58" s="590"/>
      <c r="BE58" s="590"/>
      <c r="BF58" s="590"/>
      <c r="BG58" s="590"/>
      <c r="BH58" s="590"/>
      <c r="BI58" s="590"/>
      <c r="BJ58" s="590"/>
      <c r="BK58" s="590"/>
      <c r="BL58" s="204"/>
      <c r="BM58" s="590"/>
      <c r="BN58" s="590"/>
      <c r="BO58" s="590"/>
      <c r="BP58" s="590"/>
      <c r="BQ58" s="590"/>
      <c r="BR58" s="590"/>
      <c r="BS58" s="590"/>
      <c r="BT58" s="590"/>
      <c r="BU58" s="590"/>
      <c r="BV58" s="590"/>
      <c r="BW58" s="590"/>
      <c r="BX58" s="590"/>
      <c r="BY58" s="590"/>
      <c r="BZ58" s="590"/>
      <c r="CA58" s="590"/>
      <c r="CB58" s="734"/>
      <c r="CC58" s="734"/>
      <c r="CD58" s="204"/>
    </row>
    <row r="59" spans="1:88" ht="14.25" customHeight="1">
      <c r="A59" s="203"/>
      <c r="B59" s="204"/>
      <c r="C59" s="204"/>
      <c r="D59" s="545"/>
      <c r="E59" s="545"/>
      <c r="F59" s="545"/>
      <c r="G59" s="545"/>
      <c r="H59" s="545"/>
      <c r="I59" s="545"/>
      <c r="J59" s="545"/>
      <c r="K59" s="545"/>
      <c r="L59" s="545"/>
      <c r="M59" s="545"/>
      <c r="N59" s="545"/>
      <c r="O59" s="545"/>
      <c r="P59" s="545"/>
      <c r="Q59" s="545"/>
      <c r="R59" s="545"/>
      <c r="S59" s="545"/>
      <c r="T59" s="545"/>
      <c r="U59" s="545"/>
      <c r="V59" s="545"/>
      <c r="W59" s="545"/>
      <c r="X59" s="545"/>
      <c r="Y59" s="545"/>
      <c r="Z59" s="545"/>
      <c r="AA59" s="545"/>
      <c r="AB59" s="545"/>
      <c r="AC59" s="545"/>
      <c r="AD59" s="545"/>
      <c r="AE59" s="545"/>
      <c r="AF59" s="545"/>
      <c r="AG59" s="545"/>
      <c r="AH59" s="545"/>
      <c r="AI59" s="545"/>
      <c r="AJ59" s="545"/>
      <c r="AK59" s="545"/>
      <c r="AL59" s="545"/>
      <c r="AM59" s="545"/>
      <c r="AN59" s="545"/>
      <c r="AO59" s="545"/>
      <c r="AP59" s="545"/>
      <c r="AQ59" s="545"/>
      <c r="AR59" s="545"/>
      <c r="AS59" s="545"/>
      <c r="AT59" s="545"/>
      <c r="AU59" s="545"/>
      <c r="AV59" s="545"/>
      <c r="AW59" s="545"/>
      <c r="AX59" s="545"/>
      <c r="AY59" s="545"/>
      <c r="AZ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204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B59" s="734"/>
      <c r="CC59" s="734"/>
      <c r="CD59" s="204"/>
    </row>
    <row r="60" spans="1:88" ht="14.25" customHeight="1">
      <c r="A60" s="203"/>
      <c r="B60" s="204"/>
      <c r="C60" s="430"/>
      <c r="D60" s="545"/>
      <c r="E60" s="545"/>
      <c r="F60" s="545"/>
      <c r="G60" s="545"/>
      <c r="H60" s="545"/>
      <c r="I60" s="545"/>
      <c r="J60" s="545"/>
      <c r="K60" s="545"/>
      <c r="L60" s="545"/>
      <c r="M60" s="545"/>
      <c r="N60" s="545"/>
      <c r="O60" s="545"/>
      <c r="P60" s="545"/>
      <c r="Q60" s="545"/>
      <c r="R60" s="545"/>
      <c r="S60" s="545"/>
      <c r="T60" s="545"/>
      <c r="U60" s="545"/>
      <c r="V60" s="545"/>
      <c r="W60" s="545"/>
      <c r="X60" s="545"/>
      <c r="Y60" s="545"/>
      <c r="Z60" s="545"/>
      <c r="AA60" s="545"/>
      <c r="AB60" s="545"/>
      <c r="AC60" s="545"/>
      <c r="AD60" s="545"/>
      <c r="AE60" s="545"/>
      <c r="AF60" s="545"/>
      <c r="AG60" s="545"/>
      <c r="AH60" s="545"/>
      <c r="AI60" s="545"/>
      <c r="AJ60" s="545"/>
      <c r="AK60" s="545"/>
      <c r="AL60" s="545"/>
      <c r="AM60" s="545"/>
      <c r="AN60" s="545"/>
      <c r="AO60" s="545"/>
      <c r="AP60" s="545"/>
      <c r="AQ60" s="545"/>
      <c r="AR60" s="545"/>
      <c r="AS60" s="545"/>
      <c r="AT60" s="545"/>
      <c r="AU60" s="545"/>
      <c r="AV60" s="545"/>
      <c r="AW60" s="545"/>
      <c r="AX60" s="545"/>
      <c r="AY60" s="545"/>
      <c r="AZ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204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B60" s="734"/>
      <c r="CC60" s="734"/>
      <c r="CD60" s="204"/>
    </row>
    <row r="61" spans="1:88" ht="14.25" customHeight="1">
      <c r="A61" s="203"/>
      <c r="B61" s="458" t="s">
        <v>416</v>
      </c>
      <c r="C61" s="457"/>
      <c r="D61" s="555" t="str">
        <f t="shared" ref="D61:AY61" si="126">D6</f>
        <v>1Q06</v>
      </c>
      <c r="E61" s="555" t="str">
        <f t="shared" si="126"/>
        <v>2Q06</v>
      </c>
      <c r="F61" s="555" t="str">
        <f t="shared" si="126"/>
        <v>3Q06</v>
      </c>
      <c r="G61" s="400" t="str">
        <f t="shared" si="126"/>
        <v>4Q06</v>
      </c>
      <c r="H61" s="555" t="str">
        <f t="shared" si="126"/>
        <v>1Q07</v>
      </c>
      <c r="I61" s="555" t="str">
        <f t="shared" si="126"/>
        <v>2Q07</v>
      </c>
      <c r="J61" s="555" t="str">
        <f t="shared" si="126"/>
        <v>3Q07</v>
      </c>
      <c r="K61" s="400" t="str">
        <f t="shared" si="126"/>
        <v>4Q07</v>
      </c>
      <c r="L61" s="555" t="str">
        <f t="shared" si="126"/>
        <v>1Q08</v>
      </c>
      <c r="M61" s="555" t="str">
        <f t="shared" si="126"/>
        <v>2Q08</v>
      </c>
      <c r="N61" s="555" t="str">
        <f t="shared" si="126"/>
        <v>3Q08</v>
      </c>
      <c r="O61" s="400" t="str">
        <f t="shared" si="126"/>
        <v>4Q08</v>
      </c>
      <c r="P61" s="555" t="str">
        <f t="shared" si="126"/>
        <v>1Q09</v>
      </c>
      <c r="Q61" s="555" t="str">
        <f t="shared" si="126"/>
        <v>2Q09</v>
      </c>
      <c r="R61" s="555" t="str">
        <f t="shared" si="126"/>
        <v>3Q09</v>
      </c>
      <c r="S61" s="400" t="str">
        <f t="shared" si="126"/>
        <v>4Q09</v>
      </c>
      <c r="T61" s="555" t="str">
        <f t="shared" si="126"/>
        <v>1Q10</v>
      </c>
      <c r="U61" s="555" t="str">
        <f t="shared" si="126"/>
        <v>2Q10</v>
      </c>
      <c r="V61" s="555" t="str">
        <f t="shared" si="126"/>
        <v>3Q10</v>
      </c>
      <c r="W61" s="400" t="str">
        <f t="shared" si="126"/>
        <v>4Q10</v>
      </c>
      <c r="X61" s="555" t="str">
        <f t="shared" si="126"/>
        <v>1Q11</v>
      </c>
      <c r="Y61" s="555" t="str">
        <f t="shared" si="126"/>
        <v>2Q11</v>
      </c>
      <c r="Z61" s="555" t="str">
        <f t="shared" si="126"/>
        <v>3Q11</v>
      </c>
      <c r="AA61" s="400" t="str">
        <f t="shared" si="126"/>
        <v>4Q11</v>
      </c>
      <c r="AB61" s="555" t="str">
        <f t="shared" si="126"/>
        <v>1Q12</v>
      </c>
      <c r="AC61" s="555" t="str">
        <f t="shared" si="126"/>
        <v>2Q12</v>
      </c>
      <c r="AD61" s="555" t="str">
        <f t="shared" si="126"/>
        <v>3Q12</v>
      </c>
      <c r="AE61" s="400" t="str">
        <f t="shared" si="126"/>
        <v>4Q12</v>
      </c>
      <c r="AF61" s="555" t="str">
        <f t="shared" si="126"/>
        <v>1Q13</v>
      </c>
      <c r="AG61" s="555" t="str">
        <f t="shared" si="126"/>
        <v>2Q13</v>
      </c>
      <c r="AH61" s="555" t="str">
        <f t="shared" si="126"/>
        <v>3Q13</v>
      </c>
      <c r="AI61" s="400" t="str">
        <f t="shared" si="126"/>
        <v>4Q13</v>
      </c>
      <c r="AJ61" s="555" t="str">
        <f t="shared" si="126"/>
        <v>1Q14</v>
      </c>
      <c r="AK61" s="555" t="str">
        <f t="shared" si="126"/>
        <v>2Q14</v>
      </c>
      <c r="AL61" s="555" t="str">
        <f t="shared" si="126"/>
        <v>3Q14</v>
      </c>
      <c r="AM61" s="555" t="str">
        <f t="shared" si="126"/>
        <v>4Q14</v>
      </c>
      <c r="AN61" s="554" t="str">
        <f t="shared" si="126"/>
        <v>1Q15</v>
      </c>
      <c r="AO61" s="555" t="str">
        <f t="shared" si="126"/>
        <v>2Q15</v>
      </c>
      <c r="AP61" s="555" t="str">
        <f t="shared" si="126"/>
        <v>3Q15</v>
      </c>
      <c r="AQ61" s="400" t="str">
        <f t="shared" si="126"/>
        <v>4Q15</v>
      </c>
      <c r="AR61" s="554" t="str">
        <f>AR6</f>
        <v>1Q16</v>
      </c>
      <c r="AS61" s="555" t="str">
        <f>AS6</f>
        <v>2Q16</v>
      </c>
      <c r="AT61" s="555" t="str">
        <f t="shared" si="126"/>
        <v>3Q16</v>
      </c>
      <c r="AU61" s="400" t="str">
        <f>AU6</f>
        <v>4Q16</v>
      </c>
      <c r="AV61" s="554" t="str">
        <f>AV6</f>
        <v>1Q17</v>
      </c>
      <c r="AW61" s="555" t="str">
        <f t="shared" si="126"/>
        <v>2Q17</v>
      </c>
      <c r="AX61" s="555" t="str">
        <f t="shared" si="126"/>
        <v>3Q17</v>
      </c>
      <c r="AY61" s="400" t="str">
        <f t="shared" si="126"/>
        <v>4Q17</v>
      </c>
      <c r="AZ61" s="554" t="str">
        <f t="shared" ref="AZ61:BG61" si="127">AZ6</f>
        <v>1Q18</v>
      </c>
      <c r="BA61" s="555" t="str">
        <f t="shared" si="127"/>
        <v>2Q18e</v>
      </c>
      <c r="BB61" s="555" t="str">
        <f t="shared" si="127"/>
        <v>3Q18e</v>
      </c>
      <c r="BC61" s="400" t="str">
        <f t="shared" si="127"/>
        <v>4Q18e</v>
      </c>
      <c r="BD61" s="554" t="str">
        <f t="shared" si="127"/>
        <v>1Q19e</v>
      </c>
      <c r="BE61" s="555" t="str">
        <f t="shared" si="127"/>
        <v>2Q19e</v>
      </c>
      <c r="BF61" s="555" t="str">
        <f t="shared" si="127"/>
        <v>3Q19e</v>
      </c>
      <c r="BG61" s="400" t="str">
        <f t="shared" si="127"/>
        <v>4Q19e</v>
      </c>
      <c r="BH61" s="554" t="str">
        <f t="shared" ref="BH61:BK61" si="128">BH6</f>
        <v>1Q20e</v>
      </c>
      <c r="BI61" s="555" t="str">
        <f t="shared" si="128"/>
        <v>2Q20e</v>
      </c>
      <c r="BJ61" s="555" t="str">
        <f t="shared" si="128"/>
        <v>3Q20e</v>
      </c>
      <c r="BK61" s="400" t="str">
        <f t="shared" si="128"/>
        <v>4Q20e</v>
      </c>
      <c r="BL61" s="231"/>
      <c r="BM61" s="397" t="str">
        <f t="shared" ref="BM61:BX61" si="129">BM6</f>
        <v>FY2006A</v>
      </c>
      <c r="BN61" s="397" t="str">
        <f t="shared" si="129"/>
        <v>FY2007A</v>
      </c>
      <c r="BO61" s="397" t="str">
        <f t="shared" si="129"/>
        <v>FY2008A</v>
      </c>
      <c r="BP61" s="397" t="str">
        <f t="shared" si="129"/>
        <v>FY2009A</v>
      </c>
      <c r="BQ61" s="397" t="str">
        <f t="shared" si="129"/>
        <v>FY2010A</v>
      </c>
      <c r="BR61" s="397" t="str">
        <f t="shared" si="129"/>
        <v>FY2011A</v>
      </c>
      <c r="BS61" s="397" t="str">
        <f t="shared" si="129"/>
        <v>FY2012A</v>
      </c>
      <c r="BT61" s="397" t="str">
        <f t="shared" si="129"/>
        <v>FY2013A</v>
      </c>
      <c r="BU61" s="397" t="str">
        <f t="shared" si="129"/>
        <v>FY2014A</v>
      </c>
      <c r="BV61" s="397" t="str">
        <f t="shared" si="129"/>
        <v>FY2015A</v>
      </c>
      <c r="BW61" s="397" t="str">
        <f t="shared" si="129"/>
        <v>FY2016A</v>
      </c>
      <c r="BX61" s="397" t="str">
        <f t="shared" si="129"/>
        <v>FY2017A</v>
      </c>
      <c r="BY61" s="723" t="str">
        <f>BY6</f>
        <v>FY2018E</v>
      </c>
      <c r="BZ61" s="723" t="str">
        <f>BZ6</f>
        <v>FY2019E</v>
      </c>
      <c r="CA61" s="398" t="str">
        <f>CA6</f>
        <v>FY2020E</v>
      </c>
      <c r="CB61" s="734"/>
      <c r="CC61" s="734"/>
      <c r="CD61" s="204"/>
    </row>
    <row r="62" spans="1:88" ht="14.25" customHeight="1">
      <c r="A62" s="203"/>
      <c r="B62" s="232" t="s">
        <v>415</v>
      </c>
      <c r="C62" s="228"/>
      <c r="D62" s="589">
        <f t="shared" ref="D62:AQ62" si="130">-D30</f>
        <v>48.820999999999998</v>
      </c>
      <c r="E62" s="589">
        <f t="shared" si="130"/>
        <v>31.731000000000009</v>
      </c>
      <c r="F62" s="589">
        <f t="shared" si="130"/>
        <v>39.550999999999988</v>
      </c>
      <c r="G62" s="580">
        <f t="shared" si="130"/>
        <v>59.379000000000005</v>
      </c>
      <c r="H62" s="589">
        <f t="shared" si="130"/>
        <v>58.901000000000003</v>
      </c>
      <c r="I62" s="589">
        <f t="shared" si="130"/>
        <v>72.364999999999981</v>
      </c>
      <c r="J62" s="589">
        <f t="shared" si="130"/>
        <v>72.97</v>
      </c>
      <c r="K62" s="580">
        <f t="shared" si="130"/>
        <v>60.548000000000009</v>
      </c>
      <c r="L62" s="589">
        <f t="shared" si="130"/>
        <v>74.144000000000005</v>
      </c>
      <c r="M62" s="589">
        <f t="shared" si="130"/>
        <v>63.555000000000007</v>
      </c>
      <c r="N62" s="589">
        <f t="shared" si="130"/>
        <v>71.812999999999988</v>
      </c>
      <c r="O62" s="580">
        <f t="shared" si="130"/>
        <v>78.394000000000005</v>
      </c>
      <c r="P62" s="589">
        <f t="shared" si="130"/>
        <v>73.317999999999998</v>
      </c>
      <c r="Q62" s="589">
        <f t="shared" si="130"/>
        <v>54.780999999999992</v>
      </c>
      <c r="R62" s="589">
        <f t="shared" si="130"/>
        <v>59.705000000000027</v>
      </c>
      <c r="S62" s="580">
        <f t="shared" si="130"/>
        <v>60.622999999999976</v>
      </c>
      <c r="T62" s="589">
        <f t="shared" si="130"/>
        <v>53.167000000000002</v>
      </c>
      <c r="U62" s="589">
        <f t="shared" si="130"/>
        <v>44.706999999999994</v>
      </c>
      <c r="V62" s="589">
        <f t="shared" si="130"/>
        <v>36.170000000000016</v>
      </c>
      <c r="W62" s="580">
        <f t="shared" si="130"/>
        <v>35.036999999999978</v>
      </c>
      <c r="X62" s="589">
        <f t="shared" si="130"/>
        <v>24</v>
      </c>
      <c r="Y62" s="589">
        <f t="shared" si="130"/>
        <v>57</v>
      </c>
      <c r="Z62" s="589">
        <f t="shared" si="130"/>
        <v>55</v>
      </c>
      <c r="AA62" s="580">
        <f t="shared" si="130"/>
        <v>73</v>
      </c>
      <c r="AB62" s="589">
        <f t="shared" si="130"/>
        <v>37</v>
      </c>
      <c r="AC62" s="589">
        <f t="shared" si="130"/>
        <v>39</v>
      </c>
      <c r="AD62" s="589">
        <f t="shared" si="130"/>
        <v>45</v>
      </c>
      <c r="AE62" s="580">
        <f t="shared" si="130"/>
        <v>41</v>
      </c>
      <c r="AF62" s="589">
        <f t="shared" si="130"/>
        <v>49</v>
      </c>
      <c r="AG62" s="589">
        <f t="shared" si="130"/>
        <v>51</v>
      </c>
      <c r="AH62" s="589">
        <f t="shared" si="130"/>
        <v>40</v>
      </c>
      <c r="AI62" s="580">
        <f t="shared" si="130"/>
        <v>57</v>
      </c>
      <c r="AJ62" s="589">
        <f t="shared" si="130"/>
        <v>48</v>
      </c>
      <c r="AK62" s="589">
        <f t="shared" si="130"/>
        <v>65</v>
      </c>
      <c r="AL62" s="589">
        <f t="shared" si="130"/>
        <v>65</v>
      </c>
      <c r="AM62" s="580">
        <f t="shared" si="130"/>
        <v>63</v>
      </c>
      <c r="AN62" s="589">
        <f t="shared" si="130"/>
        <v>49</v>
      </c>
      <c r="AO62" s="589">
        <f t="shared" si="130"/>
        <v>64</v>
      </c>
      <c r="AP62" s="589">
        <f t="shared" si="130"/>
        <v>51</v>
      </c>
      <c r="AQ62" s="580">
        <f t="shared" si="130"/>
        <v>53</v>
      </c>
      <c r="AR62" s="589">
        <f t="shared" ref="AR62:AX62" si="131">-AR30</f>
        <v>68</v>
      </c>
      <c r="AS62" s="589">
        <f t="shared" si="131"/>
        <v>47</v>
      </c>
      <c r="AT62" s="589">
        <f t="shared" si="131"/>
        <v>50</v>
      </c>
      <c r="AU62" s="580">
        <f t="shared" si="131"/>
        <v>88</v>
      </c>
      <c r="AV62" s="589">
        <f t="shared" si="131"/>
        <v>64</v>
      </c>
      <c r="AW62" s="589">
        <f t="shared" si="131"/>
        <v>77</v>
      </c>
      <c r="AX62" s="589">
        <f t="shared" si="131"/>
        <v>80</v>
      </c>
      <c r="AY62" s="566">
        <f t="shared" ref="AY62:AZ62" si="132">-AY30</f>
        <v>124</v>
      </c>
      <c r="AZ62" s="589">
        <f t="shared" si="132"/>
        <v>203</v>
      </c>
      <c r="BA62" s="589">
        <f>IS!BA7*BA64</f>
        <v>215.35064747859184</v>
      </c>
      <c r="BB62" s="589">
        <f>IS!BB7*BB64</f>
        <v>209.70481017483348</v>
      </c>
      <c r="BC62" s="566">
        <f>IS!BC7*BC64</f>
        <v>211.05193226266653</v>
      </c>
      <c r="BD62" s="589">
        <f>IS!BD7*BD64</f>
        <v>204.67611965666924</v>
      </c>
      <c r="BE62" s="589">
        <f>IS!BE7*BE64</f>
        <v>206.51817972982266</v>
      </c>
      <c r="BF62" s="589">
        <f>IS!BF7*BF64</f>
        <v>207.6930530847265</v>
      </c>
      <c r="BG62" s="566">
        <f>IS!BG7*BG64</f>
        <v>210.51849850897977</v>
      </c>
      <c r="BH62" s="589">
        <f>IS!BH7*BH64</f>
        <v>208.94227053302177</v>
      </c>
      <c r="BI62" s="589">
        <f>IS!BI7*BI64</f>
        <v>210.77969572707639</v>
      </c>
      <c r="BJ62" s="589">
        <f>IS!BJ7*BJ64</f>
        <v>212.95839828837703</v>
      </c>
      <c r="BK62" s="566">
        <f>IS!BK7*BK64</f>
        <v>213.17690881312052</v>
      </c>
      <c r="BL62" s="231"/>
      <c r="BM62" s="565">
        <f t="shared" ref="BM62:BX62" si="133">-BM30</f>
        <v>179.482</v>
      </c>
      <c r="BN62" s="565">
        <f t="shared" si="133"/>
        <v>264.78399999999999</v>
      </c>
      <c r="BO62" s="565">
        <f t="shared" si="133"/>
        <v>287.90600000000001</v>
      </c>
      <c r="BP62" s="565">
        <f t="shared" si="133"/>
        <v>248.42700000000002</v>
      </c>
      <c r="BQ62" s="467">
        <f t="shared" si="133"/>
        <v>169.08099999999999</v>
      </c>
      <c r="BR62" s="467">
        <f t="shared" si="133"/>
        <v>209</v>
      </c>
      <c r="BS62" s="467">
        <f t="shared" si="133"/>
        <v>162</v>
      </c>
      <c r="BT62" s="467">
        <f t="shared" si="133"/>
        <v>197</v>
      </c>
      <c r="BU62" s="467">
        <f t="shared" si="133"/>
        <v>241</v>
      </c>
      <c r="BV62" s="467">
        <f t="shared" si="133"/>
        <v>217</v>
      </c>
      <c r="BW62" s="467">
        <f t="shared" si="133"/>
        <v>253</v>
      </c>
      <c r="BX62" s="467">
        <f t="shared" si="133"/>
        <v>345</v>
      </c>
      <c r="BY62" s="467">
        <f>-BY30</f>
        <v>839.10738991609173</v>
      </c>
      <c r="BZ62" s="471">
        <f>-BZ30</f>
        <v>829.40585098019824</v>
      </c>
      <c r="CA62" s="471">
        <f>-CA30</f>
        <v>845.85727336159562</v>
      </c>
      <c r="CB62" s="734"/>
      <c r="CC62" s="734"/>
      <c r="CD62" s="204"/>
    </row>
    <row r="63" spans="1:88" ht="14.25" customHeight="1">
      <c r="A63" s="203"/>
      <c r="B63" s="232" t="s">
        <v>414</v>
      </c>
      <c r="C63" s="231"/>
      <c r="D63" s="570">
        <v>0</v>
      </c>
      <c r="E63" s="570">
        <v>0</v>
      </c>
      <c r="F63" s="570">
        <v>0</v>
      </c>
      <c r="G63" s="587">
        <v>0</v>
      </c>
      <c r="H63" s="570">
        <v>0</v>
      </c>
      <c r="I63" s="570">
        <v>0</v>
      </c>
      <c r="J63" s="570">
        <v>0</v>
      </c>
      <c r="K63" s="587">
        <v>0</v>
      </c>
      <c r="L63" s="570">
        <v>0</v>
      </c>
      <c r="M63" s="570">
        <v>0</v>
      </c>
      <c r="N63" s="570">
        <v>0</v>
      </c>
      <c r="O63" s="587">
        <v>0</v>
      </c>
      <c r="P63" s="570">
        <v>0</v>
      </c>
      <c r="Q63" s="570">
        <v>0</v>
      </c>
      <c r="R63" s="570">
        <v>0</v>
      </c>
      <c r="S63" s="587">
        <v>0</v>
      </c>
      <c r="T63" s="570">
        <v>0</v>
      </c>
      <c r="U63" s="570">
        <v>0</v>
      </c>
      <c r="V63" s="570">
        <v>0</v>
      </c>
      <c r="W63" s="587">
        <v>0</v>
      </c>
      <c r="X63" s="570">
        <v>0</v>
      </c>
      <c r="Y63" s="570">
        <v>0</v>
      </c>
      <c r="Z63" s="570">
        <v>0</v>
      </c>
      <c r="AA63" s="587">
        <v>0</v>
      </c>
      <c r="AB63" s="570">
        <v>0</v>
      </c>
      <c r="AC63" s="570">
        <v>0</v>
      </c>
      <c r="AD63" s="570">
        <v>0</v>
      </c>
      <c r="AE63" s="587">
        <v>0</v>
      </c>
      <c r="AF63" s="570">
        <v>0</v>
      </c>
      <c r="AG63" s="570">
        <v>0</v>
      </c>
      <c r="AH63" s="570">
        <v>0</v>
      </c>
      <c r="AI63" s="587">
        <v>0</v>
      </c>
      <c r="AJ63" s="570">
        <v>0</v>
      </c>
      <c r="AK63" s="570">
        <v>0</v>
      </c>
      <c r="AL63" s="570">
        <v>0</v>
      </c>
      <c r="AM63" s="587">
        <v>0</v>
      </c>
      <c r="AN63" s="570">
        <v>0</v>
      </c>
      <c r="AO63" s="570">
        <v>0</v>
      </c>
      <c r="AP63" s="570">
        <v>0</v>
      </c>
      <c r="AQ63" s="587">
        <v>0</v>
      </c>
      <c r="AR63" s="570">
        <v>0</v>
      </c>
      <c r="AS63" s="570">
        <v>0</v>
      </c>
      <c r="AT63" s="570">
        <v>0</v>
      </c>
      <c r="AU63" s="587">
        <v>0</v>
      </c>
      <c r="AV63" s="570">
        <v>0</v>
      </c>
      <c r="AW63" s="570">
        <v>0</v>
      </c>
      <c r="AX63" s="570">
        <v>0</v>
      </c>
      <c r="AY63" s="771">
        <v>0</v>
      </c>
      <c r="AZ63" s="570">
        <v>0</v>
      </c>
      <c r="BA63" s="570">
        <v>0</v>
      </c>
      <c r="BB63" s="570">
        <v>0</v>
      </c>
      <c r="BC63" s="588">
        <v>0</v>
      </c>
      <c r="BD63" s="570">
        <v>0</v>
      </c>
      <c r="BE63" s="570">
        <v>0</v>
      </c>
      <c r="BF63" s="570">
        <v>0</v>
      </c>
      <c r="BG63" s="588">
        <v>0</v>
      </c>
      <c r="BH63" s="570">
        <v>0</v>
      </c>
      <c r="BI63" s="570">
        <v>0</v>
      </c>
      <c r="BJ63" s="570">
        <v>0</v>
      </c>
      <c r="BK63" s="588">
        <v>0</v>
      </c>
      <c r="BL63" s="231"/>
      <c r="BM63" s="583">
        <v>0</v>
      </c>
      <c r="BN63" s="583">
        <v>0</v>
      </c>
      <c r="BO63" s="583">
        <v>0</v>
      </c>
      <c r="BP63" s="583">
        <v>0</v>
      </c>
      <c r="BQ63" s="583">
        <v>0</v>
      </c>
      <c r="BR63" s="583">
        <v>0</v>
      </c>
      <c r="BS63" s="583">
        <v>0</v>
      </c>
      <c r="BT63" s="583">
        <v>0</v>
      </c>
      <c r="BU63" s="583">
        <v>0</v>
      </c>
      <c r="BV63" s="583">
        <v>0</v>
      </c>
      <c r="BW63" s="583">
        <v>0</v>
      </c>
      <c r="BX63" s="583">
        <v>0</v>
      </c>
      <c r="BY63" s="583">
        <v>0</v>
      </c>
      <c r="BZ63" s="587">
        <v>0</v>
      </c>
      <c r="CA63" s="587">
        <v>0</v>
      </c>
      <c r="CB63" s="734"/>
      <c r="CC63" s="734"/>
      <c r="CD63" s="204"/>
    </row>
    <row r="64" spans="1:88" ht="14.25" customHeight="1">
      <c r="A64" s="203"/>
      <c r="B64" s="262" t="s">
        <v>413</v>
      </c>
      <c r="C64" s="586"/>
      <c r="D64" s="384">
        <f>D62/IS!D7</f>
        <v>2.6281874598943145E-2</v>
      </c>
      <c r="E64" s="270">
        <f>E62/IS!E7</f>
        <v>1.4117185407570277E-2</v>
      </c>
      <c r="F64" s="270">
        <f>F62/IS!F7</f>
        <v>1.5550181387984707E-2</v>
      </c>
      <c r="G64" s="281">
        <f>G62/IS!G7</f>
        <v>2.3579067249124706E-2</v>
      </c>
      <c r="H64" s="384">
        <f>H62/IS!H7</f>
        <v>2.5864775627978627E-2</v>
      </c>
      <c r="I64" s="270">
        <f>I62/IS!I7</f>
        <v>2.8607730748536991E-2</v>
      </c>
      <c r="J64" s="270">
        <f>J62/IS!J7</f>
        <v>2.8492954270702198E-2</v>
      </c>
      <c r="K64" s="281">
        <f>K62/IS!K7</f>
        <v>2.5579583649480115E-2</v>
      </c>
      <c r="L64" s="384">
        <f>L62/IS!L7</f>
        <v>3.5519836427857283E-2</v>
      </c>
      <c r="M64" s="270">
        <f>M62/IS!M7</f>
        <v>2.9560492614411737E-2</v>
      </c>
      <c r="N64" s="270">
        <f>N62/IS!N7</f>
        <v>3.8856316092476438E-2</v>
      </c>
      <c r="O64" s="281">
        <f>O62/IS!O7</f>
        <v>3.8359290631543051E-2</v>
      </c>
      <c r="P64" s="384">
        <f>P62/IS!P7</f>
        <v>5.498591566196389E-2</v>
      </c>
      <c r="Q64" s="270">
        <f>Q62/IS!Q7</f>
        <v>5.3702808709538585E-2</v>
      </c>
      <c r="R64" s="270">
        <f>R62/IS!R7</f>
        <v>5.2661985993261266E-2</v>
      </c>
      <c r="S64" s="281">
        <f>S62/IS!S7</f>
        <v>3.9716482114054416E-2</v>
      </c>
      <c r="T64" s="384">
        <f>T62/IS!T7</f>
        <v>2.8755985985195538E-2</v>
      </c>
      <c r="U64" s="270">
        <f>U62/IS!U7</f>
        <v>1.9475591799750818E-2</v>
      </c>
      <c r="V64" s="270">
        <f>V62/IS!V7</f>
        <v>1.436577315820621E-2</v>
      </c>
      <c r="W64" s="281">
        <f>W62/IS!W7</f>
        <v>1.2138503032287227E-2</v>
      </c>
      <c r="X64" s="384">
        <f>X62/IS!X7</f>
        <v>8.9352196574832461E-3</v>
      </c>
      <c r="Y64" s="270">
        <f>Y62/IS!Y7</f>
        <v>1.9916142557651992E-2</v>
      </c>
      <c r="Z64" s="270">
        <f>Z62/IS!Z7</f>
        <v>1.9734481521349122E-2</v>
      </c>
      <c r="AA64" s="281">
        <f>AA62/IS!AA7</f>
        <v>3.3455545371219066E-2</v>
      </c>
      <c r="AB64" s="384">
        <f>AB62/IS!AB7</f>
        <v>1.6902695294655094E-2</v>
      </c>
      <c r="AC64" s="270">
        <f>AC62/IS!AC7</f>
        <v>1.5348288075560802E-2</v>
      </c>
      <c r="AD64" s="270">
        <f>AD62/IS!AD7</f>
        <v>1.9206145966709345E-2</v>
      </c>
      <c r="AE64" s="281">
        <f>AE62/IS!AE7</f>
        <v>2.490886998784933E-2</v>
      </c>
      <c r="AF64" s="384">
        <f>AF62/IS!AF7</f>
        <v>3.1150667514303877E-2</v>
      </c>
      <c r="AG64" s="270">
        <f>AG62/IS!AG7</f>
        <v>2.5848960973137353E-2</v>
      </c>
      <c r="AH64" s="270">
        <f>AH62/IS!AH7</f>
        <v>2.0253164556962026E-2</v>
      </c>
      <c r="AI64" s="281">
        <f>AI62/IS!AI7</f>
        <v>2.8672032193158954E-2</v>
      </c>
      <c r="AJ64" s="384">
        <f>AJ62/IS!AJ7</f>
        <v>2.1917808219178082E-2</v>
      </c>
      <c r="AK64" s="270">
        <f>AK62/IS!AK7</f>
        <v>2.7624309392265192E-2</v>
      </c>
      <c r="AL64" s="270">
        <f>AL62/IS!AL7</f>
        <v>2.8697571743929361E-2</v>
      </c>
      <c r="AM64" s="281">
        <f>AM62/IS!AM7</f>
        <v>2.7826855123674912E-2</v>
      </c>
      <c r="AN64" s="384">
        <f>AN62/IS!AN7</f>
        <v>2.0771513353115726E-2</v>
      </c>
      <c r="AO64" s="270">
        <f>AO62/IS!AO7</f>
        <v>2.620802620802621E-2</v>
      </c>
      <c r="AP64" s="270">
        <f>AP62/IS!AP7</f>
        <v>2.0481927710843374E-2</v>
      </c>
      <c r="AQ64" s="281">
        <f>AQ62/IS!AQ7</f>
        <v>2.2381756756756757E-2</v>
      </c>
      <c r="AR64" s="384">
        <f>AR62/IS!AR7</f>
        <v>3.0128489144882586E-2</v>
      </c>
      <c r="AS64" s="270">
        <f>AS62/IS!AS7</f>
        <v>1.9183673469387756E-2</v>
      </c>
      <c r="AT64" s="270">
        <f>AT62/IS!AT7</f>
        <v>1.7724211272598371E-2</v>
      </c>
      <c r="AU64" s="281">
        <f>AU62/IS!AU7</f>
        <v>2.6690931149529876E-2</v>
      </c>
      <c r="AV64" s="384">
        <f>AV62/IS!AV7</f>
        <v>1.9524100061012812E-2</v>
      </c>
      <c r="AW64" s="270">
        <f>AW62/IS!AW7</f>
        <v>2.1714608009024253E-2</v>
      </c>
      <c r="AX64" s="270">
        <f>AX62/IS!AX7</f>
        <v>2.1367521367521368E-2</v>
      </c>
      <c r="AY64" s="706">
        <f>AY62/IS!AY7</f>
        <v>3.1242126480221719E-2</v>
      </c>
      <c r="AZ64" s="720">
        <f>AZ62/IS!AZ7</f>
        <v>4.8287345385347291E-2</v>
      </c>
      <c r="BA64" s="762">
        <f t="shared" ref="BA64:BC64" si="134">AZ64</f>
        <v>4.8287345385347291E-2</v>
      </c>
      <c r="BB64" s="762">
        <f t="shared" si="134"/>
        <v>4.8287345385347291E-2</v>
      </c>
      <c r="BC64" s="760">
        <f t="shared" si="134"/>
        <v>4.8287345385347291E-2</v>
      </c>
      <c r="BD64" s="761">
        <f t="shared" ref="BD64" si="135">BC64</f>
        <v>4.8287345385347291E-2</v>
      </c>
      <c r="BE64" s="762">
        <f t="shared" ref="BE64" si="136">BD64</f>
        <v>4.8287345385347291E-2</v>
      </c>
      <c r="BF64" s="762">
        <f t="shared" ref="BF64" si="137">BE64</f>
        <v>4.8287345385347291E-2</v>
      </c>
      <c r="BG64" s="760">
        <f t="shared" ref="BG64" si="138">BF64</f>
        <v>4.8287345385347291E-2</v>
      </c>
      <c r="BH64" s="761">
        <f t="shared" ref="BH64" si="139">BG64</f>
        <v>4.8287345385347291E-2</v>
      </c>
      <c r="BI64" s="762">
        <f t="shared" ref="BI64" si="140">BH64</f>
        <v>4.8287345385347291E-2</v>
      </c>
      <c r="BJ64" s="762">
        <f t="shared" ref="BJ64" si="141">BI64</f>
        <v>4.8287345385347291E-2</v>
      </c>
      <c r="BK64" s="760">
        <f t="shared" ref="BK64" si="142">BJ64</f>
        <v>4.8287345385347291E-2</v>
      </c>
      <c r="BL64" s="231"/>
      <c r="BM64" s="585">
        <f>BM62/IS!BM7</f>
        <v>1.9579112675076091E-2</v>
      </c>
      <c r="BN64" s="585">
        <f>BN62/IS!BN7</f>
        <v>2.7199580558767381E-2</v>
      </c>
      <c r="BO64" s="585">
        <f>BO62/IS!BO7</f>
        <v>3.5416102858323778E-2</v>
      </c>
      <c r="BP64" s="585">
        <f>BP62/IS!BP7</f>
        <v>4.9550553124726372E-2</v>
      </c>
      <c r="BQ64" s="270">
        <f>BQ62/IS!BQ7</f>
        <v>1.7707288357631489E-2</v>
      </c>
      <c r="BR64" s="270">
        <f>BR62/IS!BR7</f>
        <v>1.987258723970714E-2</v>
      </c>
      <c r="BS64" s="703">
        <f>BS62/IS!BS7</f>
        <v>1.8580112398210804E-2</v>
      </c>
      <c r="BT64" s="703">
        <f>BT62/IS!BT7</f>
        <v>2.6235184445332269E-2</v>
      </c>
      <c r="BU64" s="703">
        <f>BU62/IS!BU7</f>
        <v>2.6565255731922397E-2</v>
      </c>
      <c r="BV64" s="703">
        <f>BV62/IS!BV7</f>
        <v>2.246609379852987E-2</v>
      </c>
      <c r="BW64" s="703">
        <f>BW62/IS!BW7</f>
        <v>2.3371824480369514E-2</v>
      </c>
      <c r="BX64" s="703">
        <f>BX62/IS!BX7</f>
        <v>2.3732544541514754E-2</v>
      </c>
      <c r="BY64" s="703">
        <f>BY62/IS!BY7</f>
        <v>4.8287345385347277E-2</v>
      </c>
      <c r="BZ64" s="706">
        <f>BZ62/IS!BZ7</f>
        <v>4.8287345385347298E-2</v>
      </c>
      <c r="CA64" s="706">
        <f>CA62/IS!CA7</f>
        <v>4.8287345385347284E-2</v>
      </c>
      <c r="CB64" s="734"/>
      <c r="CC64" s="734"/>
      <c r="CD64" s="204"/>
    </row>
    <row r="65" spans="1:82" ht="14.25" customHeight="1">
      <c r="A65" s="203"/>
      <c r="B65" s="438" t="s">
        <v>412</v>
      </c>
      <c r="C65" s="401"/>
      <c r="D65" s="559"/>
      <c r="E65" s="559"/>
      <c r="F65" s="584"/>
      <c r="G65" s="579"/>
      <c r="H65" s="559"/>
      <c r="I65" s="559"/>
      <c r="J65" s="584"/>
      <c r="K65" s="579"/>
      <c r="L65" s="559"/>
      <c r="M65" s="559"/>
      <c r="N65" s="584"/>
      <c r="O65" s="579"/>
      <c r="P65" s="559"/>
      <c r="Q65" s="559"/>
      <c r="R65" s="584"/>
      <c r="S65" s="579"/>
      <c r="T65" s="559"/>
      <c r="U65" s="559"/>
      <c r="V65" s="584"/>
      <c r="W65" s="579"/>
      <c r="X65" s="559"/>
      <c r="Y65" s="559"/>
      <c r="Z65" s="584"/>
      <c r="AA65" s="579"/>
      <c r="AB65" s="559"/>
      <c r="AC65" s="559"/>
      <c r="AD65" s="584"/>
      <c r="AE65" s="579"/>
      <c r="AF65" s="559"/>
      <c r="AG65" s="559"/>
      <c r="AH65" s="584"/>
      <c r="AI65" s="579"/>
      <c r="AJ65" s="559"/>
      <c r="AK65" s="559"/>
      <c r="AL65" s="584"/>
      <c r="AM65" s="579"/>
      <c r="AN65" s="559"/>
      <c r="AO65" s="559"/>
      <c r="AP65" s="584"/>
      <c r="AQ65" s="654"/>
      <c r="AR65" s="559"/>
      <c r="AS65" s="559"/>
      <c r="AT65" s="584"/>
      <c r="AU65" s="654"/>
      <c r="AV65" s="559"/>
      <c r="AW65" s="578"/>
      <c r="AX65" s="584"/>
      <c r="AY65" s="579"/>
      <c r="AZ65" s="559"/>
      <c r="BA65" s="578">
        <f t="shared" ref="BA65:BC65" si="143">BA13</f>
        <v>0</v>
      </c>
      <c r="BB65" s="584">
        <f t="shared" si="143"/>
        <v>0</v>
      </c>
      <c r="BC65" s="579">
        <f t="shared" si="143"/>
        <v>0</v>
      </c>
      <c r="BD65" s="559">
        <f t="shared" ref="BD65:BG65" si="144">BD13</f>
        <v>0</v>
      </c>
      <c r="BE65" s="578">
        <f t="shared" si="144"/>
        <v>0</v>
      </c>
      <c r="BF65" s="584">
        <f t="shared" si="144"/>
        <v>0</v>
      </c>
      <c r="BG65" s="579">
        <f t="shared" si="144"/>
        <v>0</v>
      </c>
      <c r="BH65" s="559">
        <f t="shared" ref="BH65:BK65" si="145">BH13</f>
        <v>0</v>
      </c>
      <c r="BI65" s="578">
        <f t="shared" si="145"/>
        <v>0</v>
      </c>
      <c r="BJ65" s="584">
        <f t="shared" si="145"/>
        <v>0</v>
      </c>
      <c r="BK65" s="579">
        <f t="shared" si="145"/>
        <v>0</v>
      </c>
      <c r="BL65" s="231"/>
      <c r="BM65" s="584">
        <f t="shared" ref="BM65:BX65" si="146">BM13</f>
        <v>212.113</v>
      </c>
      <c r="BN65" s="584">
        <f t="shared" si="146"/>
        <v>26.420999999999999</v>
      </c>
      <c r="BO65" s="584">
        <f t="shared" si="146"/>
        <v>49.634</v>
      </c>
      <c r="BP65" s="584">
        <f t="shared" si="146"/>
        <v>155.78800000000001</v>
      </c>
      <c r="BQ65" s="578">
        <f t="shared" si="146"/>
        <v>258.64300000000003</v>
      </c>
      <c r="BR65" s="578">
        <f t="shared" si="146"/>
        <v>-30</v>
      </c>
      <c r="BS65" s="578">
        <f t="shared" si="146"/>
        <v>168</v>
      </c>
      <c r="BT65" s="578">
        <f t="shared" si="146"/>
        <v>63</v>
      </c>
      <c r="BU65" s="578">
        <f t="shared" si="146"/>
        <v>5</v>
      </c>
      <c r="BV65" s="578">
        <f t="shared" si="146"/>
        <v>14</v>
      </c>
      <c r="BW65" s="578">
        <f t="shared" si="146"/>
        <v>0</v>
      </c>
      <c r="BX65" s="578">
        <f t="shared" si="146"/>
        <v>0</v>
      </c>
      <c r="BY65" s="578">
        <f>BY13</f>
        <v>0</v>
      </c>
      <c r="BZ65" s="579">
        <f>BZ13</f>
        <v>0</v>
      </c>
      <c r="CA65" s="579">
        <f>CA13</f>
        <v>0</v>
      </c>
      <c r="CB65" s="734"/>
      <c r="CC65" s="734"/>
      <c r="CD65" s="204"/>
    </row>
    <row r="66" spans="1:82" ht="14.25" customHeight="1">
      <c r="A66" s="206"/>
      <c r="B66" s="217" t="s">
        <v>127</v>
      </c>
      <c r="C66" s="216"/>
      <c r="D66" s="567">
        <v>2117.6999999999998</v>
      </c>
      <c r="E66" s="557">
        <f t="shared" ref="E66:AZ66" si="147">D66+E62+E63-E65</f>
        <v>2149.431</v>
      </c>
      <c r="F66" s="557">
        <f t="shared" si="147"/>
        <v>2188.982</v>
      </c>
      <c r="G66" s="557">
        <f t="shared" si="147"/>
        <v>2248.3609999999999</v>
      </c>
      <c r="H66" s="567">
        <f t="shared" si="147"/>
        <v>2307.2619999999997</v>
      </c>
      <c r="I66" s="557">
        <f t="shared" si="147"/>
        <v>2379.6269999999995</v>
      </c>
      <c r="J66" s="557">
        <f t="shared" si="147"/>
        <v>2452.5969999999993</v>
      </c>
      <c r="K66" s="557">
        <f t="shared" si="147"/>
        <v>2513.1449999999995</v>
      </c>
      <c r="L66" s="567">
        <f t="shared" si="147"/>
        <v>2587.2889999999998</v>
      </c>
      <c r="M66" s="557">
        <f t="shared" si="147"/>
        <v>2650.8439999999996</v>
      </c>
      <c r="N66" s="557">
        <f t="shared" si="147"/>
        <v>2722.6569999999997</v>
      </c>
      <c r="O66" s="557">
        <f t="shared" si="147"/>
        <v>2801.0509999999995</v>
      </c>
      <c r="P66" s="567">
        <f t="shared" si="147"/>
        <v>2874.3689999999997</v>
      </c>
      <c r="Q66" s="557">
        <f t="shared" si="147"/>
        <v>2929.1499999999996</v>
      </c>
      <c r="R66" s="557">
        <f t="shared" si="147"/>
        <v>2988.8549999999996</v>
      </c>
      <c r="S66" s="557">
        <f t="shared" si="147"/>
        <v>3049.4779999999996</v>
      </c>
      <c r="T66" s="567">
        <f t="shared" si="147"/>
        <v>3102.6449999999995</v>
      </c>
      <c r="U66" s="557">
        <f>T66+U62+U63-U65</f>
        <v>3147.3519999999994</v>
      </c>
      <c r="V66" s="557">
        <f t="shared" si="147"/>
        <v>3183.5219999999995</v>
      </c>
      <c r="W66" s="557">
        <f t="shared" si="147"/>
        <v>3218.5589999999993</v>
      </c>
      <c r="X66" s="567">
        <f t="shared" si="147"/>
        <v>3242.5589999999993</v>
      </c>
      <c r="Y66" s="557">
        <f t="shared" si="147"/>
        <v>3299.5589999999993</v>
      </c>
      <c r="Z66" s="557">
        <f t="shared" si="147"/>
        <v>3354.5589999999993</v>
      </c>
      <c r="AA66" s="557">
        <f t="shared" si="147"/>
        <v>3427.5589999999993</v>
      </c>
      <c r="AB66" s="567">
        <f t="shared" si="147"/>
        <v>3464.5589999999993</v>
      </c>
      <c r="AC66" s="557">
        <f t="shared" si="147"/>
        <v>3503.5589999999993</v>
      </c>
      <c r="AD66" s="557">
        <f t="shared" si="147"/>
        <v>3548.5589999999993</v>
      </c>
      <c r="AE66" s="557">
        <f t="shared" si="147"/>
        <v>3589.5589999999993</v>
      </c>
      <c r="AF66" s="567">
        <f t="shared" si="147"/>
        <v>3638.5589999999993</v>
      </c>
      <c r="AG66" s="557">
        <f t="shared" si="147"/>
        <v>3689.5589999999993</v>
      </c>
      <c r="AH66" s="557">
        <f t="shared" si="147"/>
        <v>3729.5589999999993</v>
      </c>
      <c r="AI66" s="557">
        <f t="shared" si="147"/>
        <v>3786.5589999999993</v>
      </c>
      <c r="AJ66" s="567">
        <f t="shared" si="147"/>
        <v>3834.5589999999993</v>
      </c>
      <c r="AK66" s="557">
        <f t="shared" si="147"/>
        <v>3899.5589999999993</v>
      </c>
      <c r="AL66" s="557">
        <f t="shared" si="147"/>
        <v>3964.5589999999993</v>
      </c>
      <c r="AM66" s="557">
        <f t="shared" si="147"/>
        <v>4027.5589999999993</v>
      </c>
      <c r="AN66" s="567">
        <f t="shared" si="147"/>
        <v>4076.5589999999993</v>
      </c>
      <c r="AO66" s="557">
        <f t="shared" si="147"/>
        <v>4140.5589999999993</v>
      </c>
      <c r="AP66" s="557">
        <f t="shared" si="147"/>
        <v>4191.5589999999993</v>
      </c>
      <c r="AQ66" s="566">
        <f t="shared" si="147"/>
        <v>4244.5589999999993</v>
      </c>
      <c r="AR66" s="567">
        <f t="shared" si="147"/>
        <v>4312.5589999999993</v>
      </c>
      <c r="AS66" s="557">
        <f t="shared" si="147"/>
        <v>4359.5589999999993</v>
      </c>
      <c r="AT66" s="557">
        <f t="shared" si="147"/>
        <v>4409.5589999999993</v>
      </c>
      <c r="AU66" s="829">
        <v>3043</v>
      </c>
      <c r="AV66" s="567">
        <f t="shared" si="147"/>
        <v>3107</v>
      </c>
      <c r="AW66" s="557">
        <f t="shared" si="147"/>
        <v>3184</v>
      </c>
      <c r="AX66" s="557">
        <f t="shared" si="147"/>
        <v>3264</v>
      </c>
      <c r="AY66" s="829">
        <v>3311</v>
      </c>
      <c r="AZ66" s="567">
        <f t="shared" si="147"/>
        <v>3514</v>
      </c>
      <c r="BA66" s="557">
        <f t="shared" ref="BA66:BG66" si="148">AZ66+BA62+BA63-BA65</f>
        <v>3729.3506474785918</v>
      </c>
      <c r="BB66" s="557">
        <f t="shared" si="148"/>
        <v>3939.055457653425</v>
      </c>
      <c r="BC66" s="566">
        <f t="shared" si="148"/>
        <v>4150.107389916092</v>
      </c>
      <c r="BD66" s="567">
        <f t="shared" si="148"/>
        <v>4354.7835095727614</v>
      </c>
      <c r="BE66" s="557">
        <f t="shared" si="148"/>
        <v>4561.3016893025842</v>
      </c>
      <c r="BF66" s="557">
        <f t="shared" si="148"/>
        <v>4768.9947423873109</v>
      </c>
      <c r="BG66" s="566">
        <f t="shared" si="148"/>
        <v>4979.5132408962909</v>
      </c>
      <c r="BH66" s="567">
        <f t="shared" ref="BH66" si="149">BG66+BH62+BH63-BH65</f>
        <v>5188.4555114293125</v>
      </c>
      <c r="BI66" s="557">
        <f t="shared" ref="BI66" si="150">BH66+BI62+BI63-BI65</f>
        <v>5399.2352071563892</v>
      </c>
      <c r="BJ66" s="557">
        <f t="shared" ref="BJ66" si="151">BI66+BJ62+BJ63-BJ65</f>
        <v>5612.193605444766</v>
      </c>
      <c r="BK66" s="566">
        <f t="shared" ref="BK66" si="152">BJ66+BK62+BK63-BK65</f>
        <v>5825.3705142578865</v>
      </c>
      <c r="BL66" s="231"/>
      <c r="BM66" s="581">
        <f>G66</f>
        <v>2248.3609999999999</v>
      </c>
      <c r="BN66" s="581">
        <f>K66</f>
        <v>2513.1449999999995</v>
      </c>
      <c r="BO66" s="581">
        <f>O66</f>
        <v>2801.0509999999995</v>
      </c>
      <c r="BP66" s="581">
        <f>S66</f>
        <v>3049.4779999999996</v>
      </c>
      <c r="BQ66" s="581">
        <f>W66</f>
        <v>3218.5589999999993</v>
      </c>
      <c r="BR66" s="581">
        <f>AA66</f>
        <v>3427.5589999999993</v>
      </c>
      <c r="BS66" s="581">
        <f>AE66</f>
        <v>3589.5589999999993</v>
      </c>
      <c r="BT66" s="581">
        <f>AI66</f>
        <v>3786.5589999999993</v>
      </c>
      <c r="BU66" s="581">
        <f>AM66</f>
        <v>4027.5589999999993</v>
      </c>
      <c r="BV66" s="581">
        <f>AQ66</f>
        <v>4244.5589999999993</v>
      </c>
      <c r="BW66" s="581">
        <f>AU66</f>
        <v>3043</v>
      </c>
      <c r="BX66" s="581">
        <f>AY66</f>
        <v>3311</v>
      </c>
      <c r="BY66" s="581">
        <f>BC66</f>
        <v>4150.107389916092</v>
      </c>
      <c r="BZ66" s="580">
        <f>BG66</f>
        <v>4979.5132408962909</v>
      </c>
      <c r="CA66" s="580">
        <f>BK66</f>
        <v>5825.3705142578865</v>
      </c>
      <c r="CB66" s="734"/>
      <c r="CC66" s="734"/>
      <c r="CD66" s="204"/>
    </row>
    <row r="67" spans="1:82" ht="14.25" customHeight="1">
      <c r="A67" s="206"/>
      <c r="B67" s="262" t="s">
        <v>411</v>
      </c>
      <c r="C67" s="261"/>
      <c r="D67" s="384">
        <f>D66/BS!D23</f>
        <v>0.1889132363976582</v>
      </c>
      <c r="E67" s="270">
        <f>E66/BS!E23</f>
        <v>0.18769444616179387</v>
      </c>
      <c r="F67" s="270">
        <f>F66/BS!F23</f>
        <v>0.18591885394905</v>
      </c>
      <c r="G67" s="270">
        <f>G66/BS!G23</f>
        <v>0.23714794379441392</v>
      </c>
      <c r="H67" s="384">
        <f>H66/BS!H23</f>
        <v>0.23524279101464382</v>
      </c>
      <c r="I67" s="270">
        <f>I66/BS!I23</f>
        <v>0.2404581020455985</v>
      </c>
      <c r="J67" s="270">
        <f>J66/BS!J23</f>
        <v>0.23661421869312493</v>
      </c>
      <c r="K67" s="270">
        <f>K66/BS!K23</f>
        <v>0.23588579956495515</v>
      </c>
      <c r="L67" s="384">
        <f>L66/BS!L23</f>
        <v>0.24991953625060948</v>
      </c>
      <c r="M67" s="270">
        <f>M66/BS!M23</f>
        <v>0.24162392500193688</v>
      </c>
      <c r="N67" s="270">
        <f>N66/BS!N23</f>
        <v>0.24754935722253724</v>
      </c>
      <c r="O67" s="270">
        <f>O66/BS!O23</f>
        <v>0.25682828980413003</v>
      </c>
      <c r="P67" s="384">
        <f>P66/BS!P23</f>
        <v>0.27565002234933567</v>
      </c>
      <c r="Q67" s="270">
        <f>Q66/BS!Q23</f>
        <v>0.30045340600192888</v>
      </c>
      <c r="R67" s="270">
        <f>R66/BS!R23</f>
        <v>0.31197988869011251</v>
      </c>
      <c r="S67" s="270">
        <f>S66/BS!S23</f>
        <v>0.31850852333704077</v>
      </c>
      <c r="T67" s="384">
        <f>T66/BS!T23</f>
        <v>0.31014546617008387</v>
      </c>
      <c r="U67" s="270">
        <f>U66/BS!U23</f>
        <v>0.30118924387561841</v>
      </c>
      <c r="V67" s="270">
        <f>V66/BS!V23</f>
        <v>0.29680011873787304</v>
      </c>
      <c r="W67" s="270">
        <f>W66/BS!W23</f>
        <v>0.29411107846823797</v>
      </c>
      <c r="X67" s="384">
        <f>X66/BS!X23</f>
        <v>0.28761389036721652</v>
      </c>
      <c r="Y67" s="270">
        <f>Y66/BS!Y23</f>
        <v>0.27595207828050511</v>
      </c>
      <c r="Z67" s="270">
        <f>Z66/BS!Z23</f>
        <v>0.2378613770119832</v>
      </c>
      <c r="AA67" s="270">
        <f>AA66/BS!AA23</f>
        <v>0.24728078782194643</v>
      </c>
      <c r="AB67" s="384">
        <f>AB66/BS!AB23</f>
        <v>0.25480319188056183</v>
      </c>
      <c r="AC67" s="270">
        <f>AC66/BS!AC23</f>
        <v>0.25247236434387832</v>
      </c>
      <c r="AD67" s="270">
        <f>AD66/BS!AD23</f>
        <v>0.2664083333333333</v>
      </c>
      <c r="AE67" s="270">
        <f>AE66/BS!AE23</f>
        <v>0.2966087423566352</v>
      </c>
      <c r="AF67" s="384">
        <f>AF66/BS!AF23</f>
        <v>0.31061627112856405</v>
      </c>
      <c r="AG67" s="270">
        <f>AG66/BS!AG23</f>
        <v>0.31548174433518594</v>
      </c>
      <c r="AH67" s="270">
        <f>AH66/BS!AH23</f>
        <v>0.31738226533912001</v>
      </c>
      <c r="AI67" s="270">
        <f>AI66/BS!AI23</f>
        <v>0.3144199119820642</v>
      </c>
      <c r="AJ67" s="384">
        <f>AJ66/BS!AJ23</f>
        <v>0.31433387982621519</v>
      </c>
      <c r="AK67" s="270">
        <f>AK66/BS!AK23</f>
        <v>0.31059808841099157</v>
      </c>
      <c r="AL67" s="270">
        <f>AL66/BS!AL23</f>
        <v>0.30850198428137882</v>
      </c>
      <c r="AM67" s="270">
        <f>AM66/BS!AM23</f>
        <v>0.30572028237437371</v>
      </c>
      <c r="AN67" s="384">
        <f>AN66/BS!AN23</f>
        <v>0.31183041383003129</v>
      </c>
      <c r="AO67" s="270">
        <f>AO66/BS!AO23</f>
        <v>0.30474416721866487</v>
      </c>
      <c r="AP67" s="270">
        <f>AP66/BS!AP23</f>
        <v>0.31867703185585033</v>
      </c>
      <c r="AQ67" s="281">
        <f>AQ66/BS!AQ23</f>
        <v>0.2772771753331591</v>
      </c>
      <c r="AR67" s="384">
        <f>AR66/BS!AR23</f>
        <v>0.32361991595377454</v>
      </c>
      <c r="AS67" s="270">
        <f>AS66/BS!AS23</f>
        <v>0.33342707456978959</v>
      </c>
      <c r="AT67" s="270">
        <f>AT66/BS!AT23</f>
        <v>0.3218891159938681</v>
      </c>
      <c r="AU67" s="706">
        <f>AU66/BS!AU23</f>
        <v>0.20859610638881274</v>
      </c>
      <c r="AV67" s="384">
        <f>AV66/BS!AV23</f>
        <v>0.20381789556546839</v>
      </c>
      <c r="AW67" s="270">
        <f>AW66/BS!AW23</f>
        <v>0.17456140350877192</v>
      </c>
      <c r="AX67" s="270">
        <f>AX66/BS!AX23</f>
        <v>0.1710871160499004</v>
      </c>
      <c r="AY67" s="281">
        <f>AY66/BS!AY23</f>
        <v>0.17050311550543282</v>
      </c>
      <c r="AZ67" s="720">
        <f>AZ66/BS!AZ23</f>
        <v>0.17871128515485937</v>
      </c>
      <c r="BA67" s="703">
        <f>BA66/BS!BA23</f>
        <v>0.18494658189842186</v>
      </c>
      <c r="BB67" s="703">
        <f>BB66/BS!BB23</f>
        <v>0.19424221623573715</v>
      </c>
      <c r="BC67" s="706">
        <f>BC66/BS!BC23</f>
        <v>0.20257034241185035</v>
      </c>
      <c r="BD67" s="720">
        <f>BD66/BS!BD23</f>
        <v>0.21264570312466807</v>
      </c>
      <c r="BE67" s="703">
        <f>BE66/BS!BE23</f>
        <v>0.2218486250183781</v>
      </c>
      <c r="BF67" s="703">
        <f>BF66/BS!BF23</f>
        <v>0.2309714403412452</v>
      </c>
      <c r="BG67" s="706">
        <f>BG66/BS!BG23</f>
        <v>0.23995136042776735</v>
      </c>
      <c r="BH67" s="720">
        <f>BH66/BS!BH23</f>
        <v>0.24938281080825989</v>
      </c>
      <c r="BI67" s="703">
        <f>BI66/BS!BI23</f>
        <v>0.25825175887363971</v>
      </c>
      <c r="BJ67" s="703">
        <f>BJ66/BS!BJ23</f>
        <v>0.2669068987008632</v>
      </c>
      <c r="BK67" s="706">
        <f>BK66/BS!BK23</f>
        <v>0.2757559149299692</v>
      </c>
      <c r="BL67" s="231"/>
      <c r="BM67" s="270">
        <f>BM66/BS!BM23</f>
        <v>0.23714794379441392</v>
      </c>
      <c r="BN67" s="270">
        <f>BN66/BS!BN23</f>
        <v>0.23588579956495515</v>
      </c>
      <c r="BO67" s="270">
        <f>BO66/BS!BO23</f>
        <v>0.25682828980413003</v>
      </c>
      <c r="BP67" s="270">
        <f>BP66/BS!BP23</f>
        <v>0.31850852333704077</v>
      </c>
      <c r="BQ67" s="270">
        <f>BQ66/BS!BQ23</f>
        <v>0.29411107846823797</v>
      </c>
      <c r="BR67" s="270">
        <f>BR66/BS!BR23</f>
        <v>0.24728078782194643</v>
      </c>
      <c r="BS67" s="703">
        <f>BS66/BS!BS23</f>
        <v>0.2966087423566352</v>
      </c>
      <c r="BT67" s="703">
        <f>BT66/BS!BT23</f>
        <v>0.3144199119820642</v>
      </c>
      <c r="BU67" s="703">
        <f>BU66/BS!BU23</f>
        <v>0.30572028237437371</v>
      </c>
      <c r="BV67" s="703">
        <f>BV66/BS!BV23</f>
        <v>0.2772771753331591</v>
      </c>
      <c r="BW67" s="703">
        <f>BW66/BS!BW23</f>
        <v>0.20859610638881274</v>
      </c>
      <c r="BX67" s="703">
        <f>BX66/BS!BX23</f>
        <v>0.17050311550543282</v>
      </c>
      <c r="BY67" s="703">
        <f>BY66/BS!BY23</f>
        <v>0.20257034241185035</v>
      </c>
      <c r="BZ67" s="706">
        <f>BZ66/BS!BZ23</f>
        <v>0.23995136042776735</v>
      </c>
      <c r="CA67" s="706">
        <f>CA66/BS!CA23</f>
        <v>0.2757559149299692</v>
      </c>
      <c r="CB67" s="734"/>
      <c r="CC67" s="734"/>
      <c r="CD67" s="204"/>
    </row>
    <row r="68" spans="1:82" ht="14.25" customHeight="1">
      <c r="A68" s="206"/>
      <c r="B68" s="438" t="s">
        <v>410</v>
      </c>
      <c r="C68" s="437"/>
      <c r="D68" s="582">
        <f>D66-BS!D16</f>
        <v>1034.4499999999998</v>
      </c>
      <c r="E68" s="581">
        <f>E66-BS!E16</f>
        <v>1108.9380000000001</v>
      </c>
      <c r="F68" s="581">
        <f>F66-BS!F16</f>
        <v>1158.3150000000001</v>
      </c>
      <c r="G68" s="581">
        <f>G66-BS!G16</f>
        <v>1224.0669999999998</v>
      </c>
      <c r="H68" s="582">
        <f>H66-BS!H16</f>
        <v>1278.3239999999996</v>
      </c>
      <c r="I68" s="581">
        <f>I66-BS!I16</f>
        <v>1349.4659999999994</v>
      </c>
      <c r="J68" s="581">
        <f>J66-BS!J16</f>
        <v>1406.1259999999993</v>
      </c>
      <c r="K68" s="581">
        <f>K66-BS!K16</f>
        <v>1461.9029999999996</v>
      </c>
      <c r="L68" s="582">
        <f>L66-BS!L16</f>
        <v>1522.2019999999998</v>
      </c>
      <c r="M68" s="581">
        <f>M66-BS!M16</f>
        <v>1577.0419999999997</v>
      </c>
      <c r="N68" s="581">
        <f>N66-BS!N16</f>
        <v>1632.1949999999997</v>
      </c>
      <c r="O68" s="581">
        <f>O66-BS!O16</f>
        <v>1706.8509999999994</v>
      </c>
      <c r="P68" s="582">
        <f>P66-BS!P16</f>
        <v>1766.1829999999998</v>
      </c>
      <c r="Q68" s="581">
        <f>Q66-BS!Q16</f>
        <v>1839.0269999999996</v>
      </c>
      <c r="R68" s="581">
        <f>R66-BS!R16</f>
        <v>1900.7969999999996</v>
      </c>
      <c r="S68" s="581">
        <f>S66-BS!S16</f>
        <v>1959.0449999999996</v>
      </c>
      <c r="T68" s="582">
        <f>T66-BS!T16</f>
        <v>1973.9759999999994</v>
      </c>
      <c r="U68" s="581">
        <f>U66-BS!U16</f>
        <v>2063.8269999999993</v>
      </c>
      <c r="V68" s="581">
        <f>V66-BS!V16</f>
        <v>2199.7319999999995</v>
      </c>
      <c r="W68" s="581">
        <f>W66-BS!W16</f>
        <v>2255.5549999999994</v>
      </c>
      <c r="X68" s="582">
        <f>X66-BS!X16</f>
        <v>2349.5589999999993</v>
      </c>
      <c r="Y68" s="581">
        <f>Y66-BS!Y16</f>
        <v>2401.5589999999993</v>
      </c>
      <c r="Z68" s="581">
        <f>Z66-BS!Z16</f>
        <v>2500.5589999999993</v>
      </c>
      <c r="AA68" s="581">
        <f>AA66-BS!AA16</f>
        <v>2561.5589999999993</v>
      </c>
      <c r="AB68" s="582">
        <f>AB66-BS!AB16</f>
        <v>2508.5589999999993</v>
      </c>
      <c r="AC68" s="581">
        <f>AC66-BS!AC16</f>
        <v>2564.5589999999993</v>
      </c>
      <c r="AD68" s="581">
        <f>AD66-BS!AD16</f>
        <v>2631.5589999999993</v>
      </c>
      <c r="AE68" s="581">
        <f>AE66-BS!AE16</f>
        <v>2679.5589999999993</v>
      </c>
      <c r="AF68" s="582">
        <f>AF66-BS!AF16</f>
        <v>2738.5589999999993</v>
      </c>
      <c r="AG68" s="581">
        <f>AG66-BS!AG16</f>
        <v>2803.5589999999993</v>
      </c>
      <c r="AH68" s="581">
        <f>AH66-BS!AH16</f>
        <v>2857.5589999999993</v>
      </c>
      <c r="AI68" s="581">
        <f>AI66-BS!AI16</f>
        <v>2936.5589999999993</v>
      </c>
      <c r="AJ68" s="582">
        <f>AJ66-BS!AJ16</f>
        <v>2988.5589999999993</v>
      </c>
      <c r="AK68" s="581">
        <f>AK66-BS!AK16</f>
        <v>3044.5589999999993</v>
      </c>
      <c r="AL68" s="581">
        <f>AL66-BS!AL16</f>
        <v>3115.5589999999993</v>
      </c>
      <c r="AM68" s="581">
        <f>AM66-BS!AM16</f>
        <v>3166.5589999999993</v>
      </c>
      <c r="AN68" s="582">
        <f>AN66-BS!AN16</f>
        <v>3212.5589999999993</v>
      </c>
      <c r="AO68" s="581">
        <f>AO66-BS!AO16</f>
        <v>3253.5589999999993</v>
      </c>
      <c r="AP68" s="581">
        <f>AP66-BS!AP16</f>
        <v>3309.5589999999993</v>
      </c>
      <c r="AQ68" s="580">
        <f>AQ66-BS!AQ16</f>
        <v>3352.5589999999993</v>
      </c>
      <c r="AR68" s="582">
        <f>AR66-BS!AR16</f>
        <v>3404.5589999999993</v>
      </c>
      <c r="AS68" s="581">
        <f>AS66-BS!AS16</f>
        <v>3455.5589999999993</v>
      </c>
      <c r="AT68" s="581">
        <f>AT66-BS!AT16</f>
        <v>3504.5589999999993</v>
      </c>
      <c r="AU68" s="830">
        <v>2106</v>
      </c>
      <c r="AV68" s="582">
        <f>AV66-BS!AV16</f>
        <v>2158</v>
      </c>
      <c r="AW68" s="581">
        <f>AW66-BS!AW16</f>
        <v>2215</v>
      </c>
      <c r="AX68" s="581">
        <f>AX66-BS!AX16</f>
        <v>2268</v>
      </c>
      <c r="AY68" s="830">
        <v>2245</v>
      </c>
      <c r="AZ68" s="582">
        <f>AZ66-BS!AZ16</f>
        <v>2319</v>
      </c>
      <c r="BA68" s="581">
        <f t="shared" ref="BA68:BC68" si="153">AZ68+BA77</f>
        <v>2438</v>
      </c>
      <c r="BB68" s="581">
        <f t="shared" si="153"/>
        <v>2564.2927510102313</v>
      </c>
      <c r="BC68" s="580">
        <f t="shared" si="153"/>
        <v>2697.68705933714</v>
      </c>
      <c r="BD68" s="582">
        <f t="shared" ref="BD68" si="154">BC68+BD77</f>
        <v>2838.2285446530236</v>
      </c>
      <c r="BE68" s="581">
        <f t="shared" ref="BE68" si="155">BD68+BE77</f>
        <v>2985.7012929851689</v>
      </c>
      <c r="BF68" s="581">
        <f t="shared" ref="BF68" si="156">BE68+BF77</f>
        <v>3140.1676848539814</v>
      </c>
      <c r="BG68" s="580">
        <f t="shared" ref="BG68" si="157">BF68+BG77</f>
        <v>3301.6675068073364</v>
      </c>
      <c r="BH68" s="582">
        <f t="shared" ref="BH68" si="158">BG68+BH77</f>
        <v>3470.2964412599995</v>
      </c>
      <c r="BI68" s="581">
        <f t="shared" ref="BI68" si="159">BH68+BI77</f>
        <v>3646.0011099737412</v>
      </c>
      <c r="BJ68" s="581">
        <f t="shared" ref="BJ68" si="160">BI68+BJ77</f>
        <v>3828.8437365109098</v>
      </c>
      <c r="BK68" s="580">
        <f t="shared" ref="BK68" si="161">BJ68+BK77</f>
        <v>4018.8981016355333</v>
      </c>
      <c r="BL68" s="231"/>
      <c r="BM68" s="578">
        <f>G68</f>
        <v>1224.0669999999998</v>
      </c>
      <c r="BN68" s="578">
        <f>K68</f>
        <v>1461.9029999999996</v>
      </c>
      <c r="BO68" s="578">
        <f>O68</f>
        <v>1706.8509999999994</v>
      </c>
      <c r="BP68" s="578">
        <f>S68</f>
        <v>1959.0449999999996</v>
      </c>
      <c r="BQ68" s="578">
        <f>W68</f>
        <v>2255.5549999999994</v>
      </c>
      <c r="BR68" s="578">
        <f>AA68</f>
        <v>2561.5589999999993</v>
      </c>
      <c r="BS68" s="578">
        <f>AE68</f>
        <v>2679.5589999999993</v>
      </c>
      <c r="BT68" s="578">
        <f>AI68</f>
        <v>2936.5589999999993</v>
      </c>
      <c r="BU68" s="578">
        <f>AM68</f>
        <v>3166.5589999999993</v>
      </c>
      <c r="BV68" s="578">
        <f>AQ68</f>
        <v>3352.5589999999993</v>
      </c>
      <c r="BW68" s="578">
        <f>AU68</f>
        <v>2106</v>
      </c>
      <c r="BX68" s="578">
        <f>AY68</f>
        <v>2245</v>
      </c>
      <c r="BY68" s="578">
        <f>BC68</f>
        <v>2697.68705933714</v>
      </c>
      <c r="BZ68" s="579">
        <f>BG68</f>
        <v>3301.6675068073364</v>
      </c>
      <c r="CA68" s="579">
        <f>BK68</f>
        <v>4018.8981016355333</v>
      </c>
      <c r="CB68" s="734"/>
      <c r="CC68" s="734"/>
      <c r="CD68" s="204"/>
    </row>
    <row r="69" spans="1:82" ht="14.25" customHeight="1">
      <c r="A69" s="203"/>
      <c r="B69" s="577" t="s">
        <v>409</v>
      </c>
      <c r="C69" s="576"/>
      <c r="D69" s="574">
        <f t="shared" ref="D69:AQ69" si="162">D66-D68</f>
        <v>1083.25</v>
      </c>
      <c r="E69" s="574">
        <f t="shared" si="162"/>
        <v>1040.4929999999999</v>
      </c>
      <c r="F69" s="574">
        <f t="shared" si="162"/>
        <v>1030.6669999999999</v>
      </c>
      <c r="G69" s="575">
        <f t="shared" si="162"/>
        <v>1024.2940000000001</v>
      </c>
      <c r="H69" s="574">
        <f t="shared" si="162"/>
        <v>1028.9380000000001</v>
      </c>
      <c r="I69" s="574">
        <f t="shared" si="162"/>
        <v>1030.1610000000001</v>
      </c>
      <c r="J69" s="574">
        <f t="shared" si="162"/>
        <v>1046.471</v>
      </c>
      <c r="K69" s="575">
        <f t="shared" si="162"/>
        <v>1051.242</v>
      </c>
      <c r="L69" s="574">
        <f t="shared" si="162"/>
        <v>1065.087</v>
      </c>
      <c r="M69" s="574">
        <f t="shared" si="162"/>
        <v>1073.8019999999999</v>
      </c>
      <c r="N69" s="574">
        <f t="shared" si="162"/>
        <v>1090.462</v>
      </c>
      <c r="O69" s="575">
        <f t="shared" si="162"/>
        <v>1094.2</v>
      </c>
      <c r="P69" s="574">
        <f t="shared" si="162"/>
        <v>1108.1859999999999</v>
      </c>
      <c r="Q69" s="574">
        <f t="shared" si="162"/>
        <v>1090.123</v>
      </c>
      <c r="R69" s="574">
        <f t="shared" si="162"/>
        <v>1088.058</v>
      </c>
      <c r="S69" s="575">
        <f t="shared" si="162"/>
        <v>1090.433</v>
      </c>
      <c r="T69" s="574">
        <f t="shared" si="162"/>
        <v>1128.6690000000001</v>
      </c>
      <c r="U69" s="574">
        <f t="shared" si="162"/>
        <v>1083.5250000000001</v>
      </c>
      <c r="V69" s="574">
        <f t="shared" si="162"/>
        <v>983.79</v>
      </c>
      <c r="W69" s="575">
        <f t="shared" si="162"/>
        <v>963.00399999999991</v>
      </c>
      <c r="X69" s="574">
        <f t="shared" si="162"/>
        <v>893</v>
      </c>
      <c r="Y69" s="574">
        <f t="shared" si="162"/>
        <v>898</v>
      </c>
      <c r="Z69" s="574">
        <f t="shared" si="162"/>
        <v>854</v>
      </c>
      <c r="AA69" s="575">
        <f t="shared" si="162"/>
        <v>866</v>
      </c>
      <c r="AB69" s="574">
        <f t="shared" si="162"/>
        <v>956</v>
      </c>
      <c r="AC69" s="574">
        <f t="shared" si="162"/>
        <v>939</v>
      </c>
      <c r="AD69" s="574">
        <f t="shared" si="162"/>
        <v>917</v>
      </c>
      <c r="AE69" s="575">
        <f t="shared" si="162"/>
        <v>910</v>
      </c>
      <c r="AF69" s="574">
        <f t="shared" si="162"/>
        <v>900</v>
      </c>
      <c r="AG69" s="574">
        <f t="shared" si="162"/>
        <v>886</v>
      </c>
      <c r="AH69" s="574">
        <f t="shared" si="162"/>
        <v>872</v>
      </c>
      <c r="AI69" s="575">
        <f t="shared" si="162"/>
        <v>850</v>
      </c>
      <c r="AJ69" s="574">
        <f t="shared" si="162"/>
        <v>846</v>
      </c>
      <c r="AK69" s="574">
        <f t="shared" si="162"/>
        <v>855</v>
      </c>
      <c r="AL69" s="574">
        <f t="shared" si="162"/>
        <v>849</v>
      </c>
      <c r="AM69" s="575">
        <f t="shared" si="162"/>
        <v>861</v>
      </c>
      <c r="AN69" s="574">
        <f t="shared" si="162"/>
        <v>864</v>
      </c>
      <c r="AO69" s="574">
        <f t="shared" si="162"/>
        <v>887</v>
      </c>
      <c r="AP69" s="574">
        <f t="shared" si="162"/>
        <v>882</v>
      </c>
      <c r="AQ69" s="575">
        <f t="shared" si="162"/>
        <v>892</v>
      </c>
      <c r="AR69" s="574">
        <f t="shared" ref="AR69:AX69" si="163">AR66-AR68</f>
        <v>908</v>
      </c>
      <c r="AS69" s="574">
        <f t="shared" si="163"/>
        <v>904</v>
      </c>
      <c r="AT69" s="574">
        <f t="shared" si="163"/>
        <v>905</v>
      </c>
      <c r="AU69" s="575">
        <f t="shared" si="163"/>
        <v>937</v>
      </c>
      <c r="AV69" s="574">
        <f t="shared" si="163"/>
        <v>949</v>
      </c>
      <c r="AW69" s="574">
        <f t="shared" si="163"/>
        <v>969</v>
      </c>
      <c r="AX69" s="574">
        <f t="shared" si="163"/>
        <v>996</v>
      </c>
      <c r="AY69" s="575">
        <f t="shared" ref="AY69:AZ69" si="164">AY66-AY68</f>
        <v>1066</v>
      </c>
      <c r="AZ69" s="574">
        <f t="shared" si="164"/>
        <v>1195</v>
      </c>
      <c r="BA69" s="574">
        <f t="shared" ref="BA69:BG69" si="165">BA66-BA68</f>
        <v>1291.3506474785918</v>
      </c>
      <c r="BB69" s="574">
        <f t="shared" si="165"/>
        <v>1374.7627066431937</v>
      </c>
      <c r="BC69" s="575">
        <f t="shared" si="165"/>
        <v>1452.420330578952</v>
      </c>
      <c r="BD69" s="574">
        <f t="shared" si="165"/>
        <v>1516.5549649197378</v>
      </c>
      <c r="BE69" s="574">
        <f t="shared" si="165"/>
        <v>1575.6003963174153</v>
      </c>
      <c r="BF69" s="574">
        <f t="shared" si="165"/>
        <v>1628.8270575333295</v>
      </c>
      <c r="BG69" s="575">
        <f t="shared" si="165"/>
        <v>1677.8457340889545</v>
      </c>
      <c r="BH69" s="574">
        <f t="shared" ref="BH69:BK69" si="166">BH66-BH68</f>
        <v>1718.1590701693131</v>
      </c>
      <c r="BI69" s="574">
        <f t="shared" si="166"/>
        <v>1753.2340971826479</v>
      </c>
      <c r="BJ69" s="574">
        <f t="shared" si="166"/>
        <v>1783.3498689338562</v>
      </c>
      <c r="BK69" s="575">
        <f t="shared" si="166"/>
        <v>1806.4724126223532</v>
      </c>
      <c r="BL69" s="231"/>
      <c r="BM69" s="574">
        <f t="shared" ref="BM69:BX69" si="167">BM66-BM68</f>
        <v>1024.2940000000001</v>
      </c>
      <c r="BN69" s="574">
        <f t="shared" si="167"/>
        <v>1051.242</v>
      </c>
      <c r="BO69" s="574">
        <f t="shared" si="167"/>
        <v>1094.2</v>
      </c>
      <c r="BP69" s="574">
        <f t="shared" si="167"/>
        <v>1090.433</v>
      </c>
      <c r="BQ69" s="574">
        <f t="shared" si="167"/>
        <v>963.00399999999991</v>
      </c>
      <c r="BR69" s="574">
        <f t="shared" si="167"/>
        <v>866</v>
      </c>
      <c r="BS69" s="574">
        <f t="shared" si="167"/>
        <v>910</v>
      </c>
      <c r="BT69" s="574">
        <f t="shared" si="167"/>
        <v>850</v>
      </c>
      <c r="BU69" s="574">
        <f t="shared" si="167"/>
        <v>861</v>
      </c>
      <c r="BV69" s="574">
        <f t="shared" si="167"/>
        <v>892</v>
      </c>
      <c r="BW69" s="574">
        <f t="shared" si="167"/>
        <v>937</v>
      </c>
      <c r="BX69" s="574">
        <f t="shared" si="167"/>
        <v>1066</v>
      </c>
      <c r="BY69" s="574">
        <f>BY66-BY68</f>
        <v>1452.420330578952</v>
      </c>
      <c r="BZ69" s="575">
        <f>BZ66-BZ68</f>
        <v>1677.8457340889545</v>
      </c>
      <c r="CA69" s="575">
        <f>CA66-CA68</f>
        <v>1806.4724126223532</v>
      </c>
      <c r="CB69" s="734"/>
      <c r="CC69" s="734"/>
      <c r="CD69" s="204"/>
    </row>
    <row r="70" spans="1:82" ht="14.25" customHeight="1">
      <c r="A70" s="203"/>
      <c r="B70" s="209"/>
      <c r="C70" s="204"/>
      <c r="D70" s="557"/>
      <c r="E70" s="557"/>
      <c r="F70" s="557"/>
      <c r="G70" s="557"/>
      <c r="H70" s="557"/>
      <c r="I70" s="557"/>
      <c r="J70" s="557"/>
      <c r="K70" s="557"/>
      <c r="L70" s="557"/>
      <c r="M70" s="557"/>
      <c r="N70" s="557"/>
      <c r="O70" s="557"/>
      <c r="P70" s="557"/>
      <c r="Q70" s="557"/>
      <c r="R70" s="557"/>
      <c r="S70" s="557"/>
      <c r="T70" s="557"/>
      <c r="U70" s="557"/>
      <c r="V70" s="557"/>
      <c r="W70" s="557"/>
      <c r="X70" s="557"/>
      <c r="Y70" s="557"/>
      <c r="Z70" s="557"/>
      <c r="AA70" s="557"/>
      <c r="AB70" s="557"/>
      <c r="AC70" s="557"/>
      <c r="AD70" s="557"/>
      <c r="AE70" s="557"/>
      <c r="AF70" s="557"/>
      <c r="AG70" s="557"/>
      <c r="AH70" s="557"/>
      <c r="AI70" s="557"/>
      <c r="AJ70" s="557"/>
      <c r="AK70" s="557"/>
      <c r="AL70" s="557"/>
      <c r="AM70" s="557"/>
      <c r="AN70" s="557"/>
      <c r="AO70" s="557"/>
      <c r="AP70" s="557"/>
      <c r="AQ70" s="557"/>
      <c r="AR70" s="557"/>
      <c r="AS70" s="557"/>
      <c r="AT70" s="557"/>
      <c r="AU70" s="557"/>
      <c r="AV70" s="557"/>
      <c r="AW70" s="557"/>
      <c r="AX70" s="557"/>
      <c r="AY70" s="557"/>
      <c r="AZ70" s="557"/>
      <c r="BA70" s="557"/>
      <c r="BB70" s="557"/>
      <c r="BC70" s="557"/>
      <c r="BD70" s="557"/>
      <c r="BE70" s="557"/>
      <c r="BF70" s="557"/>
      <c r="BG70" s="557"/>
      <c r="BH70" s="557"/>
      <c r="BI70" s="557"/>
      <c r="BJ70" s="557"/>
      <c r="BK70" s="557"/>
      <c r="BL70" s="204"/>
      <c r="BM70" s="558"/>
      <c r="BN70" s="558"/>
      <c r="BO70" s="557"/>
      <c r="BP70" s="557"/>
      <c r="BQ70" s="557"/>
      <c r="BR70" s="557"/>
      <c r="BS70" s="557"/>
      <c r="BT70" s="557"/>
      <c r="BU70" s="557"/>
      <c r="BV70" s="557"/>
      <c r="BW70" s="557"/>
      <c r="BX70" s="557"/>
      <c r="BY70" s="557"/>
      <c r="BZ70" s="557"/>
      <c r="CA70" s="557"/>
      <c r="CB70" s="734"/>
      <c r="CC70" s="734"/>
      <c r="CD70" s="204"/>
    </row>
    <row r="71" spans="1:82" ht="14.25" customHeight="1">
      <c r="A71" s="203"/>
      <c r="B71" s="237" t="s">
        <v>265</v>
      </c>
      <c r="C71" s="556"/>
      <c r="D71" s="472">
        <f>BS!D16</f>
        <v>1083.25</v>
      </c>
      <c r="E71" s="467">
        <f>BS!E16</f>
        <v>1040.4929999999999</v>
      </c>
      <c r="F71" s="467">
        <f>BS!F16</f>
        <v>1030.6669999999999</v>
      </c>
      <c r="G71" s="471">
        <f>BS!G16</f>
        <v>1024.2940000000001</v>
      </c>
      <c r="H71" s="472">
        <f>BS!H16</f>
        <v>1028.9380000000001</v>
      </c>
      <c r="I71" s="467">
        <f>BS!I16</f>
        <v>1030.1610000000001</v>
      </c>
      <c r="J71" s="467">
        <f>BS!J16</f>
        <v>1046.471</v>
      </c>
      <c r="K71" s="471">
        <f>BS!K16</f>
        <v>1051.242</v>
      </c>
      <c r="L71" s="472">
        <f>BS!L16</f>
        <v>1065.087</v>
      </c>
      <c r="M71" s="467">
        <f>BS!M16</f>
        <v>1073.8019999999999</v>
      </c>
      <c r="N71" s="467">
        <f>BS!N16</f>
        <v>1090.462</v>
      </c>
      <c r="O71" s="471">
        <f>BS!O16</f>
        <v>1094.2</v>
      </c>
      <c r="P71" s="472">
        <f>BS!P16</f>
        <v>1108.1859999999999</v>
      </c>
      <c r="Q71" s="467">
        <f>BS!Q16</f>
        <v>1090.123</v>
      </c>
      <c r="R71" s="467">
        <f>BS!R16</f>
        <v>1088.058</v>
      </c>
      <c r="S71" s="471">
        <f>BS!S16</f>
        <v>1090.433</v>
      </c>
      <c r="T71" s="472">
        <f>BS!T16</f>
        <v>1128.6690000000001</v>
      </c>
      <c r="U71" s="467">
        <f>BS!U16</f>
        <v>1083.5250000000001</v>
      </c>
      <c r="V71" s="467">
        <f>BS!V16</f>
        <v>983.79</v>
      </c>
      <c r="W71" s="471">
        <f>BS!W16</f>
        <v>963.00400000000002</v>
      </c>
      <c r="X71" s="472">
        <f>BS!X16</f>
        <v>893</v>
      </c>
      <c r="Y71" s="467">
        <f>BS!Y16</f>
        <v>898</v>
      </c>
      <c r="Z71" s="467">
        <f>BS!Z16</f>
        <v>854</v>
      </c>
      <c r="AA71" s="471">
        <f>BS!AA16</f>
        <v>866</v>
      </c>
      <c r="AB71" s="472">
        <f>BS!AB16</f>
        <v>956</v>
      </c>
      <c r="AC71" s="467">
        <f>BS!AC16</f>
        <v>939</v>
      </c>
      <c r="AD71" s="467">
        <f>BS!AD16</f>
        <v>917</v>
      </c>
      <c r="AE71" s="471">
        <f>BS!AE16</f>
        <v>910</v>
      </c>
      <c r="AF71" s="472">
        <f>BS!AF16</f>
        <v>900</v>
      </c>
      <c r="AG71" s="467">
        <f>BS!AG16</f>
        <v>886</v>
      </c>
      <c r="AH71" s="467">
        <f>BS!AH16</f>
        <v>872</v>
      </c>
      <c r="AI71" s="471">
        <f>BS!AI16</f>
        <v>850</v>
      </c>
      <c r="AJ71" s="472">
        <f>BS!AJ16</f>
        <v>846</v>
      </c>
      <c r="AK71" s="467">
        <f>BS!AK16</f>
        <v>855</v>
      </c>
      <c r="AL71" s="467">
        <f>BS!AL16</f>
        <v>849</v>
      </c>
      <c r="AM71" s="470">
        <f>BS!AM16</f>
        <v>861</v>
      </c>
      <c r="AN71" s="472">
        <f>BS!AN16</f>
        <v>864</v>
      </c>
      <c r="AO71" s="467">
        <f>BS!AO16</f>
        <v>887</v>
      </c>
      <c r="AP71" s="467">
        <f>BS!AP16</f>
        <v>882</v>
      </c>
      <c r="AQ71" s="468">
        <f>BS!AQ16</f>
        <v>892</v>
      </c>
      <c r="AR71" s="472">
        <f>BS!AR16</f>
        <v>908</v>
      </c>
      <c r="AS71" s="467">
        <f>BS!AS16</f>
        <v>904</v>
      </c>
      <c r="AT71" s="467">
        <f>BS!AT16</f>
        <v>905</v>
      </c>
      <c r="AU71" s="468">
        <f>BS!AU16</f>
        <v>937</v>
      </c>
      <c r="AV71" s="472">
        <f>BS!AV16</f>
        <v>949</v>
      </c>
      <c r="AW71" s="467">
        <f>BS!AW16</f>
        <v>969</v>
      </c>
      <c r="AX71" s="467">
        <f>BS!AX16</f>
        <v>996</v>
      </c>
      <c r="AY71" s="468">
        <f>BS!AY16</f>
        <v>1066</v>
      </c>
      <c r="AZ71" s="472">
        <f>BS!AZ16</f>
        <v>1195</v>
      </c>
      <c r="BA71" s="467">
        <f>BS!BA16</f>
        <v>1291.3506474785918</v>
      </c>
      <c r="BB71" s="467">
        <f>BS!BB16</f>
        <v>1374.7627066431937</v>
      </c>
      <c r="BC71" s="468">
        <f>BS!BC16</f>
        <v>1452.420330578952</v>
      </c>
      <c r="BD71" s="472">
        <f>BS!BD16</f>
        <v>1516.5549649197378</v>
      </c>
      <c r="BE71" s="467">
        <f>BS!BE16</f>
        <v>1575.6003963174153</v>
      </c>
      <c r="BF71" s="467">
        <f>BS!BF16</f>
        <v>1628.8270575333295</v>
      </c>
      <c r="BG71" s="468">
        <f>BS!BG16</f>
        <v>1677.8457340889545</v>
      </c>
      <c r="BH71" s="472">
        <f>BS!BH16</f>
        <v>1718.1590701693131</v>
      </c>
      <c r="BI71" s="467">
        <f>BS!BI16</f>
        <v>1753.2340971826479</v>
      </c>
      <c r="BJ71" s="467">
        <f>BS!BJ16</f>
        <v>1783.3498689338562</v>
      </c>
      <c r="BK71" s="468">
        <f>BS!BK16</f>
        <v>1806.4724126223532</v>
      </c>
      <c r="BL71" s="216"/>
      <c r="BM71" s="467">
        <f>BS!BM16</f>
        <v>1024.2940000000001</v>
      </c>
      <c r="BN71" s="467">
        <f>BS!BN16</f>
        <v>1051.242</v>
      </c>
      <c r="BO71" s="467">
        <f>BS!BO16</f>
        <v>1094.2</v>
      </c>
      <c r="BP71" s="467">
        <f>BS!BP16</f>
        <v>1090.433</v>
      </c>
      <c r="BQ71" s="467">
        <f>BS!BQ16</f>
        <v>963.00400000000002</v>
      </c>
      <c r="BR71" s="467">
        <f>BS!BR16</f>
        <v>866</v>
      </c>
      <c r="BS71" s="467">
        <f>BS!BS16</f>
        <v>910</v>
      </c>
      <c r="BT71" s="467">
        <f>BS!BT16</f>
        <v>850</v>
      </c>
      <c r="BU71" s="467">
        <f>BS!BU16</f>
        <v>861</v>
      </c>
      <c r="BV71" s="467">
        <f>BS!BV16</f>
        <v>892</v>
      </c>
      <c r="BW71" s="467">
        <f>BS!BW16</f>
        <v>937</v>
      </c>
      <c r="BX71" s="467">
        <f>BS!BX16</f>
        <v>1066</v>
      </c>
      <c r="BY71" s="467">
        <f>BS!BY16</f>
        <v>1452.420330578952</v>
      </c>
      <c r="BZ71" s="471">
        <f>BS!BZ16</f>
        <v>1677.8457340889545</v>
      </c>
      <c r="CA71" s="471">
        <f>BS!CA16</f>
        <v>1806.4724126223532</v>
      </c>
      <c r="CB71" s="734"/>
      <c r="CC71" s="734"/>
      <c r="CD71" s="204"/>
    </row>
    <row r="72" spans="1:82" ht="14.25" customHeight="1">
      <c r="A72" s="203"/>
      <c r="B72" s="466" t="s">
        <v>65</v>
      </c>
      <c r="C72" s="465"/>
      <c r="D72" s="460">
        <f t="shared" ref="D72:AX72" si="168">IF(ROUND(D71,4)=ROUND(D69,4),0,(D71-D69))</f>
        <v>0</v>
      </c>
      <c r="E72" s="460">
        <f t="shared" si="168"/>
        <v>0</v>
      </c>
      <c r="F72" s="464">
        <f t="shared" si="168"/>
        <v>0</v>
      </c>
      <c r="G72" s="460">
        <f t="shared" si="168"/>
        <v>0</v>
      </c>
      <c r="H72" s="460">
        <f t="shared" si="168"/>
        <v>0</v>
      </c>
      <c r="I72" s="460">
        <f t="shared" si="168"/>
        <v>0</v>
      </c>
      <c r="J72" s="464">
        <f t="shared" si="168"/>
        <v>0</v>
      </c>
      <c r="K72" s="460">
        <f t="shared" si="168"/>
        <v>0</v>
      </c>
      <c r="L72" s="460">
        <f t="shared" si="168"/>
        <v>0</v>
      </c>
      <c r="M72" s="460">
        <f t="shared" si="168"/>
        <v>0</v>
      </c>
      <c r="N72" s="464">
        <f t="shared" si="168"/>
        <v>0</v>
      </c>
      <c r="O72" s="460">
        <f t="shared" si="168"/>
        <v>0</v>
      </c>
      <c r="P72" s="460">
        <f t="shared" si="168"/>
        <v>0</v>
      </c>
      <c r="Q72" s="460">
        <f t="shared" si="168"/>
        <v>0</v>
      </c>
      <c r="R72" s="464">
        <f t="shared" si="168"/>
        <v>0</v>
      </c>
      <c r="S72" s="460">
        <f t="shared" si="168"/>
        <v>0</v>
      </c>
      <c r="T72" s="460">
        <f t="shared" si="168"/>
        <v>0</v>
      </c>
      <c r="U72" s="460">
        <f t="shared" si="168"/>
        <v>0</v>
      </c>
      <c r="V72" s="464">
        <f t="shared" si="168"/>
        <v>0</v>
      </c>
      <c r="W72" s="460">
        <f t="shared" si="168"/>
        <v>0</v>
      </c>
      <c r="X72" s="460">
        <f t="shared" si="168"/>
        <v>0</v>
      </c>
      <c r="Y72" s="460">
        <f t="shared" si="168"/>
        <v>0</v>
      </c>
      <c r="Z72" s="464">
        <f t="shared" si="168"/>
        <v>0</v>
      </c>
      <c r="AA72" s="460">
        <f t="shared" si="168"/>
        <v>0</v>
      </c>
      <c r="AB72" s="460">
        <f t="shared" si="168"/>
        <v>0</v>
      </c>
      <c r="AC72" s="460">
        <f t="shared" si="168"/>
        <v>0</v>
      </c>
      <c r="AD72" s="464">
        <f t="shared" si="168"/>
        <v>0</v>
      </c>
      <c r="AE72" s="460">
        <f t="shared" si="168"/>
        <v>0</v>
      </c>
      <c r="AF72" s="460">
        <f t="shared" si="168"/>
        <v>0</v>
      </c>
      <c r="AG72" s="460">
        <f t="shared" si="168"/>
        <v>0</v>
      </c>
      <c r="AH72" s="464">
        <f t="shared" si="168"/>
        <v>0</v>
      </c>
      <c r="AI72" s="460">
        <f t="shared" si="168"/>
        <v>0</v>
      </c>
      <c r="AJ72" s="460">
        <f t="shared" si="168"/>
        <v>0</v>
      </c>
      <c r="AK72" s="460">
        <f t="shared" si="168"/>
        <v>0</v>
      </c>
      <c r="AL72" s="460">
        <f t="shared" si="168"/>
        <v>0</v>
      </c>
      <c r="AM72" s="460">
        <f t="shared" si="168"/>
        <v>0</v>
      </c>
      <c r="AN72" s="460">
        <f t="shared" si="168"/>
        <v>0</v>
      </c>
      <c r="AO72" s="460">
        <f t="shared" si="168"/>
        <v>0</v>
      </c>
      <c r="AP72" s="460">
        <f t="shared" si="168"/>
        <v>0</v>
      </c>
      <c r="AQ72" s="461">
        <f t="shared" si="168"/>
        <v>0</v>
      </c>
      <c r="AR72" s="460">
        <f>IF(ROUND(AR71,4)=ROUND(AR69,4),0,(AR71-AR69))</f>
        <v>0</v>
      </c>
      <c r="AS72" s="460">
        <f>IF(ROUND(AS71,4)=ROUND(AS69,4),0,(AS71-AS69))</f>
        <v>0</v>
      </c>
      <c r="AT72" s="460">
        <f>IF(ROUND(AT71,4)=ROUND(AT69,4),0,(AT71-AT69))</f>
        <v>0</v>
      </c>
      <c r="AU72" s="461">
        <f>IF(ROUND(AU71,4)=ROUND(AU69,4),0,(AU71-AU69))</f>
        <v>0</v>
      </c>
      <c r="AV72" s="460">
        <f>IF(ROUND(AV71,4)=ROUND(AV69,4),0,(AV71-AV69))</f>
        <v>0</v>
      </c>
      <c r="AW72" s="460">
        <f t="shared" si="168"/>
        <v>0</v>
      </c>
      <c r="AX72" s="460">
        <f t="shared" si="168"/>
        <v>0</v>
      </c>
      <c r="AY72" s="461">
        <f>IF(ROUND(AY71,4)=ROUND(AY69,4),0,(AY71-AY69))</f>
        <v>0</v>
      </c>
      <c r="AZ72" s="460">
        <f>IF(ROUND(AZ71,4)=ROUND(AZ69,4),0,(AZ71-AZ69))</f>
        <v>0</v>
      </c>
      <c r="BA72" s="460">
        <f t="shared" ref="BA72:BG72" si="169">IF(ROUND(BA71,4)=ROUND(BA69,4),0,(BA71-BA69))</f>
        <v>0</v>
      </c>
      <c r="BB72" s="460">
        <f t="shared" si="169"/>
        <v>0</v>
      </c>
      <c r="BC72" s="461">
        <f t="shared" si="169"/>
        <v>0</v>
      </c>
      <c r="BD72" s="460">
        <f t="shared" si="169"/>
        <v>0</v>
      </c>
      <c r="BE72" s="460">
        <f t="shared" si="169"/>
        <v>0</v>
      </c>
      <c r="BF72" s="460">
        <f t="shared" si="169"/>
        <v>0</v>
      </c>
      <c r="BG72" s="461">
        <f t="shared" si="169"/>
        <v>0</v>
      </c>
      <c r="BH72" s="460">
        <f t="shared" ref="BH72:BK72" si="170">IF(ROUND(BH71,4)=ROUND(BH69,4),0,(BH71-BH69))</f>
        <v>0</v>
      </c>
      <c r="BI72" s="460">
        <f t="shared" si="170"/>
        <v>0</v>
      </c>
      <c r="BJ72" s="460">
        <f t="shared" si="170"/>
        <v>0</v>
      </c>
      <c r="BK72" s="461">
        <f t="shared" si="170"/>
        <v>0</v>
      </c>
      <c r="BL72" s="216"/>
      <c r="BM72" s="460">
        <f t="shared" ref="BM72:BX72" si="171">IF(ROUND(BM71,4)=ROUND(BM69,4),0,(BM71-BM69))</f>
        <v>0</v>
      </c>
      <c r="BN72" s="460">
        <f t="shared" si="171"/>
        <v>0</v>
      </c>
      <c r="BO72" s="460">
        <f t="shared" si="171"/>
        <v>0</v>
      </c>
      <c r="BP72" s="460">
        <f t="shared" si="171"/>
        <v>0</v>
      </c>
      <c r="BQ72" s="460">
        <f t="shared" si="171"/>
        <v>0</v>
      </c>
      <c r="BR72" s="460">
        <f t="shared" si="171"/>
        <v>0</v>
      </c>
      <c r="BS72" s="460">
        <f t="shared" si="171"/>
        <v>0</v>
      </c>
      <c r="BT72" s="460">
        <f t="shared" si="171"/>
        <v>0</v>
      </c>
      <c r="BU72" s="460">
        <f t="shared" si="171"/>
        <v>0</v>
      </c>
      <c r="BV72" s="460">
        <f t="shared" si="171"/>
        <v>0</v>
      </c>
      <c r="BW72" s="460">
        <f t="shared" si="171"/>
        <v>0</v>
      </c>
      <c r="BX72" s="460">
        <f t="shared" si="171"/>
        <v>0</v>
      </c>
      <c r="BY72" s="460">
        <f>IF(ROUND(BY71,4)=ROUND(BY69,4),0,(BY71-BY69))</f>
        <v>0</v>
      </c>
      <c r="BZ72" s="461">
        <f>IF(ROUND(BZ71,4)=ROUND(BZ69,4),0,(BZ71-BZ69))</f>
        <v>0</v>
      </c>
      <c r="CA72" s="461">
        <f>IF(ROUND(CA71,4)=ROUND(CA69,4),0,(CA71-CA69))</f>
        <v>0</v>
      </c>
      <c r="CB72" s="734"/>
      <c r="CC72" s="734"/>
      <c r="CD72" s="204"/>
    </row>
    <row r="73" spans="1:82" ht="14.25" customHeight="1">
      <c r="A73" s="203"/>
      <c r="B73" s="209"/>
      <c r="C73" s="204"/>
      <c r="D73" s="573"/>
      <c r="E73" s="573"/>
      <c r="F73" s="573"/>
      <c r="G73" s="572"/>
      <c r="H73" s="573"/>
      <c r="I73" s="573"/>
      <c r="J73" s="573"/>
      <c r="K73" s="572"/>
      <c r="L73" s="573"/>
      <c r="M73" s="573"/>
      <c r="N73" s="573"/>
      <c r="O73" s="572"/>
      <c r="P73" s="573"/>
      <c r="Q73" s="573"/>
      <c r="R73" s="573"/>
      <c r="S73" s="572"/>
      <c r="T73" s="573"/>
      <c r="U73" s="573"/>
      <c r="V73" s="573"/>
      <c r="W73" s="572"/>
      <c r="X73" s="573"/>
      <c r="Y73" s="573"/>
      <c r="Z73" s="573"/>
      <c r="AA73" s="572"/>
      <c r="AB73" s="573"/>
      <c r="AC73" s="573"/>
      <c r="AD73" s="569"/>
      <c r="AE73" s="572"/>
      <c r="AF73" s="573"/>
      <c r="AG73" s="569"/>
      <c r="AH73" s="569"/>
      <c r="AI73" s="572"/>
      <c r="AJ73" s="569"/>
      <c r="AK73" s="569"/>
      <c r="AL73" s="569"/>
      <c r="AM73" s="569"/>
      <c r="AN73" s="569"/>
      <c r="AO73" s="569"/>
      <c r="AP73" s="569"/>
      <c r="AQ73" s="569"/>
      <c r="AR73" s="569"/>
      <c r="AS73" s="569"/>
      <c r="AT73" s="569"/>
      <c r="AU73" s="569"/>
      <c r="AV73" s="569"/>
      <c r="AW73" s="569"/>
      <c r="AX73" s="569"/>
      <c r="AY73" s="569"/>
      <c r="AZ73" s="569"/>
      <c r="BA73" s="569"/>
      <c r="BB73" s="569"/>
      <c r="BC73" s="569"/>
      <c r="BD73" s="569"/>
      <c r="BE73" s="569"/>
      <c r="BF73" s="569"/>
      <c r="BG73" s="569"/>
      <c r="BH73" s="569"/>
      <c r="BI73" s="569"/>
      <c r="BJ73" s="569"/>
      <c r="BK73" s="569"/>
      <c r="BL73" s="203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B73" s="734"/>
      <c r="CC73" s="734"/>
      <c r="CD73" s="204"/>
    </row>
    <row r="74" spans="1:82" ht="14.25" customHeight="1">
      <c r="A74" s="203"/>
      <c r="B74" s="209"/>
      <c r="C74" s="204"/>
      <c r="D74" s="571"/>
      <c r="E74" s="571"/>
      <c r="F74" s="571"/>
      <c r="G74" s="570"/>
      <c r="H74" s="571"/>
      <c r="I74" s="571"/>
      <c r="J74" s="571"/>
      <c r="K74" s="570"/>
      <c r="L74" s="571"/>
      <c r="M74" s="571"/>
      <c r="N74" s="571"/>
      <c r="O74" s="570"/>
      <c r="P74" s="571"/>
      <c r="Q74" s="571"/>
      <c r="R74" s="571"/>
      <c r="S74" s="570"/>
      <c r="T74" s="571"/>
      <c r="U74" s="571"/>
      <c r="V74" s="571"/>
      <c r="W74" s="570"/>
      <c r="X74" s="571"/>
      <c r="Y74" s="571"/>
      <c r="Z74" s="571"/>
      <c r="AA74" s="570"/>
      <c r="AB74" s="571"/>
      <c r="AC74" s="571"/>
      <c r="AD74" s="569"/>
      <c r="AE74" s="570"/>
      <c r="AF74" s="571"/>
      <c r="AG74" s="569"/>
      <c r="AH74" s="569"/>
      <c r="AI74" s="570"/>
      <c r="AJ74" s="569"/>
      <c r="AK74" s="569"/>
      <c r="AL74" s="569"/>
      <c r="AM74" s="569"/>
      <c r="AN74" s="569"/>
      <c r="AO74" s="569"/>
      <c r="AP74" s="569"/>
      <c r="AQ74" s="569"/>
      <c r="AR74" s="569"/>
      <c r="AS74" s="569"/>
      <c r="AT74" s="569"/>
      <c r="AU74" s="569"/>
      <c r="AV74" s="569"/>
      <c r="AW74" s="569"/>
      <c r="AX74" s="569"/>
      <c r="AY74" s="569"/>
      <c r="AZ74" s="569"/>
      <c r="BA74" s="569"/>
      <c r="BB74" s="569"/>
      <c r="BC74" s="569"/>
      <c r="BD74" s="569"/>
      <c r="BE74" s="569"/>
      <c r="BF74" s="569"/>
      <c r="BG74" s="569"/>
      <c r="BH74" s="569"/>
      <c r="BI74" s="569"/>
      <c r="BJ74" s="569"/>
      <c r="BK74" s="569"/>
      <c r="BL74" s="203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734"/>
      <c r="CC74" s="734"/>
      <c r="CD74" s="204"/>
    </row>
    <row r="75" spans="1:82" ht="14.25" customHeight="1">
      <c r="A75" s="203"/>
      <c r="B75" s="209"/>
      <c r="C75" s="204"/>
      <c r="D75" s="545"/>
      <c r="E75" s="545"/>
      <c r="F75" s="545"/>
      <c r="G75" s="568"/>
      <c r="H75" s="545"/>
      <c r="I75" s="545"/>
      <c r="J75" s="545"/>
      <c r="K75" s="568"/>
      <c r="L75" s="545"/>
      <c r="M75" s="545"/>
      <c r="N75" s="545"/>
      <c r="O75" s="568"/>
      <c r="P75" s="545"/>
      <c r="Q75" s="545"/>
      <c r="R75" s="545"/>
      <c r="S75" s="568"/>
      <c r="T75" s="545"/>
      <c r="U75" s="545"/>
      <c r="V75" s="545"/>
      <c r="W75" s="568"/>
      <c r="X75" s="545"/>
      <c r="Y75" s="545"/>
      <c r="Z75" s="545"/>
      <c r="AA75" s="568"/>
      <c r="AB75" s="545"/>
      <c r="AC75" s="545"/>
      <c r="AD75" s="545"/>
      <c r="AE75" s="568"/>
      <c r="AF75" s="545"/>
      <c r="AG75" s="545"/>
      <c r="AH75" s="545"/>
      <c r="AI75" s="568"/>
      <c r="AJ75" s="545"/>
      <c r="AK75" s="545"/>
      <c r="AL75" s="545"/>
      <c r="AM75" s="545"/>
      <c r="AN75" s="545"/>
      <c r="AO75" s="545"/>
      <c r="AP75" s="545"/>
      <c r="AQ75" s="545"/>
      <c r="AR75" s="545"/>
      <c r="AS75" s="545"/>
      <c r="AT75" s="545"/>
      <c r="AU75" s="545"/>
      <c r="AV75" s="545"/>
      <c r="AW75" s="545"/>
      <c r="AX75" s="545"/>
      <c r="AY75" s="545"/>
      <c r="AZ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203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B75" s="734"/>
      <c r="CC75" s="734"/>
      <c r="CD75" s="204"/>
    </row>
    <row r="76" spans="1:82" ht="14.25" customHeight="1">
      <c r="A76" s="203"/>
      <c r="B76" s="458" t="s">
        <v>408</v>
      </c>
      <c r="C76" s="457"/>
      <c r="D76" s="554" t="str">
        <f t="shared" ref="D76:AY76" si="172">D61</f>
        <v>1Q06</v>
      </c>
      <c r="E76" s="555" t="str">
        <f t="shared" si="172"/>
        <v>2Q06</v>
      </c>
      <c r="F76" s="555" t="str">
        <f t="shared" si="172"/>
        <v>3Q06</v>
      </c>
      <c r="G76" s="400" t="str">
        <f t="shared" si="172"/>
        <v>4Q06</v>
      </c>
      <c r="H76" s="554" t="str">
        <f t="shared" si="172"/>
        <v>1Q07</v>
      </c>
      <c r="I76" s="555" t="str">
        <f t="shared" si="172"/>
        <v>2Q07</v>
      </c>
      <c r="J76" s="555" t="str">
        <f t="shared" si="172"/>
        <v>3Q07</v>
      </c>
      <c r="K76" s="400" t="str">
        <f t="shared" si="172"/>
        <v>4Q07</v>
      </c>
      <c r="L76" s="554" t="str">
        <f t="shared" si="172"/>
        <v>1Q08</v>
      </c>
      <c r="M76" s="555" t="str">
        <f t="shared" si="172"/>
        <v>2Q08</v>
      </c>
      <c r="N76" s="555" t="str">
        <f t="shared" si="172"/>
        <v>3Q08</v>
      </c>
      <c r="O76" s="400" t="str">
        <f t="shared" si="172"/>
        <v>4Q08</v>
      </c>
      <c r="P76" s="554" t="str">
        <f t="shared" si="172"/>
        <v>1Q09</v>
      </c>
      <c r="Q76" s="555" t="str">
        <f t="shared" si="172"/>
        <v>2Q09</v>
      </c>
      <c r="R76" s="555" t="str">
        <f t="shared" si="172"/>
        <v>3Q09</v>
      </c>
      <c r="S76" s="400" t="str">
        <f t="shared" si="172"/>
        <v>4Q09</v>
      </c>
      <c r="T76" s="554" t="str">
        <f t="shared" si="172"/>
        <v>1Q10</v>
      </c>
      <c r="U76" s="555" t="str">
        <f t="shared" si="172"/>
        <v>2Q10</v>
      </c>
      <c r="V76" s="555" t="str">
        <f t="shared" si="172"/>
        <v>3Q10</v>
      </c>
      <c r="W76" s="400" t="str">
        <f t="shared" si="172"/>
        <v>4Q10</v>
      </c>
      <c r="X76" s="554" t="str">
        <f t="shared" si="172"/>
        <v>1Q11</v>
      </c>
      <c r="Y76" s="555" t="str">
        <f t="shared" si="172"/>
        <v>2Q11</v>
      </c>
      <c r="Z76" s="555" t="str">
        <f t="shared" si="172"/>
        <v>3Q11</v>
      </c>
      <c r="AA76" s="400" t="str">
        <f t="shared" si="172"/>
        <v>4Q11</v>
      </c>
      <c r="AB76" s="554" t="str">
        <f t="shared" si="172"/>
        <v>1Q12</v>
      </c>
      <c r="AC76" s="555" t="str">
        <f t="shared" si="172"/>
        <v>2Q12</v>
      </c>
      <c r="AD76" s="555" t="str">
        <f t="shared" si="172"/>
        <v>3Q12</v>
      </c>
      <c r="AE76" s="400" t="str">
        <f t="shared" si="172"/>
        <v>4Q12</v>
      </c>
      <c r="AF76" s="554" t="str">
        <f t="shared" si="172"/>
        <v>1Q13</v>
      </c>
      <c r="AG76" s="555" t="str">
        <f t="shared" si="172"/>
        <v>2Q13</v>
      </c>
      <c r="AH76" s="555" t="str">
        <f t="shared" si="172"/>
        <v>3Q13</v>
      </c>
      <c r="AI76" s="400" t="str">
        <f t="shared" si="172"/>
        <v>4Q13</v>
      </c>
      <c r="AJ76" s="554" t="str">
        <f t="shared" si="172"/>
        <v>1Q14</v>
      </c>
      <c r="AK76" s="555" t="str">
        <f t="shared" si="172"/>
        <v>2Q14</v>
      </c>
      <c r="AL76" s="555" t="str">
        <f t="shared" si="172"/>
        <v>3Q14</v>
      </c>
      <c r="AM76" s="400" t="str">
        <f t="shared" si="172"/>
        <v>4Q14</v>
      </c>
      <c r="AN76" s="554" t="str">
        <f t="shared" si="172"/>
        <v>1Q15</v>
      </c>
      <c r="AO76" s="555" t="str">
        <f t="shared" si="172"/>
        <v>2Q15</v>
      </c>
      <c r="AP76" s="555" t="str">
        <f t="shared" si="172"/>
        <v>3Q15</v>
      </c>
      <c r="AQ76" s="400" t="str">
        <f t="shared" si="172"/>
        <v>4Q15</v>
      </c>
      <c r="AR76" s="554" t="str">
        <f>AR61</f>
        <v>1Q16</v>
      </c>
      <c r="AS76" s="555" t="str">
        <f>AS61</f>
        <v>2Q16</v>
      </c>
      <c r="AT76" s="555" t="str">
        <f t="shared" si="172"/>
        <v>3Q16</v>
      </c>
      <c r="AU76" s="400" t="str">
        <f>AU61</f>
        <v>4Q16</v>
      </c>
      <c r="AV76" s="554" t="str">
        <f>AV61</f>
        <v>1Q17</v>
      </c>
      <c r="AW76" s="555" t="str">
        <f t="shared" si="172"/>
        <v>2Q17</v>
      </c>
      <c r="AX76" s="555" t="str">
        <f t="shared" si="172"/>
        <v>3Q17</v>
      </c>
      <c r="AY76" s="400" t="str">
        <f t="shared" si="172"/>
        <v>4Q17</v>
      </c>
      <c r="AZ76" s="554" t="str">
        <f t="shared" ref="AZ76:BG76" si="173">AZ61</f>
        <v>1Q18</v>
      </c>
      <c r="BA76" s="555" t="str">
        <f t="shared" si="173"/>
        <v>2Q18e</v>
      </c>
      <c r="BB76" s="555" t="str">
        <f t="shared" si="173"/>
        <v>3Q18e</v>
      </c>
      <c r="BC76" s="400" t="str">
        <f t="shared" si="173"/>
        <v>4Q18e</v>
      </c>
      <c r="BD76" s="554" t="str">
        <f t="shared" si="173"/>
        <v>1Q19e</v>
      </c>
      <c r="BE76" s="555" t="str">
        <f t="shared" si="173"/>
        <v>2Q19e</v>
      </c>
      <c r="BF76" s="555" t="str">
        <f t="shared" si="173"/>
        <v>3Q19e</v>
      </c>
      <c r="BG76" s="400" t="str">
        <f t="shared" si="173"/>
        <v>4Q19e</v>
      </c>
      <c r="BH76" s="554" t="str">
        <f t="shared" ref="BH76:BK76" si="174">BH61</f>
        <v>1Q20e</v>
      </c>
      <c r="BI76" s="555" t="str">
        <f t="shared" si="174"/>
        <v>2Q20e</v>
      </c>
      <c r="BJ76" s="555" t="str">
        <f t="shared" si="174"/>
        <v>3Q20e</v>
      </c>
      <c r="BK76" s="400" t="str">
        <f t="shared" si="174"/>
        <v>4Q20e</v>
      </c>
      <c r="BL76" s="231"/>
      <c r="BM76" s="397" t="str">
        <f t="shared" ref="BM76:BX76" si="175">BM61</f>
        <v>FY2006A</v>
      </c>
      <c r="BN76" s="397" t="str">
        <f t="shared" si="175"/>
        <v>FY2007A</v>
      </c>
      <c r="BO76" s="397" t="str">
        <f t="shared" si="175"/>
        <v>FY2008A</v>
      </c>
      <c r="BP76" s="397" t="str">
        <f t="shared" si="175"/>
        <v>FY2009A</v>
      </c>
      <c r="BQ76" s="397" t="str">
        <f t="shared" si="175"/>
        <v>FY2010A</v>
      </c>
      <c r="BR76" s="397" t="str">
        <f t="shared" si="175"/>
        <v>FY2011A</v>
      </c>
      <c r="BS76" s="397" t="str">
        <f t="shared" si="175"/>
        <v>FY2012A</v>
      </c>
      <c r="BT76" s="397" t="str">
        <f t="shared" si="175"/>
        <v>FY2013A</v>
      </c>
      <c r="BU76" s="397" t="str">
        <f t="shared" si="175"/>
        <v>FY2014A</v>
      </c>
      <c r="BV76" s="397" t="str">
        <f t="shared" si="175"/>
        <v>FY2015A</v>
      </c>
      <c r="BW76" s="397" t="str">
        <f t="shared" si="175"/>
        <v>FY2016A</v>
      </c>
      <c r="BX76" s="397" t="str">
        <f t="shared" si="175"/>
        <v>FY2017A</v>
      </c>
      <c r="BY76" s="723" t="str">
        <f>BY61</f>
        <v>FY2018E</v>
      </c>
      <c r="BZ76" s="723" t="str">
        <f>BZ61</f>
        <v>FY2019E</v>
      </c>
      <c r="CA76" s="398" t="str">
        <f>CA61</f>
        <v>FY2020E</v>
      </c>
      <c r="CB76" s="734"/>
      <c r="CC76" s="734"/>
      <c r="CD76" s="204"/>
    </row>
    <row r="77" spans="1:82" ht="14.25" customHeight="1">
      <c r="A77" s="203"/>
      <c r="B77" s="321" t="s">
        <v>407</v>
      </c>
      <c r="C77" s="410"/>
      <c r="D77" s="557">
        <f t="shared" ref="D77:AQ77" si="176">D66*D78</f>
        <v>69.676000000000002</v>
      </c>
      <c r="E77" s="557">
        <f t="shared" si="176"/>
        <v>65.838000000000008</v>
      </c>
      <c r="F77" s="557">
        <f t="shared" si="176"/>
        <v>61.870999999999967</v>
      </c>
      <c r="G77" s="566">
        <f t="shared" si="176"/>
        <v>73.027999999999992</v>
      </c>
      <c r="H77" s="557">
        <f t="shared" si="176"/>
        <v>60.904000000000011</v>
      </c>
      <c r="I77" s="557">
        <f t="shared" si="176"/>
        <v>63.073999999999991</v>
      </c>
      <c r="J77" s="557">
        <f t="shared" si="176"/>
        <v>63.332000000000015</v>
      </c>
      <c r="K77" s="566">
        <f t="shared" si="176"/>
        <v>81.024000000000001</v>
      </c>
      <c r="L77" s="557">
        <f t="shared" si="176"/>
        <v>78.474000000000004</v>
      </c>
      <c r="M77" s="557">
        <f t="shared" si="176"/>
        <v>75.846999999999994</v>
      </c>
      <c r="N77" s="557">
        <f t="shared" si="176"/>
        <v>85.718000000000004</v>
      </c>
      <c r="O77" s="566">
        <f t="shared" si="176"/>
        <v>80.011999999999986</v>
      </c>
      <c r="P77" s="557">
        <f t="shared" si="176"/>
        <v>71.227999999999994</v>
      </c>
      <c r="Q77" s="557">
        <f t="shared" si="176"/>
        <v>74.88000000000001</v>
      </c>
      <c r="R77" s="557">
        <f t="shared" si="176"/>
        <v>73.500999999999991</v>
      </c>
      <c r="S77" s="566">
        <f t="shared" si="176"/>
        <v>71.594000000000008</v>
      </c>
      <c r="T77" s="557">
        <f t="shared" si="176"/>
        <v>76.412000000000006</v>
      </c>
      <c r="U77" s="557">
        <f t="shared" si="176"/>
        <v>86.765999999999991</v>
      </c>
      <c r="V77" s="557">
        <f t="shared" si="176"/>
        <v>72.563999999999993</v>
      </c>
      <c r="W77" s="566">
        <f t="shared" si="176"/>
        <v>68.772999999999996</v>
      </c>
      <c r="X77" s="557">
        <f t="shared" si="176"/>
        <v>63.000000000000007</v>
      </c>
      <c r="Y77" s="557">
        <f t="shared" si="176"/>
        <v>65</v>
      </c>
      <c r="Z77" s="557">
        <f t="shared" si="176"/>
        <v>59</v>
      </c>
      <c r="AA77" s="566">
        <f t="shared" si="176"/>
        <v>59</v>
      </c>
      <c r="AB77" s="557">
        <f t="shared" si="176"/>
        <v>112</v>
      </c>
      <c r="AC77" s="557">
        <f t="shared" si="176"/>
        <v>108</v>
      </c>
      <c r="AD77" s="557">
        <f t="shared" si="176"/>
        <v>105</v>
      </c>
      <c r="AE77" s="566">
        <f t="shared" si="176"/>
        <v>97</v>
      </c>
      <c r="AF77" s="557">
        <f t="shared" si="176"/>
        <v>106</v>
      </c>
      <c r="AG77" s="557">
        <f t="shared" si="176"/>
        <v>106</v>
      </c>
      <c r="AH77" s="557">
        <f t="shared" si="176"/>
        <v>100</v>
      </c>
      <c r="AI77" s="566">
        <f t="shared" si="176"/>
        <v>98</v>
      </c>
      <c r="AJ77" s="567">
        <f t="shared" si="176"/>
        <v>94</v>
      </c>
      <c r="AK77" s="557">
        <f t="shared" si="176"/>
        <v>94</v>
      </c>
      <c r="AL77" s="557">
        <f t="shared" si="176"/>
        <v>93</v>
      </c>
      <c r="AM77" s="557">
        <f t="shared" si="176"/>
        <v>94</v>
      </c>
      <c r="AN77" s="567">
        <f t="shared" si="176"/>
        <v>92</v>
      </c>
      <c r="AO77" s="557">
        <f t="shared" si="176"/>
        <v>90</v>
      </c>
      <c r="AP77" s="557">
        <f t="shared" si="176"/>
        <v>92.999999999999986</v>
      </c>
      <c r="AQ77" s="566">
        <f t="shared" si="176"/>
        <v>96</v>
      </c>
      <c r="AR77" s="567">
        <f t="shared" ref="AR77:AW77" si="177">AR66*AR78</f>
        <v>96</v>
      </c>
      <c r="AS77" s="557">
        <f t="shared" si="177"/>
        <v>96</v>
      </c>
      <c r="AT77" s="557">
        <f t="shared" si="177"/>
        <v>96.999999999999986</v>
      </c>
      <c r="AU77" s="566">
        <f t="shared" si="177"/>
        <v>100</v>
      </c>
      <c r="AV77" s="567">
        <f t="shared" si="177"/>
        <v>97</v>
      </c>
      <c r="AW77" s="557">
        <f t="shared" si="177"/>
        <v>103</v>
      </c>
      <c r="AX77" s="557">
        <f t="shared" ref="AX77:AZ77" si="178">AX66*AX78</f>
        <v>102</v>
      </c>
      <c r="AY77" s="566">
        <f t="shared" si="178"/>
        <v>105</v>
      </c>
      <c r="AZ77" s="567">
        <f t="shared" si="178"/>
        <v>118.99999999999999</v>
      </c>
      <c r="BA77" s="557">
        <f t="shared" ref="BA77:BC77" si="179">AZ66*BA78</f>
        <v>118.99999999999999</v>
      </c>
      <c r="BB77" s="557">
        <f t="shared" si="179"/>
        <v>126.29275101023119</v>
      </c>
      <c r="BC77" s="566">
        <f t="shared" si="179"/>
        <v>133.3943083269088</v>
      </c>
      <c r="BD77" s="567">
        <f t="shared" ref="BD77" si="180">BC66*BD78</f>
        <v>140.54148531588359</v>
      </c>
      <c r="BE77" s="557">
        <f t="shared" ref="BE77" si="181">BD66*BE78</f>
        <v>147.4727483321453</v>
      </c>
      <c r="BF77" s="557">
        <f t="shared" ref="BF77" si="182">BE66*BF78</f>
        <v>154.46639186881259</v>
      </c>
      <c r="BG77" s="566">
        <f t="shared" ref="BG77" si="183">BF66*BG78</f>
        <v>161.49982195335514</v>
      </c>
      <c r="BH77" s="567">
        <f t="shared" ref="BH77" si="184">BG66*BH78</f>
        <v>168.62893445266323</v>
      </c>
      <c r="BI77" s="557">
        <f t="shared" ref="BI77" si="185">BH66*BI78</f>
        <v>175.70466871374165</v>
      </c>
      <c r="BJ77" s="557">
        <f t="shared" ref="BJ77" si="186">BI66*BJ78</f>
        <v>182.84262653716854</v>
      </c>
      <c r="BK77" s="566">
        <f t="shared" ref="BK77" si="187">BJ66*BK78</f>
        <v>190.05436512462353</v>
      </c>
      <c r="BL77" s="231"/>
      <c r="BM77" s="565">
        <f t="shared" ref="BM77:BX77" si="188">BM66*BM78</f>
        <v>270.41300000000001</v>
      </c>
      <c r="BN77" s="565">
        <f t="shared" si="188"/>
        <v>268.334</v>
      </c>
      <c r="BO77" s="565">
        <f t="shared" si="188"/>
        <v>320.05099999999999</v>
      </c>
      <c r="BP77" s="565">
        <f t="shared" si="188"/>
        <v>291.20299999999997</v>
      </c>
      <c r="BQ77" s="467">
        <f t="shared" si="188"/>
        <v>304.51499999999999</v>
      </c>
      <c r="BR77" s="467">
        <f t="shared" si="188"/>
        <v>246</v>
      </c>
      <c r="BS77" s="467">
        <f t="shared" si="188"/>
        <v>422</v>
      </c>
      <c r="BT77" s="467">
        <f t="shared" si="188"/>
        <v>410</v>
      </c>
      <c r="BU77" s="467">
        <f t="shared" si="188"/>
        <v>375</v>
      </c>
      <c r="BV77" s="467">
        <f t="shared" si="188"/>
        <v>371</v>
      </c>
      <c r="BW77" s="467">
        <f t="shared" si="188"/>
        <v>389</v>
      </c>
      <c r="BX77" s="467">
        <f t="shared" si="188"/>
        <v>407</v>
      </c>
      <c r="BY77" s="467">
        <f>BY66*BY78</f>
        <v>497.68705933714</v>
      </c>
      <c r="BZ77" s="471">
        <f>BZ66*BZ78</f>
        <v>603.98044747019662</v>
      </c>
      <c r="CA77" s="471">
        <f>CA66*CA78</f>
        <v>717.2305948281969</v>
      </c>
      <c r="CB77" s="734"/>
      <c r="CC77" s="734"/>
      <c r="CD77" s="204"/>
    </row>
    <row r="78" spans="1:82" ht="14.25" customHeight="1">
      <c r="A78" s="203"/>
      <c r="B78" s="564" t="s">
        <v>406</v>
      </c>
      <c r="C78" s="563"/>
      <c r="D78" s="561">
        <f t="shared" ref="D78:AQ78" si="189">D80/D66</f>
        <v>3.2901733012230254E-2</v>
      </c>
      <c r="E78" s="560">
        <f t="shared" si="189"/>
        <v>3.0630431960830568E-2</v>
      </c>
      <c r="F78" s="560">
        <f t="shared" si="189"/>
        <v>2.826473675891349E-2</v>
      </c>
      <c r="G78" s="562">
        <f t="shared" si="189"/>
        <v>3.248054916448026E-2</v>
      </c>
      <c r="H78" s="561">
        <f t="shared" si="189"/>
        <v>2.6396655429682461E-2</v>
      </c>
      <c r="I78" s="560">
        <f t="shared" si="189"/>
        <v>2.6505834737965236E-2</v>
      </c>
      <c r="J78" s="560">
        <f t="shared" si="189"/>
        <v>2.5822424148769663E-2</v>
      </c>
      <c r="K78" s="562">
        <f t="shared" si="189"/>
        <v>3.2240081650680728E-2</v>
      </c>
      <c r="L78" s="561">
        <f t="shared" si="189"/>
        <v>3.0330589277038633E-2</v>
      </c>
      <c r="M78" s="560">
        <f t="shared" si="189"/>
        <v>2.8612396655555743E-2</v>
      </c>
      <c r="N78" s="560">
        <f t="shared" si="189"/>
        <v>3.1483216578511365E-2</v>
      </c>
      <c r="O78" s="562">
        <f t="shared" si="189"/>
        <v>2.8564992211851908E-2</v>
      </c>
      <c r="P78" s="561">
        <f t="shared" si="189"/>
        <v>2.4780395279798802E-2</v>
      </c>
      <c r="Q78" s="560">
        <f t="shared" si="189"/>
        <v>2.5563730092347615E-2</v>
      </c>
      <c r="R78" s="560">
        <f t="shared" si="189"/>
        <v>2.4591691467133737E-2</v>
      </c>
      <c r="S78" s="562">
        <f t="shared" si="189"/>
        <v>2.3477460732623752E-2</v>
      </c>
      <c r="T78" s="561">
        <f t="shared" si="189"/>
        <v>2.4628018996694763E-2</v>
      </c>
      <c r="U78" s="560">
        <f t="shared" si="189"/>
        <v>2.7567936474852513E-2</v>
      </c>
      <c r="V78" s="560">
        <f t="shared" si="189"/>
        <v>2.2793622911982392E-2</v>
      </c>
      <c r="W78" s="562">
        <f t="shared" si="189"/>
        <v>2.1367636883462448E-2</v>
      </c>
      <c r="X78" s="561">
        <f t="shared" si="189"/>
        <v>1.942909905417296E-2</v>
      </c>
      <c r="Y78" s="560">
        <f t="shared" si="189"/>
        <v>1.9699602280183508E-2</v>
      </c>
      <c r="Z78" s="560">
        <f t="shared" si="189"/>
        <v>1.7588004861443789E-2</v>
      </c>
      <c r="AA78" s="562">
        <f t="shared" si="189"/>
        <v>1.7213416311725054E-2</v>
      </c>
      <c r="AB78" s="561">
        <f t="shared" si="189"/>
        <v>3.232734671281396E-2</v>
      </c>
      <c r="AC78" s="560">
        <f t="shared" si="189"/>
        <v>3.0825797424847139E-2</v>
      </c>
      <c r="AD78" s="560">
        <f t="shared" si="189"/>
        <v>2.9589475615313152E-2</v>
      </c>
      <c r="AE78" s="562">
        <f t="shared" si="189"/>
        <v>2.7022818123340505E-2</v>
      </c>
      <c r="AF78" s="561">
        <f t="shared" si="189"/>
        <v>2.9132412034544451E-2</v>
      </c>
      <c r="AG78" s="560">
        <f t="shared" si="189"/>
        <v>2.8729720814872461E-2</v>
      </c>
      <c r="AH78" s="560">
        <f t="shared" si="189"/>
        <v>2.6812821569520692E-2</v>
      </c>
      <c r="AI78" s="562">
        <f t="shared" si="189"/>
        <v>2.5881017567665001E-2</v>
      </c>
      <c r="AJ78" s="561">
        <f t="shared" si="189"/>
        <v>2.4513901077020856E-2</v>
      </c>
      <c r="AK78" s="560">
        <f t="shared" si="189"/>
        <v>2.4105289854570739E-2</v>
      </c>
      <c r="AL78" s="560">
        <f t="shared" si="189"/>
        <v>2.3457842347660865E-2</v>
      </c>
      <c r="AM78" s="560">
        <f t="shared" si="189"/>
        <v>2.3339198755375157E-2</v>
      </c>
      <c r="AN78" s="561">
        <f t="shared" si="189"/>
        <v>2.2568053105572621E-2</v>
      </c>
      <c r="AO78" s="560">
        <f t="shared" si="189"/>
        <v>2.1736195523358082E-2</v>
      </c>
      <c r="AP78" s="560">
        <f t="shared" si="189"/>
        <v>2.2187448631881362E-2</v>
      </c>
      <c r="AQ78" s="562">
        <f t="shared" si="189"/>
        <v>2.2617190619802909E-2</v>
      </c>
      <c r="AR78" s="561">
        <f t="shared" ref="AR78:AW78" si="190">AR80/AR66</f>
        <v>2.226056501487864E-2</v>
      </c>
      <c r="AS78" s="560">
        <f t="shared" si="190"/>
        <v>2.2020575934400707E-2</v>
      </c>
      <c r="AT78" s="560">
        <f t="shared" si="190"/>
        <v>2.1997664619069619E-2</v>
      </c>
      <c r="AU78" s="562">
        <f t="shared" si="190"/>
        <v>3.2862306933946761E-2</v>
      </c>
      <c r="AV78" s="561">
        <f t="shared" si="190"/>
        <v>3.1219826198905697E-2</v>
      </c>
      <c r="AW78" s="560">
        <f t="shared" si="190"/>
        <v>3.234924623115578E-2</v>
      </c>
      <c r="AX78" s="560">
        <f t="shared" ref="AX78:AZ78" si="191">AX80/AX66</f>
        <v>3.125E-2</v>
      </c>
      <c r="AY78" s="562">
        <f t="shared" si="191"/>
        <v>3.1712473572938688E-2</v>
      </c>
      <c r="AZ78" s="561">
        <f t="shared" si="191"/>
        <v>3.386454183266932E-2</v>
      </c>
      <c r="BA78" s="765">
        <f t="shared" ref="BA78:BC78" si="192">AZ78</f>
        <v>3.386454183266932E-2</v>
      </c>
      <c r="BB78" s="765">
        <f t="shared" si="192"/>
        <v>3.386454183266932E-2</v>
      </c>
      <c r="BC78" s="763">
        <f t="shared" si="192"/>
        <v>3.386454183266932E-2</v>
      </c>
      <c r="BD78" s="764">
        <f t="shared" ref="BD78" si="193">BC78</f>
        <v>3.386454183266932E-2</v>
      </c>
      <c r="BE78" s="765">
        <f t="shared" ref="BE78" si="194">BD78</f>
        <v>3.386454183266932E-2</v>
      </c>
      <c r="BF78" s="765">
        <f t="shared" ref="BF78" si="195">BE78</f>
        <v>3.386454183266932E-2</v>
      </c>
      <c r="BG78" s="763">
        <f t="shared" ref="BG78" si="196">BF78</f>
        <v>3.386454183266932E-2</v>
      </c>
      <c r="BH78" s="764">
        <f t="shared" ref="BH78" si="197">BG78</f>
        <v>3.386454183266932E-2</v>
      </c>
      <c r="BI78" s="765">
        <f t="shared" ref="BI78" si="198">BH78</f>
        <v>3.386454183266932E-2</v>
      </c>
      <c r="BJ78" s="765">
        <f t="shared" ref="BJ78" si="199">BI78</f>
        <v>3.386454183266932E-2</v>
      </c>
      <c r="BK78" s="763">
        <f t="shared" ref="BK78" si="200">BJ78</f>
        <v>3.386454183266932E-2</v>
      </c>
      <c r="BL78" s="231"/>
      <c r="BM78" s="560">
        <f t="shared" ref="BM78:BX78" si="201">BM80/BM66</f>
        <v>0.12027116641856002</v>
      </c>
      <c r="BN78" s="560">
        <f t="shared" si="201"/>
        <v>0.10677219181543447</v>
      </c>
      <c r="BO78" s="560">
        <f t="shared" si="201"/>
        <v>0.11426103987396161</v>
      </c>
      <c r="BP78" s="560">
        <f t="shared" si="201"/>
        <v>9.5492736789706309E-2</v>
      </c>
      <c r="BQ78" s="559">
        <f t="shared" si="201"/>
        <v>9.4612216212286326E-2</v>
      </c>
      <c r="BR78" s="559">
        <f t="shared" si="201"/>
        <v>7.1771193435328187E-2</v>
      </c>
      <c r="BS78" s="559">
        <f t="shared" si="201"/>
        <v>0.11756318812422364</v>
      </c>
      <c r="BT78" s="559">
        <f t="shared" si="201"/>
        <v>0.10827772655859848</v>
      </c>
      <c r="BU78" s="559">
        <f t="shared" si="201"/>
        <v>9.3108505673039188E-2</v>
      </c>
      <c r="BV78" s="559">
        <f t="shared" si="201"/>
        <v>8.7406017916113327E-2</v>
      </c>
      <c r="BW78" s="559">
        <f>BW80/BW66</f>
        <v>0.12783437397305292</v>
      </c>
      <c r="BX78" s="559">
        <f t="shared" si="201"/>
        <v>0.12292358803986711</v>
      </c>
      <c r="BY78" s="559">
        <f>BY80/BY66</f>
        <v>0.11992148939239916</v>
      </c>
      <c r="BZ78" s="783">
        <f>BZ80/BZ66</f>
        <v>0.12129306987473393</v>
      </c>
      <c r="CA78" s="783">
        <f>CA80/CA66</f>
        <v>0.12312188436301846</v>
      </c>
      <c r="CB78" s="734"/>
      <c r="CC78" s="734"/>
      <c r="CD78" s="204"/>
    </row>
    <row r="79" spans="1:82" ht="14.25" customHeight="1">
      <c r="A79" s="203"/>
      <c r="B79" s="209"/>
      <c r="C79" s="204"/>
      <c r="D79" s="557"/>
      <c r="E79" s="557"/>
      <c r="F79" s="557"/>
      <c r="G79" s="557"/>
      <c r="H79" s="557"/>
      <c r="I79" s="557"/>
      <c r="J79" s="557"/>
      <c r="K79" s="557"/>
      <c r="L79" s="557"/>
      <c r="M79" s="557"/>
      <c r="N79" s="557"/>
      <c r="O79" s="557"/>
      <c r="P79" s="557"/>
      <c r="Q79" s="557"/>
      <c r="R79" s="557"/>
      <c r="S79" s="557"/>
      <c r="T79" s="557"/>
      <c r="U79" s="557"/>
      <c r="V79" s="557"/>
      <c r="W79" s="557"/>
      <c r="X79" s="557"/>
      <c r="Y79" s="557"/>
      <c r="Z79" s="557"/>
      <c r="AA79" s="557"/>
      <c r="AB79" s="557"/>
      <c r="AC79" s="557"/>
      <c r="AD79" s="557"/>
      <c r="AE79" s="557"/>
      <c r="AF79" s="557"/>
      <c r="AG79" s="557"/>
      <c r="AH79" s="557"/>
      <c r="AI79" s="557"/>
      <c r="AJ79" s="557"/>
      <c r="AK79" s="557"/>
      <c r="AL79" s="557"/>
      <c r="AM79" s="557"/>
      <c r="AN79" s="557"/>
      <c r="AO79" s="557"/>
      <c r="AP79" s="557"/>
      <c r="AQ79" s="557"/>
      <c r="AR79" s="557"/>
      <c r="AS79" s="557"/>
      <c r="AT79" s="557"/>
      <c r="AU79" s="557"/>
      <c r="AV79" s="557"/>
      <c r="AW79" s="557"/>
      <c r="AX79" s="557"/>
      <c r="AY79" s="557"/>
      <c r="AZ79" s="557"/>
      <c r="BA79" s="557"/>
      <c r="BB79" s="557"/>
      <c r="BC79" s="557"/>
      <c r="BD79" s="557"/>
      <c r="BE79" s="557"/>
      <c r="BF79" s="557"/>
      <c r="BG79" s="557"/>
      <c r="BH79" s="557"/>
      <c r="BI79" s="557"/>
      <c r="BJ79" s="557"/>
      <c r="BK79" s="557"/>
      <c r="BL79" s="203"/>
      <c r="BM79" s="557"/>
      <c r="BN79" s="557"/>
      <c r="BO79" s="557"/>
      <c r="BP79" s="557"/>
      <c r="BQ79" s="557"/>
      <c r="BR79" s="557"/>
      <c r="BS79" s="557"/>
      <c r="BT79" s="557"/>
      <c r="BU79" s="557"/>
      <c r="BV79" s="557"/>
      <c r="BW79" s="557"/>
      <c r="BX79" s="557"/>
      <c r="BY79" s="682"/>
      <c r="BZ79" s="682"/>
      <c r="CA79" s="682"/>
      <c r="CB79" s="734"/>
      <c r="CC79" s="734"/>
      <c r="CD79" s="204"/>
    </row>
    <row r="80" spans="1:82" ht="14.25" customHeight="1">
      <c r="A80" s="203"/>
      <c r="B80" s="237" t="s">
        <v>405</v>
      </c>
      <c r="C80" s="556"/>
      <c r="D80" s="472">
        <f t="shared" ref="D80:AQ80" si="202">D10</f>
        <v>69.676000000000002</v>
      </c>
      <c r="E80" s="467">
        <f t="shared" si="202"/>
        <v>65.838000000000008</v>
      </c>
      <c r="F80" s="467">
        <f t="shared" si="202"/>
        <v>61.870999999999967</v>
      </c>
      <c r="G80" s="471">
        <f t="shared" si="202"/>
        <v>73.028000000000006</v>
      </c>
      <c r="H80" s="472">
        <f t="shared" si="202"/>
        <v>60.904000000000003</v>
      </c>
      <c r="I80" s="467">
        <f t="shared" si="202"/>
        <v>63.073999999999991</v>
      </c>
      <c r="J80" s="467">
        <f t="shared" si="202"/>
        <v>63.332000000000015</v>
      </c>
      <c r="K80" s="471">
        <f t="shared" si="202"/>
        <v>81.024000000000001</v>
      </c>
      <c r="L80" s="472">
        <f t="shared" si="202"/>
        <v>78.474000000000004</v>
      </c>
      <c r="M80" s="467">
        <f t="shared" si="202"/>
        <v>75.846999999999994</v>
      </c>
      <c r="N80" s="467">
        <f t="shared" si="202"/>
        <v>85.718000000000004</v>
      </c>
      <c r="O80" s="471">
        <f t="shared" si="202"/>
        <v>80.011999999999986</v>
      </c>
      <c r="P80" s="472">
        <f t="shared" si="202"/>
        <v>71.227999999999994</v>
      </c>
      <c r="Q80" s="467">
        <f t="shared" si="202"/>
        <v>74.88000000000001</v>
      </c>
      <c r="R80" s="467">
        <f t="shared" si="202"/>
        <v>73.500999999999991</v>
      </c>
      <c r="S80" s="471">
        <f t="shared" si="202"/>
        <v>71.594000000000008</v>
      </c>
      <c r="T80" s="472">
        <f t="shared" si="202"/>
        <v>76.412000000000006</v>
      </c>
      <c r="U80" s="467">
        <f t="shared" si="202"/>
        <v>86.765999999999991</v>
      </c>
      <c r="V80" s="467">
        <f t="shared" si="202"/>
        <v>72.563999999999993</v>
      </c>
      <c r="W80" s="471">
        <f t="shared" si="202"/>
        <v>68.772999999999996</v>
      </c>
      <c r="X80" s="472">
        <f t="shared" si="202"/>
        <v>63</v>
      </c>
      <c r="Y80" s="467">
        <f t="shared" si="202"/>
        <v>65</v>
      </c>
      <c r="Z80" s="467">
        <f t="shared" si="202"/>
        <v>59</v>
      </c>
      <c r="AA80" s="471">
        <f t="shared" si="202"/>
        <v>59</v>
      </c>
      <c r="AB80" s="472">
        <f t="shared" si="202"/>
        <v>112</v>
      </c>
      <c r="AC80" s="467">
        <f t="shared" si="202"/>
        <v>108</v>
      </c>
      <c r="AD80" s="467">
        <f t="shared" si="202"/>
        <v>105</v>
      </c>
      <c r="AE80" s="471">
        <f t="shared" si="202"/>
        <v>97</v>
      </c>
      <c r="AF80" s="472">
        <f t="shared" si="202"/>
        <v>106</v>
      </c>
      <c r="AG80" s="467">
        <f t="shared" si="202"/>
        <v>106</v>
      </c>
      <c r="AH80" s="467">
        <f t="shared" si="202"/>
        <v>100</v>
      </c>
      <c r="AI80" s="471">
        <f t="shared" si="202"/>
        <v>98</v>
      </c>
      <c r="AJ80" s="472">
        <f t="shared" si="202"/>
        <v>94</v>
      </c>
      <c r="AK80" s="467">
        <f t="shared" si="202"/>
        <v>94</v>
      </c>
      <c r="AL80" s="467">
        <f t="shared" si="202"/>
        <v>93</v>
      </c>
      <c r="AM80" s="468">
        <f t="shared" si="202"/>
        <v>94</v>
      </c>
      <c r="AN80" s="472">
        <f t="shared" si="202"/>
        <v>92</v>
      </c>
      <c r="AO80" s="467">
        <f t="shared" si="202"/>
        <v>90</v>
      </c>
      <c r="AP80" s="467">
        <f t="shared" si="202"/>
        <v>93</v>
      </c>
      <c r="AQ80" s="468">
        <f t="shared" si="202"/>
        <v>96</v>
      </c>
      <c r="AR80" s="472">
        <f t="shared" ref="AR80:AW80" si="203">AR10</f>
        <v>96</v>
      </c>
      <c r="AS80" s="467">
        <f t="shared" si="203"/>
        <v>96</v>
      </c>
      <c r="AT80" s="467">
        <f t="shared" si="203"/>
        <v>97</v>
      </c>
      <c r="AU80" s="468">
        <f t="shared" si="203"/>
        <v>100</v>
      </c>
      <c r="AV80" s="472">
        <f t="shared" si="203"/>
        <v>97</v>
      </c>
      <c r="AW80" s="467">
        <f t="shared" si="203"/>
        <v>103</v>
      </c>
      <c r="AX80" s="467">
        <f t="shared" ref="AX80:AZ80" si="204">AX10</f>
        <v>102</v>
      </c>
      <c r="AY80" s="468">
        <f t="shared" si="204"/>
        <v>105</v>
      </c>
      <c r="AZ80" s="472">
        <f t="shared" si="204"/>
        <v>119</v>
      </c>
      <c r="BA80" s="467">
        <f t="shared" ref="BA80:BG80" si="205">BA10</f>
        <v>118.99999999999999</v>
      </c>
      <c r="BB80" s="467">
        <f t="shared" si="205"/>
        <v>126.29275101023119</v>
      </c>
      <c r="BC80" s="468">
        <f t="shared" si="205"/>
        <v>133.3943083269088</v>
      </c>
      <c r="BD80" s="472">
        <f t="shared" si="205"/>
        <v>140.54148531588359</v>
      </c>
      <c r="BE80" s="467">
        <f t="shared" si="205"/>
        <v>147.4727483321453</v>
      </c>
      <c r="BF80" s="467">
        <f t="shared" si="205"/>
        <v>154.46639186881259</v>
      </c>
      <c r="BG80" s="468">
        <f t="shared" si="205"/>
        <v>161.49982195335514</v>
      </c>
      <c r="BH80" s="472">
        <f t="shared" ref="BH80:BK80" si="206">BH10</f>
        <v>168.62893445266323</v>
      </c>
      <c r="BI80" s="467">
        <f t="shared" si="206"/>
        <v>175.70466871374165</v>
      </c>
      <c r="BJ80" s="467">
        <f t="shared" si="206"/>
        <v>182.84262653716854</v>
      </c>
      <c r="BK80" s="468">
        <f t="shared" si="206"/>
        <v>190.05436512462353</v>
      </c>
      <c r="BL80" s="216"/>
      <c r="BM80" s="467">
        <f t="shared" ref="BM80:BX80" si="207">BM10</f>
        <v>270.41300000000001</v>
      </c>
      <c r="BN80" s="467">
        <f t="shared" si="207"/>
        <v>268.334</v>
      </c>
      <c r="BO80" s="467">
        <f t="shared" si="207"/>
        <v>320.05099999999999</v>
      </c>
      <c r="BP80" s="467">
        <f t="shared" si="207"/>
        <v>291.20299999999997</v>
      </c>
      <c r="BQ80" s="467">
        <f t="shared" si="207"/>
        <v>304.51499999999999</v>
      </c>
      <c r="BR80" s="467">
        <f t="shared" si="207"/>
        <v>246</v>
      </c>
      <c r="BS80" s="467">
        <f t="shared" si="207"/>
        <v>422</v>
      </c>
      <c r="BT80" s="467">
        <f t="shared" si="207"/>
        <v>410</v>
      </c>
      <c r="BU80" s="467">
        <f t="shared" si="207"/>
        <v>375</v>
      </c>
      <c r="BV80" s="467">
        <f t="shared" si="207"/>
        <v>371</v>
      </c>
      <c r="BW80" s="467">
        <f>BW10</f>
        <v>389</v>
      </c>
      <c r="BX80" s="467">
        <f t="shared" si="207"/>
        <v>407</v>
      </c>
      <c r="BY80" s="467">
        <f>BY10</f>
        <v>497.68705933714</v>
      </c>
      <c r="BZ80" s="471">
        <f>BZ10</f>
        <v>603.98044747019662</v>
      </c>
      <c r="CA80" s="471">
        <f>CA10</f>
        <v>717.2305948281969</v>
      </c>
      <c r="CB80" s="734"/>
      <c r="CC80" s="734"/>
      <c r="CD80" s="204"/>
    </row>
    <row r="81" spans="1:82" ht="14.25" customHeight="1">
      <c r="A81" s="203"/>
      <c r="B81" s="466" t="s">
        <v>65</v>
      </c>
      <c r="C81" s="465"/>
      <c r="D81" s="460">
        <f t="shared" ref="D81:AQ81" si="208">IF(ROUND(D80,4)=ROUND(D77,4),0,(D80-D77))</f>
        <v>0</v>
      </c>
      <c r="E81" s="460">
        <f t="shared" si="208"/>
        <v>0</v>
      </c>
      <c r="F81" s="464">
        <f t="shared" si="208"/>
        <v>0</v>
      </c>
      <c r="G81" s="460">
        <f t="shared" si="208"/>
        <v>0</v>
      </c>
      <c r="H81" s="460">
        <f t="shared" si="208"/>
        <v>0</v>
      </c>
      <c r="I81" s="460">
        <f t="shared" si="208"/>
        <v>0</v>
      </c>
      <c r="J81" s="464">
        <f t="shared" si="208"/>
        <v>0</v>
      </c>
      <c r="K81" s="460">
        <f t="shared" si="208"/>
        <v>0</v>
      </c>
      <c r="L81" s="460">
        <f t="shared" si="208"/>
        <v>0</v>
      </c>
      <c r="M81" s="460">
        <f t="shared" si="208"/>
        <v>0</v>
      </c>
      <c r="N81" s="464">
        <f t="shared" si="208"/>
        <v>0</v>
      </c>
      <c r="O81" s="460">
        <f t="shared" si="208"/>
        <v>0</v>
      </c>
      <c r="P81" s="460">
        <f t="shared" si="208"/>
        <v>0</v>
      </c>
      <c r="Q81" s="460">
        <f t="shared" si="208"/>
        <v>0</v>
      </c>
      <c r="R81" s="464">
        <f t="shared" si="208"/>
        <v>0</v>
      </c>
      <c r="S81" s="460">
        <f t="shared" si="208"/>
        <v>0</v>
      </c>
      <c r="T81" s="460">
        <f t="shared" si="208"/>
        <v>0</v>
      </c>
      <c r="U81" s="460">
        <f t="shared" si="208"/>
        <v>0</v>
      </c>
      <c r="V81" s="464">
        <f t="shared" si="208"/>
        <v>0</v>
      </c>
      <c r="W81" s="460">
        <f t="shared" si="208"/>
        <v>0</v>
      </c>
      <c r="X81" s="460">
        <f t="shared" si="208"/>
        <v>0</v>
      </c>
      <c r="Y81" s="460">
        <f t="shared" si="208"/>
        <v>0</v>
      </c>
      <c r="Z81" s="464">
        <f t="shared" si="208"/>
        <v>0</v>
      </c>
      <c r="AA81" s="460">
        <f t="shared" si="208"/>
        <v>0</v>
      </c>
      <c r="AB81" s="460">
        <f t="shared" si="208"/>
        <v>0</v>
      </c>
      <c r="AC81" s="460">
        <f t="shared" si="208"/>
        <v>0</v>
      </c>
      <c r="AD81" s="464">
        <f t="shared" si="208"/>
        <v>0</v>
      </c>
      <c r="AE81" s="460">
        <f t="shared" si="208"/>
        <v>0</v>
      </c>
      <c r="AF81" s="460">
        <f t="shared" si="208"/>
        <v>0</v>
      </c>
      <c r="AG81" s="460">
        <f t="shared" si="208"/>
        <v>0</v>
      </c>
      <c r="AH81" s="464">
        <f t="shared" si="208"/>
        <v>0</v>
      </c>
      <c r="AI81" s="460">
        <f t="shared" si="208"/>
        <v>0</v>
      </c>
      <c r="AJ81" s="462">
        <f t="shared" si="208"/>
        <v>0</v>
      </c>
      <c r="AK81" s="460">
        <f t="shared" si="208"/>
        <v>0</v>
      </c>
      <c r="AL81" s="460">
        <f t="shared" si="208"/>
        <v>0</v>
      </c>
      <c r="AM81" s="461">
        <f t="shared" si="208"/>
        <v>0</v>
      </c>
      <c r="AN81" s="462">
        <f t="shared" si="208"/>
        <v>0</v>
      </c>
      <c r="AO81" s="460">
        <f t="shared" si="208"/>
        <v>0</v>
      </c>
      <c r="AP81" s="460">
        <f t="shared" si="208"/>
        <v>0</v>
      </c>
      <c r="AQ81" s="461">
        <f t="shared" si="208"/>
        <v>0</v>
      </c>
      <c r="AR81" s="462">
        <f t="shared" ref="AR81:AW81" si="209">IF(ROUND(AR80,4)=ROUND(AR77,4),0,(AR80-AR77))</f>
        <v>0</v>
      </c>
      <c r="AS81" s="460">
        <f t="shared" si="209"/>
        <v>0</v>
      </c>
      <c r="AT81" s="460">
        <f t="shared" si="209"/>
        <v>0</v>
      </c>
      <c r="AU81" s="461">
        <f t="shared" si="209"/>
        <v>0</v>
      </c>
      <c r="AV81" s="462">
        <f t="shared" si="209"/>
        <v>0</v>
      </c>
      <c r="AW81" s="460">
        <f t="shared" si="209"/>
        <v>0</v>
      </c>
      <c r="AX81" s="460">
        <f t="shared" ref="AX81:AZ81" si="210">IF(ROUND(AX80,4)=ROUND(AX77,4),0,(AX80-AX77))</f>
        <v>0</v>
      </c>
      <c r="AY81" s="461">
        <f t="shared" si="210"/>
        <v>0</v>
      </c>
      <c r="AZ81" s="462">
        <f t="shared" si="210"/>
        <v>0</v>
      </c>
      <c r="BA81" s="460">
        <f t="shared" ref="BA81:BG81" si="211">IF(ROUND(BA80,4)=ROUND(BA77,4),0,(BA80-BA77))</f>
        <v>0</v>
      </c>
      <c r="BB81" s="460">
        <f t="shared" si="211"/>
        <v>0</v>
      </c>
      <c r="BC81" s="461">
        <f t="shared" si="211"/>
        <v>0</v>
      </c>
      <c r="BD81" s="462">
        <f t="shared" si="211"/>
        <v>0</v>
      </c>
      <c r="BE81" s="460">
        <f t="shared" si="211"/>
        <v>0</v>
      </c>
      <c r="BF81" s="460">
        <f t="shared" si="211"/>
        <v>0</v>
      </c>
      <c r="BG81" s="461">
        <f t="shared" si="211"/>
        <v>0</v>
      </c>
      <c r="BH81" s="462">
        <f t="shared" ref="BH81:BK81" si="212">IF(ROUND(BH80,4)=ROUND(BH77,4),0,(BH80-BH77))</f>
        <v>0</v>
      </c>
      <c r="BI81" s="460">
        <f t="shared" si="212"/>
        <v>0</v>
      </c>
      <c r="BJ81" s="460">
        <f t="shared" si="212"/>
        <v>0</v>
      </c>
      <c r="BK81" s="461">
        <f t="shared" si="212"/>
        <v>0</v>
      </c>
      <c r="BL81" s="216"/>
      <c r="BM81" s="460">
        <f t="shared" ref="BM81:BX81" si="213">IF(ROUND(BM80,4)=ROUND(BM77,4),0,(BM80-BM77))</f>
        <v>0</v>
      </c>
      <c r="BN81" s="460">
        <f t="shared" si="213"/>
        <v>0</v>
      </c>
      <c r="BO81" s="460">
        <f t="shared" si="213"/>
        <v>0</v>
      </c>
      <c r="BP81" s="460">
        <f t="shared" si="213"/>
        <v>0</v>
      </c>
      <c r="BQ81" s="460">
        <f t="shared" si="213"/>
        <v>0</v>
      </c>
      <c r="BR81" s="460">
        <f t="shared" si="213"/>
        <v>0</v>
      </c>
      <c r="BS81" s="460">
        <f t="shared" si="213"/>
        <v>0</v>
      </c>
      <c r="BT81" s="460">
        <f t="shared" si="213"/>
        <v>0</v>
      </c>
      <c r="BU81" s="460">
        <f t="shared" si="213"/>
        <v>0</v>
      </c>
      <c r="BV81" s="460">
        <f t="shared" si="213"/>
        <v>0</v>
      </c>
      <c r="BW81" s="460">
        <f t="shared" si="213"/>
        <v>0</v>
      </c>
      <c r="BX81" s="460">
        <f t="shared" si="213"/>
        <v>0</v>
      </c>
      <c r="BY81" s="460">
        <f>IF(ROUND(BY80,4)=ROUND(BY77,4),0,(BY80-BY77))</f>
        <v>0</v>
      </c>
      <c r="BZ81" s="461">
        <f>IF(ROUND(BZ80,4)=ROUND(BZ77,4),0,(BZ80-BZ77))</f>
        <v>0</v>
      </c>
      <c r="CA81" s="461">
        <f>IF(ROUND(CA80,4)=ROUND(CA77,4),0,(CA80-CA77))</f>
        <v>0</v>
      </c>
      <c r="CB81" s="734"/>
      <c r="CC81" s="734"/>
      <c r="CD81" s="204"/>
    </row>
    <row r="82" spans="1:82" ht="14.25" customHeight="1">
      <c r="A82" s="203"/>
      <c r="B82" s="209"/>
      <c r="C82" s="204"/>
      <c r="D82" s="203"/>
      <c r="E82" s="203"/>
      <c r="F82" s="203"/>
      <c r="G82" s="203"/>
      <c r="H82" s="203"/>
      <c r="I82" s="203"/>
      <c r="J82" s="203"/>
      <c r="K82" s="203"/>
      <c r="L82" s="203"/>
      <c r="M82" s="203"/>
      <c r="N82" s="203"/>
      <c r="O82" s="203"/>
      <c r="P82" s="203"/>
      <c r="Q82" s="203"/>
      <c r="R82" s="203"/>
      <c r="S82" s="203"/>
      <c r="T82" s="203"/>
      <c r="U82" s="203"/>
      <c r="V82" s="203"/>
      <c r="W82" s="203"/>
      <c r="X82" s="203"/>
      <c r="Y82" s="203"/>
      <c r="Z82" s="203"/>
      <c r="AA82" s="203"/>
      <c r="AB82" s="203"/>
      <c r="AC82" s="203"/>
      <c r="AD82" s="203"/>
      <c r="AE82" s="203"/>
      <c r="AF82" s="203"/>
      <c r="AG82" s="203"/>
      <c r="AH82" s="203"/>
      <c r="AI82" s="203"/>
      <c r="AJ82" s="203"/>
      <c r="AK82" s="203"/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733"/>
      <c r="BA82" s="733"/>
      <c r="BB82" s="733"/>
      <c r="BC82" s="733"/>
      <c r="BD82" s="733"/>
      <c r="BE82" s="733"/>
      <c r="BF82" s="733"/>
      <c r="BG82" s="733"/>
      <c r="BH82" s="733"/>
      <c r="BI82" s="733"/>
      <c r="BJ82" s="733"/>
      <c r="BK82" s="733"/>
      <c r="BL82" s="203"/>
      <c r="BM82" s="203"/>
      <c r="BN82" s="203"/>
      <c r="BO82" s="203"/>
      <c r="BP82" s="203"/>
      <c r="BQ82" s="203"/>
      <c r="BR82" s="203"/>
      <c r="BS82" s="733"/>
      <c r="BT82" s="733"/>
      <c r="BU82" s="733"/>
      <c r="BV82" s="733"/>
      <c r="BW82" s="733"/>
      <c r="BX82" s="733"/>
      <c r="BY82" s="733"/>
      <c r="BZ82" s="733"/>
      <c r="CA82" s="733"/>
      <c r="CB82" s="734"/>
      <c r="CC82" s="734"/>
      <c r="CD82" s="204"/>
    </row>
    <row r="83" spans="1:82" ht="14.25" customHeight="1">
      <c r="A83" s="203"/>
      <c r="B83" s="209"/>
      <c r="C83" s="204"/>
      <c r="D83" s="203"/>
      <c r="E83" s="203"/>
      <c r="F83" s="203"/>
      <c r="G83" s="203"/>
      <c r="H83" s="203"/>
      <c r="I83" s="203"/>
      <c r="J83" s="203"/>
      <c r="K83" s="203"/>
      <c r="L83" s="203"/>
      <c r="M83" s="203"/>
      <c r="N83" s="203"/>
      <c r="O83" s="203"/>
      <c r="P83" s="203"/>
      <c r="Q83" s="203"/>
      <c r="R83" s="203"/>
      <c r="S83" s="203"/>
      <c r="T83" s="203"/>
      <c r="U83" s="203"/>
      <c r="V83" s="203"/>
      <c r="W83" s="203"/>
      <c r="X83" s="203"/>
      <c r="Y83" s="203"/>
      <c r="Z83" s="203"/>
      <c r="AA83" s="203"/>
      <c r="AB83" s="203"/>
      <c r="AC83" s="203"/>
      <c r="AD83" s="203"/>
      <c r="AE83" s="203"/>
      <c r="AF83" s="203"/>
      <c r="AG83" s="20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733"/>
      <c r="BA83" s="733"/>
      <c r="BB83" s="733"/>
      <c r="BC83" s="733"/>
      <c r="BD83" s="733"/>
      <c r="BE83" s="733"/>
      <c r="BF83" s="733"/>
      <c r="BG83" s="733"/>
      <c r="BH83" s="733"/>
      <c r="BI83" s="733"/>
      <c r="BJ83" s="733"/>
      <c r="BK83" s="733"/>
      <c r="BL83" s="203"/>
      <c r="BM83" s="203"/>
      <c r="BN83" s="203"/>
      <c r="BO83" s="203"/>
      <c r="BP83" s="203"/>
      <c r="BQ83" s="203"/>
      <c r="BR83" s="203"/>
      <c r="BS83" s="733"/>
      <c r="BT83" s="733"/>
      <c r="BU83" s="733"/>
      <c r="BV83" s="733"/>
      <c r="BW83" s="733"/>
      <c r="BX83" s="733"/>
      <c r="BY83" s="733"/>
      <c r="BZ83" s="733"/>
      <c r="CA83" s="733"/>
      <c r="CB83" s="734"/>
      <c r="CC83" s="734"/>
      <c r="CD83" s="204"/>
    </row>
    <row r="84" spans="1:82" ht="14.25" customHeight="1">
      <c r="A84" s="203"/>
      <c r="B84" s="458" t="s">
        <v>234</v>
      </c>
      <c r="C84" s="457"/>
      <c r="D84" s="554" t="str">
        <f t="shared" ref="D84:AY84" si="214">D76</f>
        <v>1Q06</v>
      </c>
      <c r="E84" s="555" t="str">
        <f t="shared" si="214"/>
        <v>2Q06</v>
      </c>
      <c r="F84" s="555" t="str">
        <f t="shared" si="214"/>
        <v>3Q06</v>
      </c>
      <c r="G84" s="400" t="str">
        <f t="shared" si="214"/>
        <v>4Q06</v>
      </c>
      <c r="H84" s="554" t="str">
        <f t="shared" si="214"/>
        <v>1Q07</v>
      </c>
      <c r="I84" s="555" t="str">
        <f t="shared" si="214"/>
        <v>2Q07</v>
      </c>
      <c r="J84" s="555" t="str">
        <f t="shared" si="214"/>
        <v>3Q07</v>
      </c>
      <c r="K84" s="400" t="str">
        <f t="shared" si="214"/>
        <v>4Q07</v>
      </c>
      <c r="L84" s="554" t="str">
        <f t="shared" si="214"/>
        <v>1Q08</v>
      </c>
      <c r="M84" s="555" t="str">
        <f t="shared" si="214"/>
        <v>2Q08</v>
      </c>
      <c r="N84" s="555" t="str">
        <f t="shared" si="214"/>
        <v>3Q08</v>
      </c>
      <c r="O84" s="400" t="str">
        <f t="shared" si="214"/>
        <v>4Q08</v>
      </c>
      <c r="P84" s="554" t="str">
        <f t="shared" si="214"/>
        <v>1Q09</v>
      </c>
      <c r="Q84" s="555" t="str">
        <f t="shared" si="214"/>
        <v>2Q09</v>
      </c>
      <c r="R84" s="555" t="str">
        <f t="shared" si="214"/>
        <v>3Q09</v>
      </c>
      <c r="S84" s="400" t="str">
        <f t="shared" si="214"/>
        <v>4Q09</v>
      </c>
      <c r="T84" s="554" t="str">
        <f t="shared" si="214"/>
        <v>1Q10</v>
      </c>
      <c r="U84" s="555" t="str">
        <f t="shared" si="214"/>
        <v>2Q10</v>
      </c>
      <c r="V84" s="555" t="str">
        <f t="shared" si="214"/>
        <v>3Q10</v>
      </c>
      <c r="W84" s="400" t="str">
        <f t="shared" si="214"/>
        <v>4Q10</v>
      </c>
      <c r="X84" s="554" t="str">
        <f t="shared" si="214"/>
        <v>1Q11</v>
      </c>
      <c r="Y84" s="555" t="str">
        <f t="shared" si="214"/>
        <v>2Q11</v>
      </c>
      <c r="Z84" s="555" t="str">
        <f t="shared" si="214"/>
        <v>3Q11</v>
      </c>
      <c r="AA84" s="400" t="str">
        <f t="shared" si="214"/>
        <v>4Q11</v>
      </c>
      <c r="AB84" s="554" t="str">
        <f t="shared" si="214"/>
        <v>1Q12</v>
      </c>
      <c r="AC84" s="555" t="str">
        <f t="shared" si="214"/>
        <v>2Q12</v>
      </c>
      <c r="AD84" s="555" t="str">
        <f t="shared" si="214"/>
        <v>3Q12</v>
      </c>
      <c r="AE84" s="400" t="str">
        <f t="shared" si="214"/>
        <v>4Q12</v>
      </c>
      <c r="AF84" s="554" t="str">
        <f t="shared" si="214"/>
        <v>1Q13</v>
      </c>
      <c r="AG84" s="555" t="str">
        <f t="shared" si="214"/>
        <v>2Q13</v>
      </c>
      <c r="AH84" s="555" t="str">
        <f t="shared" si="214"/>
        <v>3Q13</v>
      </c>
      <c r="AI84" s="400" t="str">
        <f t="shared" si="214"/>
        <v>4Q13</v>
      </c>
      <c r="AJ84" s="554" t="str">
        <f t="shared" si="214"/>
        <v>1Q14</v>
      </c>
      <c r="AK84" s="555" t="str">
        <f t="shared" si="214"/>
        <v>2Q14</v>
      </c>
      <c r="AL84" s="555" t="str">
        <f t="shared" si="214"/>
        <v>3Q14</v>
      </c>
      <c r="AM84" s="400" t="str">
        <f t="shared" si="214"/>
        <v>4Q14</v>
      </c>
      <c r="AN84" s="554" t="str">
        <f t="shared" si="214"/>
        <v>1Q15</v>
      </c>
      <c r="AO84" s="555" t="str">
        <f t="shared" si="214"/>
        <v>2Q15</v>
      </c>
      <c r="AP84" s="555" t="str">
        <f t="shared" si="214"/>
        <v>3Q15</v>
      </c>
      <c r="AQ84" s="400" t="str">
        <f t="shared" si="214"/>
        <v>4Q15</v>
      </c>
      <c r="AR84" s="554" t="str">
        <f>AR76</f>
        <v>1Q16</v>
      </c>
      <c r="AS84" s="555" t="str">
        <f>AS76</f>
        <v>2Q16</v>
      </c>
      <c r="AT84" s="555" t="str">
        <f>AT76</f>
        <v>3Q16</v>
      </c>
      <c r="AU84" s="400" t="str">
        <f>AU76</f>
        <v>4Q16</v>
      </c>
      <c r="AV84" s="554" t="str">
        <f>AV76</f>
        <v>1Q17</v>
      </c>
      <c r="AW84" s="555" t="str">
        <f t="shared" si="214"/>
        <v>2Q17</v>
      </c>
      <c r="AX84" s="555" t="str">
        <f t="shared" si="214"/>
        <v>3Q17</v>
      </c>
      <c r="AY84" s="400" t="str">
        <f t="shared" si="214"/>
        <v>4Q17</v>
      </c>
      <c r="AZ84" s="554" t="str">
        <f t="shared" ref="AZ84:BG84" si="215">AZ76</f>
        <v>1Q18</v>
      </c>
      <c r="BA84" s="555" t="str">
        <f t="shared" si="215"/>
        <v>2Q18e</v>
      </c>
      <c r="BB84" s="555" t="str">
        <f t="shared" si="215"/>
        <v>3Q18e</v>
      </c>
      <c r="BC84" s="400" t="str">
        <f t="shared" si="215"/>
        <v>4Q18e</v>
      </c>
      <c r="BD84" s="554" t="str">
        <f t="shared" si="215"/>
        <v>1Q19e</v>
      </c>
      <c r="BE84" s="555" t="str">
        <f t="shared" si="215"/>
        <v>2Q19e</v>
      </c>
      <c r="BF84" s="555" t="str">
        <f t="shared" si="215"/>
        <v>3Q19e</v>
      </c>
      <c r="BG84" s="400" t="str">
        <f t="shared" si="215"/>
        <v>4Q19e</v>
      </c>
      <c r="BH84" s="554" t="str">
        <f t="shared" ref="BH84:BK84" si="216">BH76</f>
        <v>1Q20e</v>
      </c>
      <c r="BI84" s="555" t="str">
        <f t="shared" si="216"/>
        <v>2Q20e</v>
      </c>
      <c r="BJ84" s="555" t="str">
        <f t="shared" si="216"/>
        <v>3Q20e</v>
      </c>
      <c r="BK84" s="400" t="str">
        <f t="shared" si="216"/>
        <v>4Q20e</v>
      </c>
      <c r="BL84" s="215"/>
      <c r="BM84" s="397" t="str">
        <f t="shared" ref="BM84:BX84" si="217">BM76</f>
        <v>FY2006A</v>
      </c>
      <c r="BN84" s="397" t="str">
        <f t="shared" si="217"/>
        <v>FY2007A</v>
      </c>
      <c r="BO84" s="397" t="str">
        <f t="shared" si="217"/>
        <v>FY2008A</v>
      </c>
      <c r="BP84" s="397" t="str">
        <f t="shared" si="217"/>
        <v>FY2009A</v>
      </c>
      <c r="BQ84" s="397" t="str">
        <f t="shared" si="217"/>
        <v>FY2010A</v>
      </c>
      <c r="BR84" s="397" t="str">
        <f t="shared" si="217"/>
        <v>FY2011A</v>
      </c>
      <c r="BS84" s="397" t="str">
        <f t="shared" si="217"/>
        <v>FY2012A</v>
      </c>
      <c r="BT84" s="397" t="str">
        <f t="shared" si="217"/>
        <v>FY2013A</v>
      </c>
      <c r="BU84" s="397" t="str">
        <f t="shared" si="217"/>
        <v>FY2014A</v>
      </c>
      <c r="BV84" s="397" t="str">
        <f t="shared" si="217"/>
        <v>FY2015A</v>
      </c>
      <c r="BW84" s="397" t="str">
        <f t="shared" si="217"/>
        <v>FY2016A</v>
      </c>
      <c r="BX84" s="397" t="str">
        <f t="shared" si="217"/>
        <v>FY2017A</v>
      </c>
      <c r="BY84" s="397" t="str">
        <f>BY76</f>
        <v>FY2018E</v>
      </c>
      <c r="BZ84" s="723" t="str">
        <f>BZ76</f>
        <v>FY2019E</v>
      </c>
      <c r="CA84" s="398" t="str">
        <f>CA76</f>
        <v>FY2020E</v>
      </c>
      <c r="CB84" s="734"/>
      <c r="CC84" s="734"/>
      <c r="CD84" s="204"/>
    </row>
    <row r="85" spans="1:82" ht="14.25" customHeight="1">
      <c r="A85" s="203"/>
      <c r="B85" s="217" t="s">
        <v>235</v>
      </c>
      <c r="C85" s="228"/>
      <c r="D85" s="553">
        <f t="shared" ref="D85:AY85" si="218">D27+D30</f>
        <v>379.54600000000005</v>
      </c>
      <c r="E85" s="553">
        <f t="shared" si="218"/>
        <v>489.52400000000011</v>
      </c>
      <c r="F85" s="553">
        <f t="shared" si="218"/>
        <v>342.43599999999998</v>
      </c>
      <c r="G85" s="552">
        <f t="shared" si="218"/>
        <v>609.7940000000001</v>
      </c>
      <c r="H85" s="553">
        <f t="shared" si="218"/>
        <v>322.29599999999988</v>
      </c>
      <c r="I85" s="553">
        <f t="shared" si="218"/>
        <v>440.76900000000023</v>
      </c>
      <c r="J85" s="553">
        <f t="shared" si="218"/>
        <v>564.59699999999975</v>
      </c>
      <c r="K85" s="552">
        <f t="shared" si="218"/>
        <v>666.64400000000001</v>
      </c>
      <c r="L85" s="553">
        <f t="shared" si="218"/>
        <v>315.58700000000005</v>
      </c>
      <c r="M85" s="553">
        <f t="shared" si="218"/>
        <v>810.44699999999989</v>
      </c>
      <c r="N85" s="553">
        <f t="shared" si="218"/>
        <v>248.60499999999979</v>
      </c>
      <c r="O85" s="552">
        <f t="shared" si="218"/>
        <v>55.414000000000073</v>
      </c>
      <c r="P85" s="553">
        <f t="shared" si="218"/>
        <v>-258.53500000000003</v>
      </c>
      <c r="Q85" s="553">
        <f t="shared" si="218"/>
        <v>29.51900000000002</v>
      </c>
      <c r="R85" s="553">
        <f t="shared" si="218"/>
        <v>134.00799999999987</v>
      </c>
      <c r="S85" s="552">
        <f t="shared" si="218"/>
        <v>179.24600000000015</v>
      </c>
      <c r="T85" s="553">
        <f t="shared" si="218"/>
        <v>318.70600000000013</v>
      </c>
      <c r="U85" s="553">
        <f t="shared" si="218"/>
        <v>482.22400000000005</v>
      </c>
      <c r="V85" s="553">
        <f t="shared" si="218"/>
        <v>262.72799999999967</v>
      </c>
      <c r="W85" s="552">
        <f t="shared" si="218"/>
        <v>489.8640000000002</v>
      </c>
      <c r="X85" s="553">
        <f t="shared" si="218"/>
        <v>401</v>
      </c>
      <c r="Y85" s="553">
        <f t="shared" si="218"/>
        <v>647</v>
      </c>
      <c r="Z85" s="553">
        <f t="shared" si="218"/>
        <v>544</v>
      </c>
      <c r="AA85" s="552">
        <f t="shared" si="218"/>
        <v>625</v>
      </c>
      <c r="AB85" s="553">
        <f t="shared" si="218"/>
        <v>144</v>
      </c>
      <c r="AC85" s="553">
        <f t="shared" si="218"/>
        <v>564</v>
      </c>
      <c r="AD85" s="553">
        <f t="shared" si="218"/>
        <v>611</v>
      </c>
      <c r="AE85" s="552">
        <f t="shared" si="218"/>
        <v>370</v>
      </c>
      <c r="AF85" s="553">
        <f t="shared" si="218"/>
        <v>-33</v>
      </c>
      <c r="AG85" s="553">
        <f t="shared" si="218"/>
        <v>173</v>
      </c>
      <c r="AH85" s="553">
        <f t="shared" si="218"/>
        <v>324</v>
      </c>
      <c r="AI85" s="552">
        <f t="shared" si="218"/>
        <v>-38</v>
      </c>
      <c r="AJ85" s="553">
        <f t="shared" si="218"/>
        <v>324</v>
      </c>
      <c r="AK85" s="553">
        <f t="shared" si="218"/>
        <v>372</v>
      </c>
      <c r="AL85" s="553">
        <f t="shared" si="218"/>
        <v>519</v>
      </c>
      <c r="AM85" s="552">
        <f t="shared" si="218"/>
        <v>344</v>
      </c>
      <c r="AN85" s="553">
        <f t="shared" si="218"/>
        <v>11</v>
      </c>
      <c r="AO85" s="553">
        <f t="shared" si="218"/>
        <v>234</v>
      </c>
      <c r="AP85" s="553">
        <f t="shared" si="218"/>
        <v>283</v>
      </c>
      <c r="AQ85" s="552">
        <f t="shared" si="218"/>
        <v>418</v>
      </c>
      <c r="AR85" s="553">
        <f>AR27+AR30</f>
        <v>139</v>
      </c>
      <c r="AS85" s="553">
        <f>AS27+AS30</f>
        <v>434</v>
      </c>
      <c r="AT85" s="553">
        <f>AT27+AT30</f>
        <v>931</v>
      </c>
      <c r="AU85" s="552">
        <f>AU27+AU30</f>
        <v>709</v>
      </c>
      <c r="AV85" s="553">
        <f>AV27+AV30</f>
        <v>582</v>
      </c>
      <c r="AW85" s="551">
        <f t="shared" si="218"/>
        <v>821</v>
      </c>
      <c r="AX85" s="551">
        <f t="shared" si="218"/>
        <v>1286</v>
      </c>
      <c r="AY85" s="552">
        <f t="shared" si="218"/>
        <v>575</v>
      </c>
      <c r="AZ85" s="553">
        <f t="shared" ref="AZ85:BG85" si="219">AZ27+AZ30</f>
        <v>1263</v>
      </c>
      <c r="BA85" s="551">
        <f t="shared" si="219"/>
        <v>39.872548882390845</v>
      </c>
      <c r="BB85" s="551">
        <f t="shared" si="219"/>
        <v>1197.4092626607323</v>
      </c>
      <c r="BC85" s="552">
        <f t="shared" si="219"/>
        <v>1082.6515434444768</v>
      </c>
      <c r="BD85" s="553">
        <f t="shared" si="219"/>
        <v>1104.8216834624693</v>
      </c>
      <c r="BE85" s="551">
        <f t="shared" si="219"/>
        <v>958.51177219887461</v>
      </c>
      <c r="BF85" s="551">
        <f t="shared" si="219"/>
        <v>960.62628846338953</v>
      </c>
      <c r="BG85" s="552">
        <f t="shared" si="219"/>
        <v>960.59049257863194</v>
      </c>
      <c r="BH85" s="553">
        <f t="shared" ref="BH85:BK85" si="220">BH27+BH30</f>
        <v>1052.5148697335908</v>
      </c>
      <c r="BI85" s="551">
        <f t="shared" si="220"/>
        <v>1001.6790624112816</v>
      </c>
      <c r="BJ85" s="551">
        <f t="shared" si="220"/>
        <v>1014.3104890911721</v>
      </c>
      <c r="BK85" s="552">
        <f t="shared" si="220"/>
        <v>1059.6924142062276</v>
      </c>
      <c r="BL85" s="215"/>
      <c r="BM85" s="551">
        <f t="shared" ref="BM85:BX85" si="221">BM27+BM30</f>
        <v>1821.3000000000006</v>
      </c>
      <c r="BN85" s="551">
        <f t="shared" si="221"/>
        <v>1994.306</v>
      </c>
      <c r="BO85" s="551">
        <f t="shared" si="221"/>
        <v>1430.0530000000001</v>
      </c>
      <c r="BP85" s="551">
        <f t="shared" si="221"/>
        <v>84.238000000000056</v>
      </c>
      <c r="BQ85" s="551">
        <f t="shared" si="221"/>
        <v>1553.5220000000002</v>
      </c>
      <c r="BR85" s="551">
        <f t="shared" si="221"/>
        <v>2217</v>
      </c>
      <c r="BS85" s="551">
        <f t="shared" si="221"/>
        <v>1689</v>
      </c>
      <c r="BT85" s="551">
        <f t="shared" si="221"/>
        <v>426</v>
      </c>
      <c r="BU85" s="551">
        <f t="shared" si="221"/>
        <v>1559</v>
      </c>
      <c r="BV85" s="551">
        <f t="shared" si="221"/>
        <v>946</v>
      </c>
      <c r="BW85" s="551">
        <f t="shared" si="221"/>
        <v>2213</v>
      </c>
      <c r="BX85" s="551">
        <f t="shared" si="221"/>
        <v>3264</v>
      </c>
      <c r="BY85" s="551">
        <f>BY27+BY30</f>
        <v>3582.9333549876001</v>
      </c>
      <c r="BZ85" s="552">
        <f>BZ27+BZ30</f>
        <v>3984.550236703366</v>
      </c>
      <c r="CA85" s="552">
        <f>CA27+CA30</f>
        <v>4128.1968354422725</v>
      </c>
      <c r="CB85" s="734"/>
      <c r="CC85" s="734"/>
      <c r="CD85" s="204"/>
    </row>
    <row r="86" spans="1:82" ht="14.25" customHeight="1">
      <c r="A86" s="203"/>
      <c r="B86" s="438" t="s">
        <v>236</v>
      </c>
      <c r="C86" s="401"/>
      <c r="D86" s="548">
        <f t="shared" ref="D86:AY86" si="222">D85-D11</f>
        <v>327.59400000000005</v>
      </c>
      <c r="E86" s="548">
        <f t="shared" si="222"/>
        <v>434.44400000000013</v>
      </c>
      <c r="F86" s="548">
        <f t="shared" si="222"/>
        <v>288.75199999999995</v>
      </c>
      <c r="G86" s="550">
        <f t="shared" si="222"/>
        <v>554.2410000000001</v>
      </c>
      <c r="H86" s="548">
        <f t="shared" si="222"/>
        <v>287.39499999999987</v>
      </c>
      <c r="I86" s="548">
        <f t="shared" si="222"/>
        <v>392.84700000000026</v>
      </c>
      <c r="J86" s="548">
        <f t="shared" si="222"/>
        <v>517.11199999999974</v>
      </c>
      <c r="K86" s="550">
        <f t="shared" si="222"/>
        <v>635.755</v>
      </c>
      <c r="L86" s="548">
        <f t="shared" si="222"/>
        <v>276.86500000000007</v>
      </c>
      <c r="M86" s="548">
        <f t="shared" si="222"/>
        <v>760.12499999999989</v>
      </c>
      <c r="N86" s="548">
        <f t="shared" si="222"/>
        <v>202.48399999999981</v>
      </c>
      <c r="O86" s="550">
        <f t="shared" si="222"/>
        <v>11.636000000000045</v>
      </c>
      <c r="P86" s="548">
        <f t="shared" si="222"/>
        <v>-292.14300000000003</v>
      </c>
      <c r="Q86" s="548">
        <f t="shared" si="222"/>
        <v>-9.6529999999999845</v>
      </c>
      <c r="R86" s="548">
        <f t="shared" si="222"/>
        <v>90.673999999999864</v>
      </c>
      <c r="S86" s="550">
        <f t="shared" si="222"/>
        <v>148.20000000000016</v>
      </c>
      <c r="T86" s="548">
        <f t="shared" si="222"/>
        <v>285.01700000000011</v>
      </c>
      <c r="U86" s="548">
        <f t="shared" si="222"/>
        <v>453.58300000000003</v>
      </c>
      <c r="V86" s="548">
        <f t="shared" si="222"/>
        <v>230.28599999999966</v>
      </c>
      <c r="W86" s="550">
        <f t="shared" si="222"/>
        <v>458.5660000000002</v>
      </c>
      <c r="X86" s="548">
        <f t="shared" si="222"/>
        <v>368</v>
      </c>
      <c r="Y86" s="548">
        <f t="shared" si="222"/>
        <v>608</v>
      </c>
      <c r="Z86" s="548">
        <f t="shared" si="222"/>
        <v>506</v>
      </c>
      <c r="AA86" s="550">
        <f t="shared" si="222"/>
        <v>589</v>
      </c>
      <c r="AB86" s="548">
        <f t="shared" si="222"/>
        <v>91</v>
      </c>
      <c r="AC86" s="548">
        <f t="shared" si="222"/>
        <v>521</v>
      </c>
      <c r="AD86" s="548">
        <f t="shared" si="222"/>
        <v>569</v>
      </c>
      <c r="AE86" s="550">
        <f t="shared" si="222"/>
        <v>326</v>
      </c>
      <c r="AF86" s="548">
        <f t="shared" si="222"/>
        <v>-75</v>
      </c>
      <c r="AG86" s="548">
        <f t="shared" si="222"/>
        <v>134</v>
      </c>
      <c r="AH86" s="548">
        <f t="shared" si="222"/>
        <v>284</v>
      </c>
      <c r="AI86" s="550">
        <f t="shared" si="222"/>
        <v>-79</v>
      </c>
      <c r="AJ86" s="548">
        <f t="shared" si="222"/>
        <v>278</v>
      </c>
      <c r="AK86" s="548">
        <f t="shared" si="222"/>
        <v>330</v>
      </c>
      <c r="AL86" s="548">
        <f t="shared" si="222"/>
        <v>475</v>
      </c>
      <c r="AM86" s="550">
        <f t="shared" si="222"/>
        <v>299</v>
      </c>
      <c r="AN86" s="548">
        <f t="shared" si="222"/>
        <v>-37</v>
      </c>
      <c r="AO86" s="548">
        <f t="shared" si="222"/>
        <v>187</v>
      </c>
      <c r="AP86" s="548">
        <f t="shared" si="222"/>
        <v>237</v>
      </c>
      <c r="AQ86" s="550">
        <f t="shared" si="222"/>
        <v>372</v>
      </c>
      <c r="AR86" s="548">
        <f>AR85-AR11</f>
        <v>85</v>
      </c>
      <c r="AS86" s="548">
        <f>AS85-AS11</f>
        <v>386</v>
      </c>
      <c r="AT86" s="548">
        <f>AT85-AT11</f>
        <v>883</v>
      </c>
      <c r="AU86" s="550">
        <f>AU85-AU11</f>
        <v>658</v>
      </c>
      <c r="AV86" s="548">
        <f>AV85-AV11</f>
        <v>528</v>
      </c>
      <c r="AW86" s="548">
        <f t="shared" si="222"/>
        <v>768</v>
      </c>
      <c r="AX86" s="548">
        <f t="shared" si="222"/>
        <v>1231</v>
      </c>
      <c r="AY86" s="550">
        <f t="shared" si="222"/>
        <v>517</v>
      </c>
      <c r="AZ86" s="548">
        <f t="shared" ref="AZ86:BG86" si="223">AZ85-AZ11</f>
        <v>1198</v>
      </c>
      <c r="BA86" s="548">
        <f t="shared" si="223"/>
        <v>-25.127451117609155</v>
      </c>
      <c r="BB86" s="548">
        <f t="shared" si="223"/>
        <v>1132.4092626607323</v>
      </c>
      <c r="BC86" s="550">
        <f t="shared" si="223"/>
        <v>1017.6515434444768</v>
      </c>
      <c r="BD86" s="548">
        <f t="shared" si="223"/>
        <v>1039.8216834624693</v>
      </c>
      <c r="BE86" s="548">
        <f t="shared" si="223"/>
        <v>893.51177219887461</v>
      </c>
      <c r="BF86" s="548">
        <f t="shared" si="223"/>
        <v>895.62628846338953</v>
      </c>
      <c r="BG86" s="550">
        <f t="shared" si="223"/>
        <v>895.59049257863194</v>
      </c>
      <c r="BH86" s="548">
        <f t="shared" ref="BH86:BK86" si="224">BH85-BH11</f>
        <v>987.51486973359079</v>
      </c>
      <c r="BI86" s="548">
        <f t="shared" si="224"/>
        <v>936.67906241128162</v>
      </c>
      <c r="BJ86" s="548">
        <f t="shared" si="224"/>
        <v>949.31048909117214</v>
      </c>
      <c r="BK86" s="550">
        <f t="shared" si="224"/>
        <v>994.69241420622757</v>
      </c>
      <c r="BL86" s="215"/>
      <c r="BM86" s="548">
        <f t="shared" ref="BM86:BX86" si="225">BM85-BM11</f>
        <v>1605.0310000000006</v>
      </c>
      <c r="BN86" s="548">
        <f t="shared" si="225"/>
        <v>1833.1089999999999</v>
      </c>
      <c r="BO86" s="548">
        <f t="shared" si="225"/>
        <v>1251.1100000000001</v>
      </c>
      <c r="BP86" s="548">
        <f t="shared" si="225"/>
        <v>-62.92199999999994</v>
      </c>
      <c r="BQ86" s="549">
        <f t="shared" si="225"/>
        <v>1427.4520000000002</v>
      </c>
      <c r="BR86" s="548">
        <f t="shared" si="225"/>
        <v>2071</v>
      </c>
      <c r="BS86" s="548">
        <f t="shared" si="225"/>
        <v>1507</v>
      </c>
      <c r="BT86" s="548">
        <f t="shared" si="225"/>
        <v>264</v>
      </c>
      <c r="BU86" s="548">
        <f t="shared" si="225"/>
        <v>1382</v>
      </c>
      <c r="BV86" s="548">
        <f t="shared" si="225"/>
        <v>759</v>
      </c>
      <c r="BW86" s="548">
        <f t="shared" si="225"/>
        <v>2012</v>
      </c>
      <c r="BX86" s="548">
        <f t="shared" si="225"/>
        <v>3044</v>
      </c>
      <c r="BY86" s="548">
        <f>BY85-BY11</f>
        <v>3322.9333549876001</v>
      </c>
      <c r="BZ86" s="550">
        <f>BZ85-BZ11</f>
        <v>3724.550236703366</v>
      </c>
      <c r="CA86" s="550">
        <f>CA85-CA11</f>
        <v>3868.1968354422725</v>
      </c>
      <c r="CB86" s="734"/>
      <c r="CC86" s="734"/>
      <c r="CD86" s="204"/>
    </row>
    <row r="87" spans="1:82" ht="14.25" customHeight="1">
      <c r="A87" s="200"/>
      <c r="B87" s="202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0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  <c r="BA87" s="200"/>
      <c r="BB87" s="200"/>
      <c r="BC87" s="200"/>
      <c r="BD87" s="200"/>
      <c r="BE87" s="200"/>
      <c r="BF87" s="200"/>
      <c r="BG87" s="200"/>
      <c r="BH87" s="200"/>
      <c r="BI87" s="200"/>
      <c r="BJ87" s="200"/>
      <c r="BK87" s="200"/>
      <c r="BL87" s="200"/>
      <c r="BM87" s="200"/>
      <c r="BN87" s="200"/>
      <c r="BO87" s="200"/>
      <c r="BP87" s="200"/>
      <c r="BQ87" s="200"/>
      <c r="BR87" s="200"/>
      <c r="BS87" s="200"/>
      <c r="BT87" s="200"/>
      <c r="BU87" s="200"/>
      <c r="BV87" s="200"/>
      <c r="BW87" s="200"/>
      <c r="BX87" s="200"/>
      <c r="BY87" s="200"/>
      <c r="BZ87" s="200"/>
      <c r="CA87" s="200"/>
      <c r="CB87" s="201"/>
      <c r="CC87" s="201"/>
      <c r="CD87" s="201"/>
    </row>
    <row r="88" spans="1:82" ht="14.25" customHeight="1">
      <c r="BM88" s="547"/>
      <c r="BN88" s="547"/>
      <c r="BO88" s="547"/>
      <c r="BP88" s="547"/>
      <c r="BQ88" s="547"/>
      <c r="BR88" s="547"/>
      <c r="BS88" s="547"/>
      <c r="BT88" s="547"/>
      <c r="BU88" s="547"/>
      <c r="BV88" s="547"/>
      <c r="BW88" s="547"/>
      <c r="BX88" s="547"/>
      <c r="BY88" s="547"/>
      <c r="BZ88" s="547"/>
      <c r="CA88" s="547"/>
      <c r="CB88" s="184"/>
      <c r="CC88" s="184"/>
    </row>
    <row r="89" spans="1:82" ht="14.25" customHeight="1">
      <c r="CB89" s="184"/>
      <c r="CC89" s="184"/>
    </row>
    <row r="90" spans="1:82" ht="14.25" customHeight="1">
      <c r="CB90" s="184"/>
      <c r="CC90" s="184"/>
    </row>
    <row r="91" spans="1:82" ht="14.25" customHeight="1">
      <c r="CB91" s="184"/>
      <c r="CC91" s="184"/>
    </row>
    <row r="92" spans="1:82" ht="14.25" customHeight="1">
      <c r="CB92" s="184"/>
      <c r="CC92" s="184"/>
    </row>
    <row r="93" spans="1:82" ht="14.25" customHeight="1">
      <c r="CB93" s="184"/>
      <c r="CC93" s="184"/>
    </row>
    <row r="94" spans="1:82" ht="14.25" customHeight="1">
      <c r="CB94" s="184"/>
      <c r="CC94" s="184"/>
    </row>
    <row r="145" spans="1:82" ht="14.25" customHeight="1">
      <c r="A145" s="203"/>
      <c r="B145" s="204"/>
      <c r="C145" s="204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203"/>
      <c r="AR145" s="203"/>
      <c r="AS145" s="545"/>
      <c r="AT145" s="203"/>
      <c r="CD145" s="182"/>
    </row>
    <row r="146" spans="1:82" ht="14.25" customHeight="1">
      <c r="A146" s="203"/>
      <c r="B146" s="204"/>
      <c r="C146" s="204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6"/>
      <c r="X146" s="545"/>
      <c r="Y146" s="545"/>
      <c r="Z146" s="545"/>
      <c r="AA146" s="546"/>
      <c r="AB146" s="545"/>
      <c r="AC146" s="545"/>
      <c r="AD146" s="545"/>
      <c r="AE146" s="546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203"/>
      <c r="AR146" s="203"/>
      <c r="AS146" s="545"/>
      <c r="AT146" s="203"/>
      <c r="CD146" s="182"/>
    </row>
    <row r="147" spans="1:82" ht="14.25" customHeight="1">
      <c r="A147" s="200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  <c r="BC147" s="200"/>
      <c r="BD147" s="200"/>
      <c r="BE147" s="200"/>
      <c r="BF147" s="200"/>
      <c r="BG147" s="200"/>
      <c r="BH147" s="200"/>
      <c r="BI147" s="200"/>
      <c r="BJ147" s="200"/>
      <c r="BK147" s="200"/>
      <c r="BL147" s="200"/>
      <c r="BM147" s="200"/>
      <c r="BN147" s="200"/>
      <c r="BO147" s="200"/>
      <c r="BP147" s="200"/>
      <c r="BQ147" s="200"/>
      <c r="BR147" s="200"/>
      <c r="BS147" s="200"/>
      <c r="BT147" s="200"/>
      <c r="BU147" s="200"/>
      <c r="BV147" s="200"/>
      <c r="BW147" s="200"/>
      <c r="BX147" s="200"/>
      <c r="BY147" s="200"/>
      <c r="BZ147" s="200"/>
      <c r="CA147" s="200"/>
      <c r="CB147" s="202"/>
      <c r="CC147" s="202"/>
      <c r="CD147" s="544"/>
    </row>
    <row r="148" spans="1:82" ht="14.25" customHeight="1">
      <c r="A148" s="200"/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  <c r="BC148" s="200"/>
      <c r="BD148" s="200"/>
      <c r="BE148" s="200"/>
      <c r="BF148" s="200"/>
      <c r="BG148" s="200"/>
      <c r="BH148" s="200"/>
      <c r="BI148" s="200"/>
      <c r="BJ148" s="200"/>
      <c r="BK148" s="200"/>
      <c r="BL148" s="200"/>
      <c r="BM148" s="200"/>
      <c r="BN148" s="200"/>
      <c r="BO148" s="200"/>
      <c r="BP148" s="200"/>
      <c r="BQ148" s="200"/>
      <c r="BR148" s="200"/>
      <c r="BS148" s="200"/>
      <c r="BT148" s="200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201"/>
    </row>
    <row r="149" spans="1:82" ht="14.25" customHeight="1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  <c r="AT149" s="200"/>
      <c r="AU149" s="200"/>
      <c r="AV149" s="200"/>
      <c r="AW149" s="200"/>
      <c r="AX149" s="200"/>
      <c r="AY149" s="200"/>
      <c r="AZ149" s="200"/>
      <c r="BA149" s="200"/>
      <c r="BB149" s="200"/>
      <c r="BC149" s="200"/>
      <c r="BD149" s="200"/>
      <c r="BE149" s="200"/>
      <c r="BF149" s="200"/>
      <c r="BG149" s="200"/>
      <c r="BH149" s="200"/>
      <c r="BI149" s="200"/>
      <c r="BJ149" s="200"/>
      <c r="BK149" s="200"/>
      <c r="BL149" s="200"/>
      <c r="BM149" s="200"/>
      <c r="BN149" s="200"/>
      <c r="BO149" s="200"/>
      <c r="BP149" s="200"/>
      <c r="BQ149" s="200"/>
      <c r="BR149" s="200"/>
      <c r="BS149" s="200"/>
      <c r="BT149" s="200"/>
      <c r="BU149" s="200"/>
      <c r="BV149" s="200"/>
      <c r="BW149" s="200"/>
      <c r="BX149" s="200"/>
      <c r="BY149" s="200"/>
      <c r="BZ149" s="200"/>
      <c r="CA149" s="200"/>
      <c r="CB149" s="200"/>
      <c r="CC149" s="200"/>
      <c r="CD149" s="201"/>
    </row>
    <row r="150" spans="1:82" ht="14.25" customHeight="1">
      <c r="A150" s="200"/>
      <c r="B150" s="200"/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  <c r="AT150" s="200"/>
      <c r="AU150" s="200"/>
      <c r="AV150" s="200"/>
      <c r="AW150" s="200"/>
      <c r="AX150" s="200"/>
      <c r="AY150" s="200"/>
      <c r="AZ150" s="200"/>
      <c r="BA150" s="200"/>
      <c r="BB150" s="200"/>
      <c r="BC150" s="200"/>
      <c r="BD150" s="200"/>
      <c r="BE150" s="200"/>
      <c r="BF150" s="200"/>
      <c r="BG150" s="200"/>
      <c r="BH150" s="200"/>
      <c r="BI150" s="200"/>
      <c r="BJ150" s="200"/>
      <c r="BK150" s="200"/>
      <c r="BL150" s="200"/>
      <c r="BM150" s="200"/>
      <c r="BN150" s="200"/>
      <c r="BO150" s="200"/>
      <c r="BP150" s="200"/>
      <c r="BQ150" s="200"/>
      <c r="BR150" s="200"/>
      <c r="BS150" s="200"/>
      <c r="BT150" s="200"/>
      <c r="BU150" s="200"/>
      <c r="BV150" s="200"/>
      <c r="BW150" s="200"/>
      <c r="BX150" s="200"/>
      <c r="BY150" s="200"/>
      <c r="BZ150" s="200"/>
      <c r="CA150" s="200"/>
      <c r="CB150" s="200"/>
      <c r="CC150" s="200"/>
      <c r="CD150" s="201"/>
    </row>
    <row r="151" spans="1:82" ht="14.25" customHeight="1">
      <c r="A151" s="200"/>
      <c r="B151" s="200"/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0"/>
      <c r="AP151" s="200"/>
      <c r="AQ151" s="200"/>
      <c r="AR151" s="200"/>
      <c r="AS151" s="200"/>
      <c r="AT151" s="200"/>
      <c r="AU151" s="200"/>
      <c r="AV151" s="200"/>
      <c r="AW151" s="200"/>
      <c r="AX151" s="200"/>
      <c r="AY151" s="200"/>
      <c r="AZ151" s="200"/>
      <c r="BA151" s="200"/>
      <c r="BB151" s="200"/>
      <c r="BC151" s="200"/>
      <c r="BD151" s="200"/>
      <c r="BE151" s="200"/>
      <c r="BF151" s="200"/>
      <c r="BG151" s="200"/>
      <c r="BH151" s="200"/>
      <c r="BI151" s="200"/>
      <c r="BJ151" s="200"/>
      <c r="BK151" s="200"/>
      <c r="BL151" s="200"/>
      <c r="BM151" s="200"/>
      <c r="BN151" s="200"/>
      <c r="BO151" s="200"/>
      <c r="BP151" s="200"/>
      <c r="BQ151" s="200"/>
      <c r="BR151" s="200"/>
      <c r="BS151" s="200"/>
      <c r="BT151" s="200"/>
      <c r="BU151" s="200"/>
      <c r="BV151" s="200"/>
      <c r="BW151" s="200"/>
      <c r="BX151" s="200"/>
      <c r="BY151" s="200"/>
      <c r="BZ151" s="200"/>
      <c r="CA151" s="200"/>
      <c r="CB151" s="200"/>
      <c r="CC151" s="200"/>
      <c r="CD151" s="201"/>
    </row>
    <row r="152" spans="1:82" ht="14.25" customHeight="1">
      <c r="A152" s="200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0"/>
      <c r="AP152" s="200"/>
      <c r="AQ152" s="200"/>
      <c r="AR152" s="200"/>
      <c r="AS152" s="200"/>
      <c r="AT152" s="200"/>
      <c r="AU152" s="200"/>
      <c r="AV152" s="200"/>
      <c r="AW152" s="200"/>
      <c r="AX152" s="200"/>
      <c r="AY152" s="200"/>
      <c r="AZ152" s="200"/>
      <c r="BA152" s="200"/>
      <c r="BB152" s="200"/>
      <c r="BC152" s="200"/>
      <c r="BD152" s="200"/>
      <c r="BE152" s="200"/>
      <c r="BF152" s="200"/>
      <c r="BG152" s="200"/>
      <c r="BH152" s="200"/>
      <c r="BI152" s="200"/>
      <c r="BJ152" s="200"/>
      <c r="BK152" s="200"/>
      <c r="BL152" s="200"/>
      <c r="BM152" s="200"/>
      <c r="BN152" s="200"/>
      <c r="BO152" s="200"/>
      <c r="BP152" s="200"/>
      <c r="BQ152" s="200"/>
      <c r="BR152" s="200"/>
      <c r="BS152" s="200"/>
      <c r="BT152" s="200"/>
      <c r="BU152" s="200"/>
      <c r="BV152" s="200"/>
      <c r="BW152" s="200"/>
      <c r="BX152" s="200"/>
      <c r="BY152" s="200"/>
      <c r="BZ152" s="200"/>
      <c r="CA152" s="200"/>
      <c r="CB152" s="200"/>
      <c r="CC152" s="200"/>
      <c r="CD152" s="201"/>
    </row>
    <row r="153" spans="1:82" ht="14.25" customHeight="1">
      <c r="A153" s="200"/>
      <c r="B153" s="200"/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N153" s="200"/>
      <c r="AO153" s="200"/>
      <c r="AP153" s="200"/>
      <c r="AQ153" s="200"/>
      <c r="AR153" s="200"/>
      <c r="AS153" s="200"/>
      <c r="AT153" s="200"/>
      <c r="AU153" s="200"/>
      <c r="AV153" s="200"/>
      <c r="AW153" s="200"/>
      <c r="AX153" s="200"/>
      <c r="AY153" s="200"/>
      <c r="AZ153" s="200"/>
      <c r="BA153" s="200"/>
      <c r="BB153" s="200"/>
      <c r="BC153" s="200"/>
      <c r="BD153" s="200"/>
      <c r="BE153" s="200"/>
      <c r="BF153" s="200"/>
      <c r="BG153" s="200"/>
      <c r="BH153" s="200"/>
      <c r="BI153" s="200"/>
      <c r="BJ153" s="200"/>
      <c r="BK153" s="200"/>
      <c r="BL153" s="200"/>
      <c r="BM153" s="200"/>
      <c r="BN153" s="200"/>
      <c r="BO153" s="200"/>
      <c r="BP153" s="200"/>
      <c r="BQ153" s="200"/>
      <c r="BR153" s="200"/>
      <c r="BS153" s="200"/>
      <c r="BT153" s="200"/>
      <c r="BU153" s="200"/>
      <c r="BV153" s="200"/>
      <c r="BW153" s="200"/>
      <c r="BX153" s="200"/>
      <c r="BY153" s="200"/>
      <c r="BZ153" s="200"/>
      <c r="CA153" s="200"/>
      <c r="CB153" s="200"/>
      <c r="CC153" s="200"/>
      <c r="CD153" s="201"/>
    </row>
    <row r="154" spans="1:82" ht="14.25" customHeight="1">
      <c r="A154" s="200"/>
      <c r="B154" s="200"/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0"/>
      <c r="AP154" s="200"/>
      <c r="AQ154" s="200"/>
      <c r="AR154" s="200"/>
      <c r="AS154" s="200"/>
      <c r="AT154" s="200"/>
      <c r="AU154" s="200"/>
      <c r="AV154" s="200"/>
      <c r="AW154" s="200"/>
      <c r="AX154" s="200"/>
      <c r="AY154" s="200"/>
      <c r="AZ154" s="200"/>
      <c r="BA154" s="200"/>
      <c r="BB154" s="200"/>
      <c r="BC154" s="200"/>
      <c r="BD154" s="200"/>
      <c r="BE154" s="200"/>
      <c r="BF154" s="200"/>
      <c r="BG154" s="200"/>
      <c r="BH154" s="200"/>
      <c r="BI154" s="200"/>
      <c r="BJ154" s="200"/>
      <c r="BK154" s="200"/>
      <c r="BL154" s="200"/>
      <c r="BM154" s="200"/>
      <c r="BN154" s="200"/>
      <c r="BO154" s="200"/>
      <c r="BP154" s="200"/>
      <c r="BQ154" s="200"/>
      <c r="BR154" s="200"/>
      <c r="BS154" s="200"/>
      <c r="BT154" s="200"/>
      <c r="BU154" s="200"/>
      <c r="BV154" s="200"/>
      <c r="BW154" s="200"/>
      <c r="BX154" s="200"/>
      <c r="BY154" s="200"/>
      <c r="BZ154" s="200"/>
      <c r="CA154" s="200"/>
      <c r="CB154" s="200"/>
      <c r="CC154" s="200"/>
      <c r="CD154" s="201"/>
    </row>
    <row r="155" spans="1:82" ht="14.25" customHeight="1">
      <c r="A155" s="200"/>
      <c r="B155" s="200"/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N155" s="200"/>
      <c r="AO155" s="200"/>
      <c r="AP155" s="200"/>
      <c r="AQ155" s="200"/>
      <c r="AR155" s="200"/>
      <c r="AS155" s="200"/>
      <c r="AT155" s="200"/>
      <c r="AU155" s="200"/>
      <c r="AV155" s="200"/>
      <c r="AW155" s="200"/>
      <c r="AX155" s="200"/>
      <c r="AY155" s="200"/>
      <c r="AZ155" s="200"/>
      <c r="BA155" s="200"/>
      <c r="BB155" s="200"/>
      <c r="BC155" s="200"/>
      <c r="BD155" s="200"/>
      <c r="BE155" s="200"/>
      <c r="BF155" s="200"/>
      <c r="BG155" s="200"/>
      <c r="BH155" s="200"/>
      <c r="BI155" s="200"/>
      <c r="BJ155" s="200"/>
      <c r="BK155" s="200"/>
      <c r="BL155" s="200"/>
      <c r="BM155" s="200"/>
      <c r="BN155" s="200"/>
      <c r="BO155" s="200"/>
      <c r="BP155" s="200"/>
      <c r="BQ155" s="200"/>
      <c r="BR155" s="200"/>
      <c r="BS155" s="200"/>
      <c r="BT155" s="200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201"/>
    </row>
    <row r="156" spans="1:82" customFormat="1" ht="14.25" customHeight="1"/>
    <row r="157" spans="1:82" ht="14.25" customHeight="1">
      <c r="A157" s="200"/>
      <c r="B157" s="420" t="s">
        <v>295</v>
      </c>
      <c r="C157" s="420"/>
      <c r="D157" s="543" t="e">
        <f>IS!D165</f>
        <v>#NAME?</v>
      </c>
      <c r="E157" s="543" t="e">
        <f>IS!E165</f>
        <v>#NAME?</v>
      </c>
      <c r="F157" s="543" t="e">
        <f>IS!F165</f>
        <v>#NAME?</v>
      </c>
      <c r="G157" s="543" t="e">
        <f>IS!G165</f>
        <v>#NAME?</v>
      </c>
      <c r="H157" s="543" t="e">
        <f>IS!H165</f>
        <v>#NAME?</v>
      </c>
      <c r="I157" s="543" t="e">
        <f>IS!I165</f>
        <v>#NAME?</v>
      </c>
      <c r="J157" s="543" t="e">
        <f>IS!J165</f>
        <v>#NAME?</v>
      </c>
      <c r="K157" s="543" t="e">
        <f>IS!K165</f>
        <v>#NAME?</v>
      </c>
      <c r="L157" s="543" t="e">
        <f>IS!L165</f>
        <v>#NAME?</v>
      </c>
      <c r="M157" s="543" t="e">
        <f>IS!M165</f>
        <v>#NAME?</v>
      </c>
      <c r="N157" s="543" t="e">
        <f>IS!N165</f>
        <v>#NAME?</v>
      </c>
      <c r="O157" s="543" t="e">
        <f>IS!O165</f>
        <v>#NAME?</v>
      </c>
      <c r="P157" s="543" t="e">
        <f>IS!P165</f>
        <v>#NAME?</v>
      </c>
      <c r="Q157" s="543" t="e">
        <f>IS!Q165</f>
        <v>#NAME?</v>
      </c>
      <c r="R157" s="543" t="e">
        <f>IS!R165</f>
        <v>#NAME?</v>
      </c>
      <c r="S157" s="543" t="e">
        <f>IS!S165</f>
        <v>#NAME?</v>
      </c>
      <c r="T157" s="543" t="e">
        <f>IS!T165</f>
        <v>#NAME?</v>
      </c>
      <c r="U157" s="543" t="e">
        <f>IS!U165</f>
        <v>#NAME?</v>
      </c>
      <c r="V157" s="543" t="e">
        <f>IS!V165</f>
        <v>#NAME?</v>
      </c>
      <c r="W157" s="543" t="e">
        <f>IS!W165</f>
        <v>#NAME?</v>
      </c>
      <c r="X157" s="543" t="e">
        <f>IS!X165</f>
        <v>#NAME?</v>
      </c>
      <c r="Y157" s="543" t="e">
        <f>IS!Y165</f>
        <v>#NAME?</v>
      </c>
      <c r="Z157" s="543" t="e">
        <f>IS!Z165</f>
        <v>#NAME?</v>
      </c>
      <c r="AA157" s="543" t="e">
        <f>IS!AA165</f>
        <v>#NAME?</v>
      </c>
      <c r="AB157" s="543" t="e">
        <f>IS!AB165</f>
        <v>#NAME?</v>
      </c>
      <c r="AC157" s="543" t="e">
        <f>IS!AC165</f>
        <v>#NAME?</v>
      </c>
      <c r="AD157" s="543" t="e">
        <f>IS!AD165</f>
        <v>#NAME?</v>
      </c>
      <c r="AE157" s="543" t="e">
        <f>IS!AE165</f>
        <v>#NAME?</v>
      </c>
      <c r="AF157" s="543" t="e">
        <f>IS!AF165</f>
        <v>#NAME?</v>
      </c>
      <c r="AG157" s="543" t="e">
        <f>IS!AG165</f>
        <v>#NAME?</v>
      </c>
      <c r="AH157" s="543" t="e">
        <f>IS!AH165</f>
        <v>#NAME?</v>
      </c>
      <c r="AI157" s="543" t="e">
        <f>IS!AI165</f>
        <v>#NAME?</v>
      </c>
      <c r="AJ157" s="543" t="e">
        <f>IS!AJ165</f>
        <v>#NAME?</v>
      </c>
      <c r="AK157" s="543" t="e">
        <f>IS!AK165</f>
        <v>#NAME?</v>
      </c>
      <c r="AL157" s="543" t="e">
        <f>IS!AL165</f>
        <v>#NAME?</v>
      </c>
      <c r="AM157" s="543" t="str">
        <f>IS!AM165</f>
        <v>A</v>
      </c>
      <c r="AN157" s="543" t="e">
        <f>IS!AN165</f>
        <v>#NAME?</v>
      </c>
      <c r="AO157" s="543" t="e">
        <f>IS!AO165</f>
        <v>#NAME?</v>
      </c>
      <c r="AP157" s="543" t="e">
        <f>IS!AP165</f>
        <v>#NAME?</v>
      </c>
      <c r="AQ157" s="543" t="e">
        <f>IS!AQ165</f>
        <v>#NAME?</v>
      </c>
      <c r="AR157" s="543" t="e">
        <f>IS!AR165</f>
        <v>#NAME?</v>
      </c>
      <c r="AS157" s="543" t="str">
        <f>IS!AS165</f>
        <v>A</v>
      </c>
      <c r="AT157" s="543" t="str">
        <f>IS!AT165</f>
        <v>A</v>
      </c>
      <c r="AU157" s="543" t="e">
        <f>IS!AU165</f>
        <v>#NAME?</v>
      </c>
      <c r="AV157" s="543" t="e">
        <f>IS!AV165</f>
        <v>#NAME?</v>
      </c>
      <c r="AW157" s="543" t="e">
        <f>IS!AW165</f>
        <v>#NAME?</v>
      </c>
      <c r="AX157" s="543" t="e">
        <f>IS!AX165</f>
        <v>#NAME?</v>
      </c>
      <c r="AY157" s="543" t="e">
        <f>IS!AY165</f>
        <v>#NAME?</v>
      </c>
      <c r="AZ157" s="543" t="e">
        <f>IS!AZ165</f>
        <v>#NAME?</v>
      </c>
      <c r="BA157" s="543" t="e">
        <f>IS!BA165</f>
        <v>#NAME?</v>
      </c>
      <c r="BB157" s="543" t="e">
        <f>IS!BB165</f>
        <v>#NAME?</v>
      </c>
      <c r="BC157" s="543" t="e">
        <f>IS!BC165</f>
        <v>#NAME?</v>
      </c>
      <c r="BD157" s="543" t="e">
        <f>IS!BD165</f>
        <v>#NAME?</v>
      </c>
      <c r="BE157" s="543" t="e">
        <f>IS!BE165</f>
        <v>#NAME?</v>
      </c>
      <c r="BF157" s="543" t="e">
        <f>IS!BF165</f>
        <v>#NAME?</v>
      </c>
      <c r="BG157" s="543" t="e">
        <f>IS!BG165</f>
        <v>#NAME?</v>
      </c>
      <c r="BH157" s="543" t="e">
        <f>IS!BH165</f>
        <v>#NAME?</v>
      </c>
      <c r="BI157" s="543" t="e">
        <f>IS!BI165</f>
        <v>#NAME?</v>
      </c>
      <c r="BJ157" s="543" t="e">
        <f>IS!BJ165</f>
        <v>#NAME?</v>
      </c>
      <c r="BK157" s="543" t="e">
        <f>IS!BK165</f>
        <v>#NAME?</v>
      </c>
      <c r="BL157" s="200"/>
      <c r="BM157" s="200" t="e">
        <f>IS!BM165</f>
        <v>#NAME?</v>
      </c>
      <c r="BN157" s="200" t="e">
        <f>IS!BN165</f>
        <v>#NAME?</v>
      </c>
      <c r="BO157" s="200" t="e">
        <f>IS!BO165</f>
        <v>#NAME?</v>
      </c>
      <c r="BP157" s="200" t="e">
        <f>IS!BP165</f>
        <v>#NAME?</v>
      </c>
      <c r="BQ157" s="200" t="e">
        <f>IS!BQ165</f>
        <v>#NAME?</v>
      </c>
      <c r="BR157" s="200" t="e">
        <f>IS!BR165</f>
        <v>#NAME?</v>
      </c>
      <c r="BS157" s="200" t="e">
        <f>IS!BS165</f>
        <v>#NAME?</v>
      </c>
      <c r="BT157" s="200" t="e">
        <f>IS!BT165</f>
        <v>#NAME?</v>
      </c>
      <c r="BU157" s="200" t="e">
        <f>IS!BU165</f>
        <v>#NAME?</v>
      </c>
      <c r="BV157" s="200" t="e">
        <f>IS!BV165</f>
        <v>#NAME?</v>
      </c>
      <c r="BW157" s="200" t="e">
        <f>IS!BW165</f>
        <v>#NAME?</v>
      </c>
      <c r="BX157" s="200" t="e">
        <f>IS!BX165</f>
        <v>#NAME?</v>
      </c>
      <c r="BY157" s="200" t="e">
        <f>IS!BY165</f>
        <v>#NAME?</v>
      </c>
      <c r="BZ157" s="200" t="e">
        <f>IS!BZ165</f>
        <v>#NAME?</v>
      </c>
      <c r="CA157" s="200" t="e">
        <f>IS!CA165</f>
        <v>#NAME?</v>
      </c>
      <c r="CB157" s="200"/>
      <c r="CC157" s="200"/>
      <c r="CD157" s="201"/>
    </row>
    <row r="158" spans="1:82" ht="14.25" customHeight="1">
      <c r="A158" s="200"/>
      <c r="B158" s="420"/>
      <c r="C158" s="420"/>
      <c r="D158" s="200"/>
      <c r="E158" s="200"/>
      <c r="F158" s="200"/>
      <c r="G158" s="200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  <c r="AA158" s="200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200"/>
      <c r="AN158" s="200"/>
      <c r="AO158" s="200"/>
      <c r="AP158" s="200"/>
      <c r="AQ158" s="200"/>
      <c r="AR158" s="200"/>
      <c r="AS158" s="200"/>
      <c r="AT158" s="200"/>
      <c r="AU158" s="200"/>
      <c r="AV158" s="200"/>
      <c r="AW158" s="200"/>
      <c r="AX158" s="200"/>
      <c r="AY158" s="200"/>
      <c r="AZ158" s="200"/>
      <c r="BA158" s="200"/>
      <c r="BB158" s="200"/>
      <c r="BC158" s="200"/>
      <c r="BD158" s="200"/>
      <c r="BE158" s="200"/>
      <c r="BF158" s="200"/>
      <c r="BG158" s="200"/>
      <c r="BH158" s="200"/>
      <c r="BI158" s="200"/>
      <c r="BJ158" s="200"/>
      <c r="BK158" s="200"/>
      <c r="BL158" s="200"/>
      <c r="BM158" s="200"/>
      <c r="BN158" s="200"/>
      <c r="BO158" s="200"/>
      <c r="BP158" s="200"/>
      <c r="BQ158" s="200"/>
      <c r="BR158" s="200"/>
      <c r="BS158" s="200"/>
      <c r="BT158" s="200"/>
      <c r="BU158" s="200"/>
      <c r="BV158" s="200"/>
      <c r="BW158" s="200"/>
      <c r="BX158" s="200"/>
      <c r="BY158" s="200"/>
      <c r="BZ158" s="200"/>
      <c r="CA158" s="200"/>
      <c r="CB158" s="200"/>
      <c r="CC158" s="200"/>
      <c r="CD158" s="201"/>
    </row>
  </sheetData>
  <conditionalFormatting sqref="D84:AM84 D76:AM76 AQ84 BM6:BR6 AQ76 D4:AR6 BM76:BR76 BM61:BR61 BM84:BR84 D61:AQ61 AT61 AT76 AW76:AY76 AW61:AY61 AT4:AY6">
    <cfRule type="expression" dxfId="253" priority="113" stopIfTrue="1">
      <formula>D$157="A"</formula>
    </cfRule>
    <cfRule type="expression" dxfId="252" priority="114" stopIfTrue="1">
      <formula>D$157="E"</formula>
    </cfRule>
  </conditionalFormatting>
  <conditionalFormatting sqref="AW84:AY84">
    <cfRule type="expression" dxfId="251" priority="111" stopIfTrue="1">
      <formula>AW$157="A"</formula>
    </cfRule>
    <cfRule type="expression" dxfId="250" priority="112" stopIfTrue="1">
      <formula>AW$157="E"</formula>
    </cfRule>
  </conditionalFormatting>
  <conditionalFormatting sqref="AO84:AP84">
    <cfRule type="expression" dxfId="249" priority="107" stopIfTrue="1">
      <formula>AO$157="A"</formula>
    </cfRule>
    <cfRule type="expression" dxfId="248" priority="108" stopIfTrue="1">
      <formula>AO$157="E"</formula>
    </cfRule>
  </conditionalFormatting>
  <conditionalFormatting sqref="AN84">
    <cfRule type="expression" dxfId="247" priority="105" stopIfTrue="1">
      <formula>AN$157="A"</formula>
    </cfRule>
    <cfRule type="expression" dxfId="246" priority="106" stopIfTrue="1">
      <formula>AN$157="E"</formula>
    </cfRule>
  </conditionalFormatting>
  <conditionalFormatting sqref="AN76:AP76">
    <cfRule type="expression" dxfId="245" priority="103" stopIfTrue="1">
      <formula>AN$157="A"</formula>
    </cfRule>
    <cfRule type="expression" dxfId="244" priority="104" stopIfTrue="1">
      <formula>AN$157="E"</formula>
    </cfRule>
  </conditionalFormatting>
  <conditionalFormatting sqref="AR61">
    <cfRule type="expression" dxfId="243" priority="95" stopIfTrue="1">
      <formula>AR$157="A"</formula>
    </cfRule>
    <cfRule type="expression" dxfId="242" priority="96" stopIfTrue="1">
      <formula>AR$157="E"</formula>
    </cfRule>
  </conditionalFormatting>
  <conditionalFormatting sqref="AR84">
    <cfRule type="expression" dxfId="241" priority="93" stopIfTrue="1">
      <formula>AR$157="A"</formula>
    </cfRule>
    <cfRule type="expression" dxfId="240" priority="94" stopIfTrue="1">
      <formula>AR$157="E"</formula>
    </cfRule>
  </conditionalFormatting>
  <conditionalFormatting sqref="AR76">
    <cfRule type="expression" dxfId="239" priority="91" stopIfTrue="1">
      <formula>AR$157="A"</formula>
    </cfRule>
    <cfRule type="expression" dxfId="238" priority="92" stopIfTrue="1">
      <formula>AR$157="E"</formula>
    </cfRule>
  </conditionalFormatting>
  <conditionalFormatting sqref="AS61">
    <cfRule type="expression" dxfId="237" priority="83" stopIfTrue="1">
      <formula>AS$157="A"</formula>
    </cfRule>
    <cfRule type="expression" dxfId="236" priority="84" stopIfTrue="1">
      <formula>AS$157="E"</formula>
    </cfRule>
  </conditionalFormatting>
  <conditionalFormatting sqref="AS84">
    <cfRule type="expression" dxfId="235" priority="81" stopIfTrue="1">
      <formula>AS$157="A"</formula>
    </cfRule>
    <cfRule type="expression" dxfId="234" priority="82" stopIfTrue="1">
      <formula>AS$157="E"</formula>
    </cfRule>
  </conditionalFormatting>
  <conditionalFormatting sqref="AS76">
    <cfRule type="expression" dxfId="233" priority="79" stopIfTrue="1">
      <formula>AS$157="A"</formula>
    </cfRule>
    <cfRule type="expression" dxfId="232" priority="80" stopIfTrue="1">
      <formula>AS$157="E"</formula>
    </cfRule>
  </conditionalFormatting>
  <conditionalFormatting sqref="AS4:AS6">
    <cfRule type="expression" dxfId="231" priority="77" stopIfTrue="1">
      <formula>AS$157="A"</formula>
    </cfRule>
    <cfRule type="expression" dxfId="230" priority="78" stopIfTrue="1">
      <formula>AS$157="E"</formula>
    </cfRule>
  </conditionalFormatting>
  <conditionalFormatting sqref="AT84">
    <cfRule type="expression" dxfId="229" priority="75" stopIfTrue="1">
      <formula>AT$157="A"</formula>
    </cfRule>
    <cfRule type="expression" dxfId="228" priority="76" stopIfTrue="1">
      <formula>AT$157="E"</formula>
    </cfRule>
  </conditionalFormatting>
  <conditionalFormatting sqref="AU84 AU76 AU61">
    <cfRule type="expression" dxfId="227" priority="67" stopIfTrue="1">
      <formula>AU$157="A"</formula>
    </cfRule>
    <cfRule type="expression" dxfId="226" priority="68" stopIfTrue="1">
      <formula>AU$157="E"</formula>
    </cfRule>
  </conditionalFormatting>
  <conditionalFormatting sqref="AV61">
    <cfRule type="expression" dxfId="225" priority="65" stopIfTrue="1">
      <formula>AV$157="A"</formula>
    </cfRule>
    <cfRule type="expression" dxfId="224" priority="66" stopIfTrue="1">
      <formula>AV$157="E"</formula>
    </cfRule>
  </conditionalFormatting>
  <conditionalFormatting sqref="AV84">
    <cfRule type="expression" dxfId="223" priority="63" stopIfTrue="1">
      <formula>AV$157="A"</formula>
    </cfRule>
    <cfRule type="expression" dxfId="222" priority="64" stopIfTrue="1">
      <formula>AV$157="E"</formula>
    </cfRule>
  </conditionalFormatting>
  <conditionalFormatting sqref="AV76">
    <cfRule type="expression" dxfId="221" priority="61" stopIfTrue="1">
      <formula>AV$157="A"</formula>
    </cfRule>
    <cfRule type="expression" dxfId="220" priority="62" stopIfTrue="1">
      <formula>AV$157="E"</formula>
    </cfRule>
  </conditionalFormatting>
  <conditionalFormatting sqref="BA76:BC76 BA61:BC61 AZ4:BC6">
    <cfRule type="expression" dxfId="219" priority="59" stopIfTrue="1">
      <formula>AZ$157="A"</formula>
    </cfRule>
    <cfRule type="expression" dxfId="218" priority="60" stopIfTrue="1">
      <formula>AZ$157="E"</formula>
    </cfRule>
  </conditionalFormatting>
  <conditionalFormatting sqref="BA84:BC84">
    <cfRule type="expression" dxfId="217" priority="57" stopIfTrue="1">
      <formula>BA$157="A"</formula>
    </cfRule>
    <cfRule type="expression" dxfId="216" priority="58" stopIfTrue="1">
      <formula>BA$157="E"</formula>
    </cfRule>
  </conditionalFormatting>
  <conditionalFormatting sqref="AZ61">
    <cfRule type="expression" dxfId="215" priority="55" stopIfTrue="1">
      <formula>AZ$157="A"</formula>
    </cfRule>
    <cfRule type="expression" dxfId="214" priority="56" stopIfTrue="1">
      <formula>AZ$157="E"</formula>
    </cfRule>
  </conditionalFormatting>
  <conditionalFormatting sqref="AZ84">
    <cfRule type="expression" dxfId="213" priority="53" stopIfTrue="1">
      <formula>AZ$157="A"</formula>
    </cfRule>
    <cfRule type="expression" dxfId="212" priority="54" stopIfTrue="1">
      <formula>AZ$157="E"</formula>
    </cfRule>
  </conditionalFormatting>
  <conditionalFormatting sqref="AZ76">
    <cfRule type="expression" dxfId="211" priority="51" stopIfTrue="1">
      <formula>AZ$157="A"</formula>
    </cfRule>
    <cfRule type="expression" dxfId="210" priority="52" stopIfTrue="1">
      <formula>AZ$157="E"</formula>
    </cfRule>
  </conditionalFormatting>
  <conditionalFormatting sqref="BD4:BG6">
    <cfRule type="expression" dxfId="209" priority="49" stopIfTrue="1">
      <formula>BD$157="A"</formula>
    </cfRule>
    <cfRule type="expression" dxfId="208" priority="50" stopIfTrue="1">
      <formula>BD$157="E"</formula>
    </cfRule>
  </conditionalFormatting>
  <conditionalFormatting sqref="BE76:BG76 BE61:BG61">
    <cfRule type="expression" dxfId="207" priority="39" stopIfTrue="1">
      <formula>BE$157="A"</formula>
    </cfRule>
    <cfRule type="expression" dxfId="206" priority="40" stopIfTrue="1">
      <formula>BE$157="E"</formula>
    </cfRule>
  </conditionalFormatting>
  <conditionalFormatting sqref="BE84:BG84">
    <cfRule type="expression" dxfId="205" priority="37" stopIfTrue="1">
      <formula>BE$157="A"</formula>
    </cfRule>
    <cfRule type="expression" dxfId="204" priority="38" stopIfTrue="1">
      <formula>BE$157="E"</formula>
    </cfRule>
  </conditionalFormatting>
  <conditionalFormatting sqref="BD61">
    <cfRule type="expression" dxfId="203" priority="35" stopIfTrue="1">
      <formula>BD$157="A"</formula>
    </cfRule>
    <cfRule type="expression" dxfId="202" priority="36" stopIfTrue="1">
      <formula>BD$157="E"</formula>
    </cfRule>
  </conditionalFormatting>
  <conditionalFormatting sqref="BD84">
    <cfRule type="expression" dxfId="201" priority="33" stopIfTrue="1">
      <formula>BD$157="A"</formula>
    </cfRule>
    <cfRule type="expression" dxfId="200" priority="34" stopIfTrue="1">
      <formula>BD$157="E"</formula>
    </cfRule>
  </conditionalFormatting>
  <conditionalFormatting sqref="BD76">
    <cfRule type="expression" dxfId="199" priority="31" stopIfTrue="1">
      <formula>BD$157="A"</formula>
    </cfRule>
    <cfRule type="expression" dxfId="198" priority="32" stopIfTrue="1">
      <formula>BD$157="E"</formula>
    </cfRule>
  </conditionalFormatting>
  <conditionalFormatting sqref="BY76 BY61 BY84">
    <cfRule type="expression" dxfId="197" priority="29" stopIfTrue="1">
      <formula>BY$157="A"</formula>
    </cfRule>
    <cfRule type="expression" dxfId="196" priority="30" stopIfTrue="1">
      <formula>BY$157="E"</formula>
    </cfRule>
  </conditionalFormatting>
  <conditionalFormatting sqref="BY6">
    <cfRule type="expression" dxfId="195" priority="27" stopIfTrue="1">
      <formula>BY$157="A"</formula>
    </cfRule>
    <cfRule type="expression" dxfId="194" priority="28" stopIfTrue="1">
      <formula>BY$157="E"</formula>
    </cfRule>
  </conditionalFormatting>
  <conditionalFormatting sqref="BH4:BK6">
    <cfRule type="expression" dxfId="193" priority="23" stopIfTrue="1">
      <formula>BH$157="A"</formula>
    </cfRule>
    <cfRule type="expression" dxfId="192" priority="24" stopIfTrue="1">
      <formula>BH$157="E"</formula>
    </cfRule>
  </conditionalFormatting>
  <conditionalFormatting sqref="BI76:BK76 BI61:BK61">
    <cfRule type="expression" dxfId="191" priority="21" stopIfTrue="1">
      <formula>BI$157="A"</formula>
    </cfRule>
    <cfRule type="expression" dxfId="190" priority="22" stopIfTrue="1">
      <formula>BI$157="E"</formula>
    </cfRule>
  </conditionalFormatting>
  <conditionalFormatting sqref="BI84:BK84">
    <cfRule type="expression" dxfId="189" priority="19" stopIfTrue="1">
      <formula>BI$157="A"</formula>
    </cfRule>
    <cfRule type="expression" dxfId="188" priority="20" stopIfTrue="1">
      <formula>BI$157="E"</formula>
    </cfRule>
  </conditionalFormatting>
  <conditionalFormatting sqref="BH61">
    <cfRule type="expression" dxfId="187" priority="17" stopIfTrue="1">
      <formula>BH$157="A"</formula>
    </cfRule>
    <cfRule type="expression" dxfId="186" priority="18" stopIfTrue="1">
      <formula>BH$157="E"</formula>
    </cfRule>
  </conditionalFormatting>
  <conditionalFormatting sqref="BH84">
    <cfRule type="expression" dxfId="185" priority="15" stopIfTrue="1">
      <formula>BH$157="A"</formula>
    </cfRule>
    <cfRule type="expression" dxfId="184" priority="16" stopIfTrue="1">
      <formula>BH$157="E"</formula>
    </cfRule>
  </conditionalFormatting>
  <conditionalFormatting sqref="BH76">
    <cfRule type="expression" dxfId="183" priority="13" stopIfTrue="1">
      <formula>BH$157="A"</formula>
    </cfRule>
    <cfRule type="expression" dxfId="182" priority="14" stopIfTrue="1">
      <formula>BH$157="E"</formula>
    </cfRule>
  </conditionalFormatting>
  <conditionalFormatting sqref="CA6">
    <cfRule type="expression" dxfId="181" priority="11" stopIfTrue="1">
      <formula>CA$157="A"</formula>
    </cfRule>
    <cfRule type="expression" dxfId="180" priority="12" stopIfTrue="1">
      <formula>CA$157="E"</formula>
    </cfRule>
  </conditionalFormatting>
  <conditionalFormatting sqref="CA76 CA61 CA84">
    <cfRule type="expression" dxfId="179" priority="9" stopIfTrue="1">
      <formula>CA$157="A"</formula>
    </cfRule>
    <cfRule type="expression" dxfId="178" priority="10" stopIfTrue="1">
      <formula>CA$157="E"</formula>
    </cfRule>
  </conditionalFormatting>
  <conditionalFormatting sqref="BZ76 BZ61 BZ84">
    <cfRule type="expression" dxfId="177" priority="7" stopIfTrue="1">
      <formula>BZ$157="A"</formula>
    </cfRule>
    <cfRule type="expression" dxfId="176" priority="8" stopIfTrue="1">
      <formula>BZ$157="E"</formula>
    </cfRule>
  </conditionalFormatting>
  <conditionalFormatting sqref="BZ6">
    <cfRule type="expression" dxfId="175" priority="5" stopIfTrue="1">
      <formula>BZ$157="A"</formula>
    </cfRule>
    <cfRule type="expression" dxfId="174" priority="6" stopIfTrue="1">
      <formula>BZ$157="E"</formula>
    </cfRule>
  </conditionalFormatting>
  <conditionalFormatting sqref="BS6:BX6 BS76:BX76 BS61:BX61 BS84:BX84">
    <cfRule type="expression" dxfId="173" priority="1" stopIfTrue="1">
      <formula>BS$157="A"</formula>
    </cfRule>
    <cfRule type="expression" dxfId="172" priority="2" stopIfTrue="1">
      <formula>BS$157="E"</formula>
    </cfRule>
  </conditionalFormatting>
  <pageMargins left="0" right="0" top="0" bottom="0" header="0" footer="0"/>
  <pageSetup paperSize="5" scale="53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"/>
  <sheetViews>
    <sheetView workbookViewId="0"/>
  </sheetViews>
  <sheetFormatPr defaultRowHeight="15"/>
  <sheetData>
    <row r="1" spans="1:12">
      <c r="A1" t="s">
        <v>242</v>
      </c>
    </row>
    <row r="2" spans="1:12">
      <c r="A2" s="699" t="s">
        <v>134</v>
      </c>
      <c r="B2" s="699" t="s">
        <v>136</v>
      </c>
      <c r="C2" s="699" t="s">
        <v>239</v>
      </c>
      <c r="D2" s="699" t="s">
        <v>123</v>
      </c>
      <c r="E2" s="699" t="s">
        <v>132</v>
      </c>
      <c r="F2" s="699" t="s">
        <v>135</v>
      </c>
      <c r="G2" s="699" t="s">
        <v>241</v>
      </c>
      <c r="H2" s="699" t="s">
        <v>423</v>
      </c>
      <c r="I2" s="699" t="s">
        <v>240</v>
      </c>
      <c r="J2" s="699" t="s">
        <v>466</v>
      </c>
      <c r="K2" s="699" t="s">
        <v>133</v>
      </c>
      <c r="L2" s="699" t="s">
        <v>123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51"/>
  </sheetPr>
  <dimension ref="A1:CX297"/>
  <sheetViews>
    <sheetView showGridLines="0" zoomScaleNormal="100" workbookViewId="0">
      <pane xSplit="3" ySplit="6" topLeftCell="AV7" activePane="bottomRight" state="frozen"/>
      <selection pane="topRight"/>
      <selection pane="bottomLeft"/>
      <selection pane="bottomRight" activeCell="BC45" sqref="BC45"/>
    </sheetView>
  </sheetViews>
  <sheetFormatPr defaultRowHeight="14.25" customHeight="1" outlineLevelRow="3" outlineLevelCol="1"/>
  <cols>
    <col min="1" max="1" width="1.7109375" style="20" customWidth="1"/>
    <col min="2" max="2" width="35.140625" style="20" customWidth="1"/>
    <col min="3" max="3" width="1.7109375" style="20" customWidth="1"/>
    <col min="4" max="17" width="7.28515625" style="20" hidden="1" customWidth="1" outlineLevel="1"/>
    <col min="18" max="18" width="7.7109375" style="20" hidden="1" customWidth="1" outlineLevel="1"/>
    <col min="19" max="20" width="7.28515625" style="20" hidden="1" customWidth="1" outlineLevel="1"/>
    <col min="21" max="21" width="7.7109375" style="20" hidden="1" customWidth="1" outlineLevel="1"/>
    <col min="22" max="30" width="7.28515625" style="20" hidden="1" customWidth="1" outlineLevel="1"/>
    <col min="31" max="31" width="7.7109375" style="20" hidden="1" customWidth="1" outlineLevel="1"/>
    <col min="32" max="32" width="7.28515625" style="20" hidden="1" customWidth="1" outlineLevel="1" collapsed="1"/>
    <col min="33" max="35" width="7.28515625" style="20" hidden="1" customWidth="1" outlineLevel="1"/>
    <col min="36" max="36" width="7.28515625" style="20" hidden="1" customWidth="1" outlineLevel="1" collapsed="1"/>
    <col min="37" max="42" width="7.28515625" style="20" hidden="1" customWidth="1" outlineLevel="1"/>
    <col min="43" max="44" width="8.140625" style="20" hidden="1" customWidth="1" outlineLevel="1"/>
    <col min="45" max="45" width="7.28515625" style="20" hidden="1" customWidth="1" outlineLevel="1"/>
    <col min="46" max="47" width="8.140625" style="20" hidden="1" customWidth="1" outlineLevel="1"/>
    <col min="48" max="48" width="8.140625" style="20" bestFit="1" customWidth="1" collapsed="1"/>
    <col min="49" max="51" width="8.140625" style="20" bestFit="1" customWidth="1"/>
    <col min="52" max="59" width="8.140625" style="20" customWidth="1"/>
    <col min="60" max="63" width="8.140625" style="20" hidden="1" customWidth="1" outlineLevel="1"/>
    <col min="64" max="64" width="2.42578125" style="20" customWidth="1" collapsed="1"/>
    <col min="65" max="68" width="7.5703125" style="20" hidden="1" customWidth="1" outlineLevel="1"/>
    <col min="69" max="69" width="7.5703125" style="20" hidden="1" customWidth="1" outlineLevel="1" collapsed="1"/>
    <col min="70" max="70" width="8.140625" style="20" hidden="1" customWidth="1" outlineLevel="1"/>
    <col min="71" max="71" width="7.5703125" style="20" hidden="1" customWidth="1" outlineLevel="1" collapsed="1"/>
    <col min="72" max="72" width="7.5703125" style="20" hidden="1" customWidth="1" outlineLevel="1"/>
    <col min="73" max="75" width="7.28515625" style="20" hidden="1" customWidth="1" outlineLevel="1"/>
    <col min="76" max="76" width="7.28515625" style="20" customWidth="1" collapsed="1"/>
    <col min="77" max="78" width="7.28515625" style="20" customWidth="1"/>
    <col min="79" max="79" width="7.28515625" style="20" hidden="1" customWidth="1" outlineLevel="1"/>
    <col min="80" max="80" width="5.7109375" style="20" customWidth="1" collapsed="1"/>
    <col min="81" max="84" width="11.42578125" style="20" hidden="1" customWidth="1" outlineLevel="1"/>
    <col min="85" max="85" width="5.7109375" style="20" hidden="1" customWidth="1" outlineLevel="1"/>
    <col min="86" max="86" width="9.140625" style="20" hidden="1" customWidth="1" outlineLevel="1"/>
    <col min="87" max="87" width="7.5703125" style="20" hidden="1" customWidth="1" outlineLevel="1"/>
    <col min="88" max="88" width="8.140625" style="20" hidden="1" customWidth="1" outlineLevel="1"/>
    <col min="89" max="93" width="7.5703125" style="20" hidden="1" customWidth="1" outlineLevel="1"/>
    <col min="94" max="94" width="7.28515625" style="20" bestFit="1" customWidth="1" collapsed="1"/>
    <col min="95" max="96" width="7.28515625" style="20" customWidth="1"/>
    <col min="97" max="97" width="7.28515625" style="20" hidden="1" customWidth="1" outlineLevel="1"/>
    <col min="98" max="98" width="9.140625" style="20" collapsed="1"/>
    <col min="99" max="16384" width="9.140625" style="20"/>
  </cols>
  <sheetData>
    <row r="1" spans="1:102" ht="67.5" customHeight="1">
      <c r="A1" s="18"/>
      <c r="B1" s="19"/>
      <c r="C1" s="18"/>
      <c r="AV1" s="688"/>
    </row>
    <row r="2" spans="1:102" ht="18" customHeight="1">
      <c r="A2" s="18"/>
      <c r="B2" s="21" t="s">
        <v>182</v>
      </c>
      <c r="C2" s="21"/>
      <c r="G2" s="22"/>
      <c r="K2" s="22"/>
      <c r="O2" s="22"/>
      <c r="S2" s="22"/>
      <c r="W2" s="22"/>
      <c r="AA2" s="22"/>
      <c r="AE2" s="22"/>
      <c r="AI2" s="22"/>
      <c r="AN2" s="643" t="s">
        <v>160</v>
      </c>
      <c r="AQ2" s="643"/>
      <c r="AR2" s="643"/>
      <c r="AS2" s="643"/>
      <c r="AT2" s="643"/>
      <c r="AU2" s="643"/>
      <c r="AV2" s="643"/>
    </row>
    <row r="3" spans="1:102" ht="14.25" customHeight="1">
      <c r="A3" s="19"/>
      <c r="B3" s="78"/>
      <c r="C3" s="78"/>
      <c r="D3" s="18"/>
      <c r="E3" s="18"/>
      <c r="F3" s="18"/>
      <c r="G3" s="23"/>
      <c r="H3" s="18"/>
      <c r="I3" s="18"/>
      <c r="J3" s="18"/>
      <c r="K3" s="23"/>
      <c r="L3" s="18"/>
      <c r="M3" s="18"/>
      <c r="N3" s="18"/>
      <c r="O3" s="23"/>
      <c r="P3" s="18"/>
      <c r="Q3" s="18"/>
      <c r="R3" s="18"/>
      <c r="S3" s="23"/>
      <c r="T3" s="18"/>
      <c r="U3" s="18"/>
      <c r="V3" s="18"/>
      <c r="W3" s="23"/>
      <c r="X3" s="18"/>
      <c r="Y3" s="18"/>
      <c r="Z3" s="18"/>
      <c r="AA3" s="23"/>
      <c r="AB3" s="18"/>
      <c r="AC3" s="18"/>
      <c r="AD3" s="18"/>
      <c r="AE3" s="23"/>
      <c r="AF3" s="18"/>
      <c r="AG3" s="18"/>
      <c r="AH3" s="18"/>
      <c r="AI3" s="23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688"/>
      <c r="AW3" s="683"/>
      <c r="AX3" s="772"/>
      <c r="AY3" s="772"/>
      <c r="AZ3" s="18"/>
      <c r="BA3" s="684"/>
      <c r="BB3" s="684"/>
      <c r="BC3" s="684"/>
      <c r="BD3" s="684"/>
      <c r="BE3" s="684"/>
      <c r="BF3" s="684"/>
      <c r="BG3" s="684"/>
      <c r="BH3" s="684"/>
      <c r="BI3" s="684"/>
      <c r="BJ3" s="684"/>
      <c r="BK3" s="684"/>
      <c r="BL3" s="18"/>
      <c r="BM3" s="18"/>
      <c r="BN3" s="18"/>
      <c r="BO3" s="18"/>
      <c r="BP3" s="18"/>
      <c r="BQ3" s="24"/>
      <c r="BR3" s="24"/>
      <c r="BS3" s="18"/>
      <c r="BT3" s="18"/>
      <c r="BU3" s="18"/>
      <c r="BV3" s="18"/>
      <c r="BW3" s="18"/>
      <c r="BX3" s="18"/>
      <c r="BY3" s="18"/>
      <c r="BZ3" s="18"/>
      <c r="CA3" s="18"/>
      <c r="CI3" s="18"/>
      <c r="CJ3" s="24"/>
      <c r="CK3" s="18"/>
      <c r="CL3" s="684"/>
      <c r="CM3" s="684"/>
      <c r="CN3" s="684"/>
      <c r="CO3" s="684"/>
      <c r="CP3" s="18"/>
      <c r="CQ3" s="18"/>
      <c r="CR3" s="18"/>
      <c r="CS3" s="18"/>
    </row>
    <row r="4" spans="1:102" ht="14.25" customHeight="1">
      <c r="A4" s="18"/>
      <c r="B4" s="26" t="s">
        <v>183</v>
      </c>
      <c r="C4" s="26"/>
      <c r="D4" s="6" t="s">
        <v>102</v>
      </c>
      <c r="E4" s="6" t="s">
        <v>103</v>
      </c>
      <c r="F4" s="6" t="s">
        <v>104</v>
      </c>
      <c r="G4" s="17" t="s">
        <v>105</v>
      </c>
      <c r="H4" s="6" t="s">
        <v>106</v>
      </c>
      <c r="I4" s="6" t="s">
        <v>107</v>
      </c>
      <c r="J4" s="6" t="s">
        <v>108</v>
      </c>
      <c r="K4" s="17" t="s">
        <v>109</v>
      </c>
      <c r="L4" s="6" t="s">
        <v>110</v>
      </c>
      <c r="M4" s="6" t="s">
        <v>111</v>
      </c>
      <c r="N4" s="6" t="s">
        <v>112</v>
      </c>
      <c r="O4" s="17" t="s">
        <v>113</v>
      </c>
      <c r="P4" s="6" t="s">
        <v>114</v>
      </c>
      <c r="Q4" s="6" t="s">
        <v>115</v>
      </c>
      <c r="R4" s="6" t="s">
        <v>116</v>
      </c>
      <c r="S4" s="17" t="s">
        <v>117</v>
      </c>
      <c r="T4" s="6" t="s">
        <v>118</v>
      </c>
      <c r="U4" s="6" t="s">
        <v>119</v>
      </c>
      <c r="V4" s="6" t="s">
        <v>120</v>
      </c>
      <c r="W4" s="17" t="s">
        <v>121</v>
      </c>
      <c r="X4" s="6" t="s">
        <v>94</v>
      </c>
      <c r="Y4" s="6" t="s">
        <v>95</v>
      </c>
      <c r="Z4" s="6" t="s">
        <v>96</v>
      </c>
      <c r="AA4" s="17" t="s">
        <v>97</v>
      </c>
      <c r="AB4" s="6" t="s">
        <v>101</v>
      </c>
      <c r="AC4" s="6" t="s">
        <v>100</v>
      </c>
      <c r="AD4" s="6" t="s">
        <v>99</v>
      </c>
      <c r="AE4" s="17" t="s">
        <v>98</v>
      </c>
      <c r="AF4" s="6" t="s">
        <v>66</v>
      </c>
      <c r="AG4" s="6" t="s">
        <v>67</v>
      </c>
      <c r="AH4" s="6" t="s">
        <v>72</v>
      </c>
      <c r="AI4" s="17" t="s">
        <v>73</v>
      </c>
      <c r="AJ4" s="11" t="s">
        <v>68</v>
      </c>
      <c r="AK4" s="6" t="s">
        <v>69</v>
      </c>
      <c r="AL4" s="6" t="s">
        <v>70</v>
      </c>
      <c r="AM4" s="12" t="s">
        <v>71</v>
      </c>
      <c r="AN4" s="11" t="s">
        <v>75</v>
      </c>
      <c r="AO4" s="6" t="s">
        <v>74</v>
      </c>
      <c r="AP4" s="6" t="s">
        <v>76</v>
      </c>
      <c r="AQ4" s="12" t="s">
        <v>77</v>
      </c>
      <c r="AR4" s="11" t="s">
        <v>137</v>
      </c>
      <c r="AS4" s="6" t="s">
        <v>138</v>
      </c>
      <c r="AT4" s="6" t="s">
        <v>139</v>
      </c>
      <c r="AU4" s="12" t="s">
        <v>140</v>
      </c>
      <c r="AV4" s="11" t="s">
        <v>256</v>
      </c>
      <c r="AW4" s="6" t="s">
        <v>257</v>
      </c>
      <c r="AX4" s="6" t="s">
        <v>258</v>
      </c>
      <c r="AY4" s="12" t="s">
        <v>259</v>
      </c>
      <c r="AZ4" s="11" t="s">
        <v>436</v>
      </c>
      <c r="BA4" s="7" t="s">
        <v>437</v>
      </c>
      <c r="BB4" s="7" t="s">
        <v>438</v>
      </c>
      <c r="BC4" s="10" t="s">
        <v>439</v>
      </c>
      <c r="BD4" s="7" t="s">
        <v>447</v>
      </c>
      <c r="BE4" s="7" t="s">
        <v>448</v>
      </c>
      <c r="BF4" s="7" t="s">
        <v>449</v>
      </c>
      <c r="BG4" s="10" t="s">
        <v>450</v>
      </c>
      <c r="BH4" s="7" t="s">
        <v>458</v>
      </c>
      <c r="BI4" s="7" t="s">
        <v>459</v>
      </c>
      <c r="BJ4" s="7" t="s">
        <v>460</v>
      </c>
      <c r="BK4" s="10" t="s">
        <v>461</v>
      </c>
      <c r="BL4" s="18"/>
      <c r="BM4" s="18"/>
      <c r="BN4" s="18"/>
      <c r="BO4" s="18"/>
      <c r="BP4" s="18"/>
      <c r="BQ4" s="24"/>
      <c r="BR4" s="24"/>
      <c r="BS4" s="18"/>
      <c r="BT4" s="18"/>
      <c r="BU4" s="18"/>
      <c r="BV4" s="18"/>
      <c r="BW4" s="18"/>
      <c r="BX4" s="18"/>
      <c r="BY4" s="18"/>
      <c r="BZ4" s="18"/>
      <c r="CA4" s="18"/>
      <c r="CI4" s="18"/>
      <c r="CJ4" s="24"/>
      <c r="CK4" s="18"/>
      <c r="CL4" s="684"/>
      <c r="CM4" s="684"/>
      <c r="CN4" s="684"/>
      <c r="CO4" s="684"/>
      <c r="CP4" s="18"/>
      <c r="CQ4" s="18"/>
      <c r="CR4" s="18"/>
      <c r="CS4" s="18"/>
    </row>
    <row r="5" spans="1:102" ht="14.25" customHeight="1">
      <c r="A5" s="18"/>
      <c r="B5" s="18" t="s">
        <v>184</v>
      </c>
      <c r="C5" s="18"/>
      <c r="D5" s="2">
        <v>38748</v>
      </c>
      <c r="E5" s="2">
        <v>38837</v>
      </c>
      <c r="F5" s="2">
        <v>38929</v>
      </c>
      <c r="G5" s="3">
        <v>39021</v>
      </c>
      <c r="H5" s="2">
        <v>39113</v>
      </c>
      <c r="I5" s="2">
        <v>39202</v>
      </c>
      <c r="J5" s="2">
        <v>39294</v>
      </c>
      <c r="K5" s="3">
        <v>39386</v>
      </c>
      <c r="L5" s="2">
        <v>39478</v>
      </c>
      <c r="M5" s="2">
        <v>39568</v>
      </c>
      <c r="N5" s="2">
        <v>39660</v>
      </c>
      <c r="O5" s="3">
        <v>39752</v>
      </c>
      <c r="P5" s="2">
        <v>39844</v>
      </c>
      <c r="Q5" s="2">
        <v>39933</v>
      </c>
      <c r="R5" s="2">
        <v>40025</v>
      </c>
      <c r="S5" s="3">
        <v>40117</v>
      </c>
      <c r="T5" s="2">
        <v>40209</v>
      </c>
      <c r="U5" s="2">
        <v>40298</v>
      </c>
      <c r="V5" s="2">
        <v>40390</v>
      </c>
      <c r="W5" s="3">
        <v>40482</v>
      </c>
      <c r="X5" s="2">
        <v>40574</v>
      </c>
      <c r="Y5" s="2">
        <v>40663</v>
      </c>
      <c r="Z5" s="2">
        <v>40755</v>
      </c>
      <c r="AA5" s="3">
        <v>40847</v>
      </c>
      <c r="AB5" s="2">
        <v>40939</v>
      </c>
      <c r="AC5" s="2">
        <v>41029</v>
      </c>
      <c r="AD5" s="2">
        <v>41121</v>
      </c>
      <c r="AE5" s="3">
        <v>41213</v>
      </c>
      <c r="AF5" s="2">
        <v>41305</v>
      </c>
      <c r="AG5" s="2">
        <v>41394</v>
      </c>
      <c r="AH5" s="2">
        <v>41486</v>
      </c>
      <c r="AI5" s="3">
        <v>41578</v>
      </c>
      <c r="AJ5" s="2">
        <v>41670</v>
      </c>
      <c r="AK5" s="2">
        <v>41759</v>
      </c>
      <c r="AL5" s="2">
        <v>41851</v>
      </c>
      <c r="AM5" s="3">
        <v>41943</v>
      </c>
      <c r="AN5" s="2">
        <v>42035</v>
      </c>
      <c r="AO5" s="2">
        <v>42124</v>
      </c>
      <c r="AP5" s="2">
        <v>42216</v>
      </c>
      <c r="AQ5" s="3">
        <v>42308</v>
      </c>
      <c r="AR5" s="2">
        <v>42400</v>
      </c>
      <c r="AS5" s="2">
        <v>42490</v>
      </c>
      <c r="AT5" s="2">
        <v>42582</v>
      </c>
      <c r="AU5" s="3">
        <v>42674</v>
      </c>
      <c r="AV5" s="2">
        <v>42766</v>
      </c>
      <c r="AW5" s="2">
        <v>42855</v>
      </c>
      <c r="AX5" s="2">
        <v>42947</v>
      </c>
      <c r="AY5" s="3">
        <v>43039</v>
      </c>
      <c r="AZ5" s="2">
        <v>43131</v>
      </c>
      <c r="BA5" s="8">
        <v>43220</v>
      </c>
      <c r="BB5" s="8">
        <v>43312</v>
      </c>
      <c r="BC5" s="13">
        <v>43404</v>
      </c>
      <c r="BD5" s="8">
        <v>43496</v>
      </c>
      <c r="BE5" s="8">
        <v>43585</v>
      </c>
      <c r="BF5" s="8">
        <v>43677</v>
      </c>
      <c r="BG5" s="13">
        <v>43769</v>
      </c>
      <c r="BH5" s="8">
        <v>43861</v>
      </c>
      <c r="BI5" s="8">
        <v>43951</v>
      </c>
      <c r="BJ5" s="8">
        <v>44043</v>
      </c>
      <c r="BK5" s="13">
        <v>44135</v>
      </c>
      <c r="BL5" s="18"/>
      <c r="BM5" s="18"/>
      <c r="BN5" s="19"/>
      <c r="BO5" s="18"/>
      <c r="BP5" s="18"/>
      <c r="BQ5" s="27"/>
      <c r="BR5" s="27"/>
      <c r="BS5" s="27"/>
      <c r="BT5" s="27"/>
      <c r="BU5" s="18"/>
      <c r="BV5" s="18" t="s">
        <v>160</v>
      </c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27"/>
      <c r="CK5" s="27"/>
      <c r="CL5" s="27"/>
      <c r="CM5" s="27"/>
      <c r="CN5" s="27"/>
      <c r="CO5" s="27"/>
      <c r="CP5" s="18"/>
      <c r="CQ5" s="18"/>
      <c r="CR5" s="18"/>
      <c r="CS5" s="18"/>
      <c r="CV5" s="57"/>
      <c r="CW5" s="57"/>
      <c r="CX5" s="57"/>
    </row>
    <row r="6" spans="1:102" s="64" customFormat="1" ht="14.25" customHeight="1">
      <c r="A6" s="26"/>
      <c r="B6" s="26"/>
      <c r="C6" s="26"/>
      <c r="D6" s="1" t="s">
        <v>25</v>
      </c>
      <c r="E6" s="633" t="s">
        <v>26</v>
      </c>
      <c r="F6" s="633" t="s">
        <v>27</v>
      </c>
      <c r="G6" s="634" t="s">
        <v>28</v>
      </c>
      <c r="H6" s="633" t="s">
        <v>29</v>
      </c>
      <c r="I6" s="633" t="s">
        <v>30</v>
      </c>
      <c r="J6" s="633" t="s">
        <v>31</v>
      </c>
      <c r="K6" s="634" t="s">
        <v>32</v>
      </c>
      <c r="L6" s="633" t="s">
        <v>33</v>
      </c>
      <c r="M6" s="633" t="s">
        <v>34</v>
      </c>
      <c r="N6" s="633" t="s">
        <v>35</v>
      </c>
      <c r="O6" s="634" t="s">
        <v>36</v>
      </c>
      <c r="P6" s="633" t="s">
        <v>37</v>
      </c>
      <c r="Q6" s="633" t="s">
        <v>38</v>
      </c>
      <c r="R6" s="633" t="s">
        <v>39</v>
      </c>
      <c r="S6" s="634" t="s">
        <v>40</v>
      </c>
      <c r="T6" s="633" t="s">
        <v>41</v>
      </c>
      <c r="U6" s="633" t="s">
        <v>42</v>
      </c>
      <c r="V6" s="633" t="s">
        <v>43</v>
      </c>
      <c r="W6" s="634" t="s">
        <v>44</v>
      </c>
      <c r="X6" s="633" t="s">
        <v>45</v>
      </c>
      <c r="Y6" s="633" t="s">
        <v>46</v>
      </c>
      <c r="Z6" s="633" t="s">
        <v>47</v>
      </c>
      <c r="AA6" s="634" t="s">
        <v>48</v>
      </c>
      <c r="AB6" s="633" t="s">
        <v>49</v>
      </c>
      <c r="AC6" s="633" t="s">
        <v>50</v>
      </c>
      <c r="AD6" s="633" t="s">
        <v>51</v>
      </c>
      <c r="AE6" s="634" t="s">
        <v>52</v>
      </c>
      <c r="AF6" s="633" t="s">
        <v>53</v>
      </c>
      <c r="AG6" s="633" t="s">
        <v>54</v>
      </c>
      <c r="AH6" s="633" t="s">
        <v>55</v>
      </c>
      <c r="AI6" s="634" t="s">
        <v>56</v>
      </c>
      <c r="AJ6" s="633" t="s">
        <v>57</v>
      </c>
      <c r="AK6" s="633" t="s">
        <v>58</v>
      </c>
      <c r="AL6" s="633" t="s">
        <v>59</v>
      </c>
      <c r="AM6" s="634" t="s">
        <v>60</v>
      </c>
      <c r="AN6" s="633" t="s">
        <v>61</v>
      </c>
      <c r="AO6" s="633" t="s">
        <v>62</v>
      </c>
      <c r="AP6" s="633" t="s">
        <v>63</v>
      </c>
      <c r="AQ6" s="634" t="s">
        <v>64</v>
      </c>
      <c r="AR6" s="633" t="s">
        <v>141</v>
      </c>
      <c r="AS6" s="633" t="s">
        <v>142</v>
      </c>
      <c r="AT6" s="633" t="s">
        <v>143</v>
      </c>
      <c r="AU6" s="634" t="s">
        <v>443</v>
      </c>
      <c r="AV6" s="633" t="s">
        <v>442</v>
      </c>
      <c r="AW6" s="633" t="s">
        <v>445</v>
      </c>
      <c r="AX6" s="633" t="s">
        <v>446</v>
      </c>
      <c r="AY6" s="634" t="s">
        <v>456</v>
      </c>
      <c r="AZ6" s="633" t="s">
        <v>467</v>
      </c>
      <c r="BA6" s="635" t="s">
        <v>433</v>
      </c>
      <c r="BB6" s="635" t="s">
        <v>434</v>
      </c>
      <c r="BC6" s="636" t="s">
        <v>435</v>
      </c>
      <c r="BD6" s="678" t="s">
        <v>451</v>
      </c>
      <c r="BE6" s="635" t="s">
        <v>452</v>
      </c>
      <c r="BF6" s="635" t="s">
        <v>453</v>
      </c>
      <c r="BG6" s="636" t="s">
        <v>454</v>
      </c>
      <c r="BH6" s="678" t="s">
        <v>462</v>
      </c>
      <c r="BI6" s="635" t="s">
        <v>463</v>
      </c>
      <c r="BJ6" s="635" t="s">
        <v>464</v>
      </c>
      <c r="BK6" s="636" t="s">
        <v>465</v>
      </c>
      <c r="BL6" s="135"/>
      <c r="BM6" s="136" t="s">
        <v>212</v>
      </c>
      <c r="BN6" s="137" t="s">
        <v>213</v>
      </c>
      <c r="BO6" s="136" t="s">
        <v>214</v>
      </c>
      <c r="BP6" s="136" t="s">
        <v>215</v>
      </c>
      <c r="BQ6" s="138" t="s">
        <v>216</v>
      </c>
      <c r="BR6" s="138" t="s">
        <v>217</v>
      </c>
      <c r="BS6" s="138" t="s">
        <v>218</v>
      </c>
      <c r="BT6" s="138" t="s">
        <v>219</v>
      </c>
      <c r="BU6" s="139" t="s">
        <v>220</v>
      </c>
      <c r="BV6" s="97" t="s">
        <v>440</v>
      </c>
      <c r="BW6" s="97" t="s">
        <v>85</v>
      </c>
      <c r="BX6" s="97" t="s">
        <v>86</v>
      </c>
      <c r="BY6" s="97" t="s">
        <v>222</v>
      </c>
      <c r="BZ6" s="97" t="s">
        <v>223</v>
      </c>
      <c r="CA6" s="98" t="s">
        <v>224</v>
      </c>
      <c r="CB6" s="824"/>
      <c r="CC6" s="140"/>
      <c r="CD6" s="140"/>
      <c r="CE6" s="140"/>
      <c r="CF6" s="140"/>
      <c r="CG6" s="140"/>
      <c r="CH6" s="815"/>
      <c r="CI6" s="793" t="s">
        <v>245</v>
      </c>
      <c r="CJ6" s="138" t="s">
        <v>246</v>
      </c>
      <c r="CK6" s="138" t="s">
        <v>247</v>
      </c>
      <c r="CL6" s="138" t="s">
        <v>248</v>
      </c>
      <c r="CM6" s="138" t="s">
        <v>249</v>
      </c>
      <c r="CN6" s="138" t="s">
        <v>250</v>
      </c>
      <c r="CO6" s="138" t="s">
        <v>251</v>
      </c>
      <c r="CP6" s="97" t="s">
        <v>252</v>
      </c>
      <c r="CQ6" s="97" t="s">
        <v>253</v>
      </c>
      <c r="CR6" s="97" t="s">
        <v>254</v>
      </c>
      <c r="CS6" s="97" t="s">
        <v>255</v>
      </c>
      <c r="CT6" s="813"/>
    </row>
    <row r="7" spans="1:102" s="171" customFormat="1" ht="14.25" customHeight="1">
      <c r="A7" s="77"/>
      <c r="B7" s="163" t="s">
        <v>0</v>
      </c>
      <c r="C7" s="164"/>
      <c r="D7" s="165"/>
      <c r="E7" s="166"/>
      <c r="F7" s="166"/>
      <c r="G7" s="167"/>
      <c r="H7" s="166"/>
      <c r="I7" s="166"/>
      <c r="J7" s="166"/>
      <c r="K7" s="167"/>
      <c r="L7" s="166"/>
      <c r="M7" s="166"/>
      <c r="N7" s="166"/>
      <c r="O7" s="167"/>
      <c r="P7" s="166"/>
      <c r="Q7" s="166"/>
      <c r="R7" s="166"/>
      <c r="S7" s="167"/>
      <c r="T7" s="166"/>
      <c r="U7" s="166"/>
      <c r="V7" s="166"/>
      <c r="W7" s="167"/>
      <c r="X7" s="166"/>
      <c r="Y7" s="166"/>
      <c r="Z7" s="166"/>
      <c r="AA7" s="167"/>
      <c r="AB7" s="166"/>
      <c r="AC7" s="166"/>
      <c r="AD7" s="166"/>
      <c r="AE7" s="167"/>
      <c r="AF7" s="166"/>
      <c r="AG7" s="166"/>
      <c r="AH7" s="166"/>
      <c r="AI7" s="167"/>
      <c r="AJ7" s="166"/>
      <c r="AK7" s="166"/>
      <c r="AL7" s="166"/>
      <c r="AM7" s="167"/>
      <c r="AN7" s="166"/>
      <c r="AO7" s="166"/>
      <c r="AP7" s="166"/>
      <c r="AQ7" s="167"/>
      <c r="AR7" s="166"/>
      <c r="AS7" s="166"/>
      <c r="AT7" s="166"/>
      <c r="AU7" s="167"/>
      <c r="AV7" s="166"/>
      <c r="AW7" s="166"/>
      <c r="AX7" s="166"/>
      <c r="AY7" s="167"/>
      <c r="AZ7" s="679"/>
      <c r="BA7" s="680"/>
      <c r="BB7" s="680"/>
      <c r="BC7" s="681"/>
      <c r="BD7" s="679"/>
      <c r="BE7" s="680"/>
      <c r="BF7" s="680"/>
      <c r="BG7" s="681"/>
      <c r="BH7" s="679"/>
      <c r="BI7" s="680"/>
      <c r="BJ7" s="680"/>
      <c r="BK7" s="681"/>
      <c r="BL7" s="168"/>
      <c r="BM7" s="137"/>
      <c r="BN7" s="137"/>
      <c r="BO7" s="137"/>
      <c r="BP7" s="137"/>
      <c r="BQ7" s="169"/>
      <c r="BR7" s="169"/>
      <c r="BS7" s="169"/>
      <c r="BT7" s="169"/>
      <c r="BU7" s="170"/>
      <c r="BV7" s="166"/>
      <c r="BW7" s="166"/>
      <c r="BX7" s="166"/>
      <c r="BY7" s="166"/>
      <c r="BZ7" s="166"/>
      <c r="CA7" s="167"/>
      <c r="CB7" s="825"/>
      <c r="CH7" s="816"/>
      <c r="CI7" s="794"/>
      <c r="CJ7" s="169"/>
      <c r="CK7" s="169"/>
      <c r="CL7" s="169"/>
      <c r="CM7" s="169"/>
      <c r="CN7" s="169"/>
      <c r="CO7" s="169"/>
      <c r="CP7" s="166"/>
      <c r="CQ7" s="166"/>
      <c r="CR7" s="166"/>
      <c r="CS7" s="166"/>
      <c r="CT7" s="814"/>
    </row>
    <row r="8" spans="1:102" ht="14.25" customHeight="1">
      <c r="A8" s="18"/>
      <c r="B8" s="9" t="s">
        <v>429</v>
      </c>
      <c r="C8" s="26"/>
      <c r="D8" s="28"/>
      <c r="E8" s="28"/>
      <c r="F8" s="28"/>
      <c r="G8" s="35"/>
      <c r="H8" s="161"/>
      <c r="I8" s="161"/>
      <c r="J8" s="161"/>
      <c r="K8" s="162"/>
      <c r="L8" s="161"/>
      <c r="M8" s="161"/>
      <c r="N8" s="161"/>
      <c r="O8" s="162"/>
      <c r="P8" s="161"/>
      <c r="Q8" s="161"/>
      <c r="R8" s="161"/>
      <c r="S8" s="162"/>
      <c r="T8" s="161"/>
      <c r="U8" s="161"/>
      <c r="V8" s="161"/>
      <c r="W8" s="162"/>
      <c r="X8" s="161"/>
      <c r="Y8" s="161"/>
      <c r="Z8" s="161"/>
      <c r="AA8" s="162"/>
      <c r="AB8" s="161"/>
      <c r="AC8" s="161"/>
      <c r="AD8" s="161"/>
      <c r="AE8" s="162"/>
      <c r="AF8" s="161"/>
      <c r="AG8" s="161"/>
      <c r="AH8" s="161"/>
      <c r="AI8" s="162"/>
      <c r="AJ8" s="161"/>
      <c r="AK8" s="161"/>
      <c r="AL8" s="161"/>
      <c r="AM8" s="162"/>
      <c r="AN8" s="161">
        <v>1446</v>
      </c>
      <c r="AO8" s="161">
        <v>1560</v>
      </c>
      <c r="AP8" s="161">
        <v>1635</v>
      </c>
      <c r="AQ8" s="162">
        <v>1494</v>
      </c>
      <c r="AR8" s="161">
        <v>1373</v>
      </c>
      <c r="AS8" s="161">
        <v>1587</v>
      </c>
      <c r="AT8" s="161">
        <v>1786</v>
      </c>
      <c r="AU8" s="162">
        <v>2127</v>
      </c>
      <c r="AV8" s="161">
        <v>2150</v>
      </c>
      <c r="AW8" s="161">
        <v>2404</v>
      </c>
      <c r="AX8" s="161">
        <v>2532</v>
      </c>
      <c r="AY8" s="162">
        <v>2431</v>
      </c>
      <c r="AZ8" s="161">
        <v>2847</v>
      </c>
      <c r="BA8" s="32">
        <f t="shared" ref="BA8:BC8" si="0">BA12+BA16+BA20+BA24</f>
        <v>2966.5740000000005</v>
      </c>
      <c r="BB8" s="32">
        <f t="shared" si="0"/>
        <v>2791.4123249999998</v>
      </c>
      <c r="BC8" s="31">
        <f t="shared" si="0"/>
        <v>2627.1183607500002</v>
      </c>
      <c r="BD8" s="32">
        <f t="shared" ref="BD8:BG8" si="1">BD12+BD16+BD20+BD24</f>
        <v>2600.5491247125001</v>
      </c>
      <c r="BE8" s="32">
        <f t="shared" si="1"/>
        <v>2548.556497183125</v>
      </c>
      <c r="BF8" s="32">
        <f t="shared" si="1"/>
        <v>2477.6798903812314</v>
      </c>
      <c r="BG8" s="31">
        <f t="shared" si="1"/>
        <v>2382.9271355269693</v>
      </c>
      <c r="BH8" s="32">
        <f t="shared" ref="BH8:BK8" si="2">BH12+BH16+BH20+BH24</f>
        <v>2502.0734923033178</v>
      </c>
      <c r="BI8" s="32">
        <f t="shared" si="2"/>
        <v>2472.2061105807238</v>
      </c>
      <c r="BJ8" s="32">
        <f t="shared" si="2"/>
        <v>2446.6773028041289</v>
      </c>
      <c r="BK8" s="31">
        <f t="shared" si="2"/>
        <v>2324.3434376639225</v>
      </c>
      <c r="BL8" s="36"/>
      <c r="BM8" s="34"/>
      <c r="BN8" s="34"/>
      <c r="BO8" s="34"/>
      <c r="BP8" s="34"/>
      <c r="BQ8" s="34"/>
      <c r="BR8" s="34"/>
      <c r="BS8" s="34"/>
      <c r="BT8" s="34"/>
      <c r="BU8" s="114">
        <v>5978</v>
      </c>
      <c r="BV8" s="34">
        <f>SUM(AN8:AQ8)</f>
        <v>6135</v>
      </c>
      <c r="BW8" s="34">
        <f>SUM(AR8:AU8)</f>
        <v>6873</v>
      </c>
      <c r="BX8" s="34">
        <f>SUM(AV8:AY8)</f>
        <v>9517</v>
      </c>
      <c r="BY8" s="34">
        <f>SUM(AZ8:BC8)</f>
        <v>11232.10468575</v>
      </c>
      <c r="BZ8" s="34">
        <f>SUM(BD8:BG8)</f>
        <v>10009.712647803826</v>
      </c>
      <c r="CA8" s="784">
        <f>SUM(BH8:BK8)</f>
        <v>9745.3003433520935</v>
      </c>
      <c r="CB8" s="109"/>
      <c r="CC8" s="18"/>
      <c r="CD8" s="18"/>
      <c r="CE8" s="18"/>
      <c r="CF8" s="18"/>
      <c r="CG8" s="18"/>
      <c r="CH8" s="817"/>
      <c r="CI8" s="795">
        <f>SUM(U8:X8)</f>
        <v>0</v>
      </c>
      <c r="CJ8" s="34">
        <f>SUM(Y8:AB8)</f>
        <v>0</v>
      </c>
      <c r="CK8" s="34">
        <f>SUM(AC8:AF8)</f>
        <v>0</v>
      </c>
      <c r="CL8" s="34">
        <f>SUM(AG8:AJ8)</f>
        <v>0</v>
      </c>
      <c r="CM8" s="34">
        <f>SUM(AK8:AN8)</f>
        <v>1446</v>
      </c>
      <c r="CN8" s="34">
        <f>SUM(AO8:AR8)</f>
        <v>6062</v>
      </c>
      <c r="CO8" s="34">
        <f>SUM(AS8:AV8)</f>
        <v>7650</v>
      </c>
      <c r="CP8" s="34">
        <f>SUM(AW8:AZ8)</f>
        <v>10214</v>
      </c>
      <c r="CQ8" s="34">
        <f>SUM(BA8:BD8)</f>
        <v>10985.6538104625</v>
      </c>
      <c r="CR8" s="34"/>
      <c r="CS8" s="34"/>
      <c r="CT8" s="806"/>
      <c r="CV8" s="643">
        <f>AVERAGE(AW8:AZ8)</f>
        <v>2553.5</v>
      </c>
      <c r="CW8" s="20">
        <f>2955/CV8</f>
        <v>1.1572351674172705</v>
      </c>
    </row>
    <row r="9" spans="1:102" ht="14.25" customHeight="1">
      <c r="A9" s="18"/>
      <c r="B9" s="9" t="s">
        <v>186</v>
      </c>
      <c r="C9" s="79"/>
      <c r="D9" s="80"/>
      <c r="E9" s="80"/>
      <c r="F9" s="80"/>
      <c r="G9" s="41"/>
      <c r="H9" s="80"/>
      <c r="I9" s="80"/>
      <c r="J9" s="80"/>
      <c r="K9" s="41"/>
      <c r="L9" s="80"/>
      <c r="M9" s="80"/>
      <c r="N9" s="80"/>
      <c r="O9" s="41"/>
      <c r="P9" s="80"/>
      <c r="Q9" s="80"/>
      <c r="R9" s="80"/>
      <c r="S9" s="41"/>
      <c r="T9" s="80"/>
      <c r="U9" s="80"/>
      <c r="V9" s="80"/>
      <c r="W9" s="41"/>
      <c r="X9" s="80"/>
      <c r="Y9" s="80"/>
      <c r="Z9" s="80"/>
      <c r="AA9" s="41"/>
      <c r="AB9" s="80"/>
      <c r="AC9" s="80"/>
      <c r="AD9" s="80"/>
      <c r="AE9" s="41"/>
      <c r="AF9" s="80"/>
      <c r="AG9" s="80"/>
      <c r="AH9" s="80"/>
      <c r="AI9" s="41"/>
      <c r="AJ9" s="80"/>
      <c r="AK9" s="80"/>
      <c r="AL9" s="80"/>
      <c r="AM9" s="41"/>
      <c r="AN9" s="80"/>
      <c r="AO9" s="80">
        <f t="shared" ref="AO9:AZ9" si="3">AO8/AN8-1</f>
        <v>7.8838174273858863E-2</v>
      </c>
      <c r="AP9" s="80">
        <f t="shared" si="3"/>
        <v>4.8076923076923128E-2</v>
      </c>
      <c r="AQ9" s="41">
        <f t="shared" si="3"/>
        <v>-8.6238532110091692E-2</v>
      </c>
      <c r="AR9" s="80">
        <f t="shared" si="3"/>
        <v>-8.0990629183400276E-2</v>
      </c>
      <c r="AS9" s="80">
        <f t="shared" si="3"/>
        <v>0.15586307356154405</v>
      </c>
      <c r="AT9" s="80">
        <f t="shared" si="3"/>
        <v>0.12539382482671702</v>
      </c>
      <c r="AU9" s="41">
        <f t="shared" si="3"/>
        <v>0.19092945128779393</v>
      </c>
      <c r="AV9" s="80">
        <f t="shared" si="3"/>
        <v>1.0813352139163124E-2</v>
      </c>
      <c r="AW9" s="80">
        <f t="shared" si="3"/>
        <v>0.11813953488372086</v>
      </c>
      <c r="AX9" s="80">
        <f t="shared" si="3"/>
        <v>5.3244592346089803E-2</v>
      </c>
      <c r="AY9" s="41">
        <f t="shared" si="3"/>
        <v>-3.9889415481832557E-2</v>
      </c>
      <c r="AZ9" s="80">
        <f t="shared" si="3"/>
        <v>0.17112299465240643</v>
      </c>
      <c r="BA9" s="80">
        <f t="shared" ref="BA9:BG9" si="4">BA8/AZ8-1</f>
        <v>4.2000000000000259E-2</v>
      </c>
      <c r="BB9" s="80">
        <f t="shared" si="4"/>
        <v>-5.9045105566219003E-2</v>
      </c>
      <c r="BC9" s="41">
        <f t="shared" si="4"/>
        <v>-5.8856931589280514E-2</v>
      </c>
      <c r="BD9" s="80">
        <f t="shared" si="4"/>
        <v>-1.0113452227525466E-2</v>
      </c>
      <c r="BE9" s="80">
        <f t="shared" si="4"/>
        <v>-1.9992941888810956E-2</v>
      </c>
      <c r="BF9" s="80">
        <f t="shared" si="4"/>
        <v>-2.7810490715129199E-2</v>
      </c>
      <c r="BG9" s="41">
        <f t="shared" si="4"/>
        <v>-3.8242532952746711E-2</v>
      </c>
      <c r="BH9" s="80">
        <f t="shared" ref="BH9" si="5">BH8/BG8-1</f>
        <v>5.0000000000000044E-2</v>
      </c>
      <c r="BI9" s="80">
        <f t="shared" ref="BI9" si="6">BI8/BH8-1</f>
        <v>-1.1937052134747272E-2</v>
      </c>
      <c r="BJ9" s="80">
        <f t="shared" ref="BJ9" si="7">BJ8/BI8-1</f>
        <v>-1.032632662274191E-2</v>
      </c>
      <c r="BK9" s="41">
        <f t="shared" ref="BK9" si="8">BK8/BJ8-1</f>
        <v>-4.9999999999999933E-2</v>
      </c>
      <c r="BL9" s="36"/>
      <c r="BM9" s="81"/>
      <c r="BN9" s="81"/>
      <c r="BO9" s="81"/>
      <c r="BP9" s="81"/>
      <c r="BQ9" s="81"/>
      <c r="BR9" s="81"/>
      <c r="BS9" s="81"/>
      <c r="BT9" s="81"/>
      <c r="BU9" s="115"/>
      <c r="BV9" s="81"/>
      <c r="BW9" s="81"/>
      <c r="BX9" s="81"/>
      <c r="BY9" s="81"/>
      <c r="BZ9" s="81"/>
      <c r="CA9" s="115"/>
      <c r="CB9" s="109"/>
      <c r="CC9" s="18"/>
      <c r="CD9" s="18"/>
      <c r="CE9" s="18"/>
      <c r="CF9" s="18"/>
      <c r="CG9" s="18"/>
      <c r="CH9" s="817"/>
      <c r="CI9" s="796"/>
      <c r="CJ9" s="81"/>
      <c r="CK9" s="81"/>
      <c r="CL9" s="81"/>
      <c r="CM9" s="81"/>
      <c r="CN9" s="81"/>
      <c r="CO9" s="81"/>
      <c r="CP9" s="81"/>
      <c r="CQ9" s="81"/>
      <c r="CR9" s="81"/>
      <c r="CS9" s="81"/>
      <c r="CT9" s="806"/>
    </row>
    <row r="10" spans="1:102" ht="14.25" hidden="1" customHeight="1" outlineLevel="1">
      <c r="A10" s="18"/>
      <c r="B10" s="9" t="s">
        <v>187</v>
      </c>
      <c r="C10" s="82"/>
      <c r="D10" s="80"/>
      <c r="E10" s="80"/>
      <c r="F10" s="80"/>
      <c r="G10" s="41"/>
      <c r="H10" s="80"/>
      <c r="I10" s="80"/>
      <c r="J10" s="80"/>
      <c r="K10" s="41"/>
      <c r="L10" s="80"/>
      <c r="M10" s="80"/>
      <c r="N10" s="80"/>
      <c r="O10" s="41"/>
      <c r="P10" s="80"/>
      <c r="Q10" s="80"/>
      <c r="R10" s="80"/>
      <c r="S10" s="41"/>
      <c r="T10" s="80"/>
      <c r="U10" s="80"/>
      <c r="V10" s="80"/>
      <c r="W10" s="41"/>
      <c r="X10" s="80"/>
      <c r="Y10" s="80"/>
      <c r="Z10" s="80"/>
      <c r="AA10" s="41"/>
      <c r="AB10" s="80"/>
      <c r="AC10" s="80"/>
      <c r="AD10" s="80"/>
      <c r="AE10" s="41"/>
      <c r="AF10" s="80"/>
      <c r="AG10" s="80"/>
      <c r="AH10" s="80"/>
      <c r="AI10" s="41"/>
      <c r="AJ10" s="80"/>
      <c r="AK10" s="80"/>
      <c r="AL10" s="80"/>
      <c r="AM10" s="41"/>
      <c r="AN10" s="80"/>
      <c r="AO10" s="80"/>
      <c r="AP10" s="80"/>
      <c r="AQ10" s="41"/>
      <c r="AR10" s="80">
        <f t="shared" ref="AR10:AZ10" si="9">AR8/AN8-1</f>
        <v>-5.0484094052558826E-2</v>
      </c>
      <c r="AS10" s="80">
        <f t="shared" si="9"/>
        <v>1.7307692307692246E-2</v>
      </c>
      <c r="AT10" s="80">
        <f t="shared" si="9"/>
        <v>9.2354740061162177E-2</v>
      </c>
      <c r="AU10" s="41">
        <f>AU8/AQ8-1</f>
        <v>0.4236947791164658</v>
      </c>
      <c r="AV10" s="80">
        <f t="shared" si="9"/>
        <v>0.56591405680990525</v>
      </c>
      <c r="AW10" s="80">
        <f t="shared" si="9"/>
        <v>0.51480781348456217</v>
      </c>
      <c r="AX10" s="80">
        <f t="shared" si="9"/>
        <v>0.41769316909294507</v>
      </c>
      <c r="AY10" s="41">
        <f>AY8/AU8-1</f>
        <v>0.14292430653502586</v>
      </c>
      <c r="AZ10" s="80">
        <f t="shared" si="9"/>
        <v>0.32418604651162797</v>
      </c>
      <c r="BA10" s="80">
        <f t="shared" ref="BA10:BG10" si="10">BA8/AW8-1</f>
        <v>0.23401580698835289</v>
      </c>
      <c r="BB10" s="80">
        <f t="shared" si="10"/>
        <v>0.1024535248815166</v>
      </c>
      <c r="BC10" s="41">
        <f t="shared" si="10"/>
        <v>8.0673945187165863E-2</v>
      </c>
      <c r="BD10" s="80">
        <f t="shared" si="10"/>
        <v>-8.6565112499999985E-2</v>
      </c>
      <c r="BE10" s="80">
        <f t="shared" si="10"/>
        <v>-0.14090917766314792</v>
      </c>
      <c r="BF10" s="80">
        <f t="shared" si="10"/>
        <v>-0.11239200737525168</v>
      </c>
      <c r="BG10" s="41">
        <f t="shared" si="10"/>
        <v>-9.2950218334783452E-2</v>
      </c>
      <c r="BH10" s="80">
        <f t="shared" ref="BH10" si="11">BH8/BD8-1</f>
        <v>-3.786724560339505E-2</v>
      </c>
      <c r="BI10" s="80">
        <f t="shared" ref="BI10" si="12">BI8/BE8-1</f>
        <v>-2.9958286852494687E-2</v>
      </c>
      <c r="BJ10" s="80">
        <f t="shared" ref="BJ10" si="13">BJ8/BF8-1</f>
        <v>-1.2512749406192403E-2</v>
      </c>
      <c r="BK10" s="41">
        <f t="shared" ref="BK10" si="14">BK8/BG8-1</f>
        <v>-2.4584762576087549E-2</v>
      </c>
      <c r="BL10" s="36"/>
      <c r="BM10" s="80"/>
      <c r="BN10" s="83"/>
      <c r="BO10" s="83"/>
      <c r="BP10" s="83"/>
      <c r="BQ10" s="83"/>
      <c r="BR10" s="83"/>
      <c r="BS10" s="83"/>
      <c r="BT10" s="83"/>
      <c r="BU10" s="117"/>
      <c r="BV10" s="83">
        <f t="shared" ref="BV10:CA10" si="15">BV8/BU8-1</f>
        <v>2.626296420207419E-2</v>
      </c>
      <c r="BW10" s="83">
        <f t="shared" si="15"/>
        <v>0.12029339853300725</v>
      </c>
      <c r="BX10" s="83">
        <f t="shared" si="15"/>
        <v>0.38469372908482469</v>
      </c>
      <c r="BY10" s="83">
        <f t="shared" si="15"/>
        <v>0.1802148456183672</v>
      </c>
      <c r="BZ10" s="83">
        <f t="shared" si="15"/>
        <v>-0.10883018562825575</v>
      </c>
      <c r="CA10" s="117">
        <f t="shared" si="15"/>
        <v>-2.6415573928562863E-2</v>
      </c>
      <c r="CB10" s="109"/>
      <c r="CC10" s="18"/>
      <c r="CD10" s="18"/>
      <c r="CE10" s="18"/>
      <c r="CF10" s="18"/>
      <c r="CG10" s="18"/>
      <c r="CH10" s="817"/>
      <c r="CI10" s="797"/>
      <c r="CJ10" s="83"/>
      <c r="CK10" s="83"/>
      <c r="CL10" s="83"/>
      <c r="CM10" s="83"/>
      <c r="CN10" s="83"/>
      <c r="CO10" s="83">
        <f>CO8/CN8-1</f>
        <v>0.26195974925767063</v>
      </c>
      <c r="CP10" s="83">
        <f>CP8/CO8-1</f>
        <v>0.33516339869281042</v>
      </c>
      <c r="CQ10" s="83">
        <f>CQ8/CP8-1</f>
        <v>7.5548640147101942E-2</v>
      </c>
      <c r="CR10" s="84"/>
      <c r="CS10" s="84"/>
      <c r="CT10" s="806"/>
    </row>
    <row r="11" spans="1:102" ht="14.25" hidden="1" customHeight="1" outlineLevel="1">
      <c r="A11" s="18"/>
      <c r="B11" s="9" t="s">
        <v>188</v>
      </c>
      <c r="C11" s="79"/>
      <c r="D11" s="80"/>
      <c r="E11" s="80"/>
      <c r="F11" s="80"/>
      <c r="G11" s="41"/>
      <c r="H11" s="80"/>
      <c r="I11" s="80"/>
      <c r="J11" s="80"/>
      <c r="K11" s="41"/>
      <c r="L11" s="80"/>
      <c r="M11" s="80"/>
      <c r="N11" s="80"/>
      <c r="O11" s="41"/>
      <c r="P11" s="80"/>
      <c r="Q11" s="80"/>
      <c r="R11" s="80"/>
      <c r="S11" s="41"/>
      <c r="T11" s="80"/>
      <c r="U11" s="80"/>
      <c r="V11" s="80"/>
      <c r="W11" s="41"/>
      <c r="X11" s="80"/>
      <c r="Y11" s="80"/>
      <c r="Z11" s="80"/>
      <c r="AA11" s="41"/>
      <c r="AB11" s="80"/>
      <c r="AC11" s="80"/>
      <c r="AD11" s="80"/>
      <c r="AE11" s="41"/>
      <c r="AF11" s="80"/>
      <c r="AG11" s="80"/>
      <c r="AH11" s="80"/>
      <c r="AI11" s="41"/>
      <c r="AJ11" s="80"/>
      <c r="AK11" s="80"/>
      <c r="AL11" s="80"/>
      <c r="AM11" s="41"/>
      <c r="AN11" s="80">
        <f t="shared" ref="AN11:BC11" si="16">AN8/AN$73</f>
        <v>0.61297159813480284</v>
      </c>
      <c r="AO11" s="80">
        <f t="shared" si="16"/>
        <v>0.63882063882063878</v>
      </c>
      <c r="AP11" s="80">
        <f t="shared" si="16"/>
        <v>0.65662650602409633</v>
      </c>
      <c r="AQ11" s="41">
        <f t="shared" si="16"/>
        <v>0.63091216216216217</v>
      </c>
      <c r="AR11" s="80">
        <f t="shared" si="16"/>
        <v>0.60832964111652632</v>
      </c>
      <c r="AS11" s="80">
        <f t="shared" si="16"/>
        <v>0.64775510204081632</v>
      </c>
      <c r="AT11" s="80">
        <f t="shared" si="16"/>
        <v>0.6331088266572138</v>
      </c>
      <c r="AU11" s="85">
        <f t="shared" si="16"/>
        <v>0.64513193812556868</v>
      </c>
      <c r="AV11" s="80">
        <f t="shared" si="16"/>
        <v>0.65588773642464915</v>
      </c>
      <c r="AW11" s="80">
        <f t="shared" ref="AW11:AZ11" si="17">AW8/AW$73</f>
        <v>0.67794698251551044</v>
      </c>
      <c r="AX11" s="80">
        <f t="shared" si="17"/>
        <v>0.67628205128205132</v>
      </c>
      <c r="AY11" s="85">
        <f t="shared" si="17"/>
        <v>0.61249685059208869</v>
      </c>
      <c r="AZ11" s="80">
        <f t="shared" si="17"/>
        <v>0.67721217887725971</v>
      </c>
      <c r="BA11" s="86">
        <f t="shared" si="16"/>
        <v>0.66518482775136145</v>
      </c>
      <c r="BB11" s="86">
        <f t="shared" si="16"/>
        <v>0.64276013000280863</v>
      </c>
      <c r="BC11" s="85">
        <f t="shared" si="16"/>
        <v>0.60106804184972917</v>
      </c>
      <c r="BD11" s="86">
        <f t="shared" ref="BD11:BG11" si="18">BD8/BD$73</f>
        <v>0.61352352188030812</v>
      </c>
      <c r="BE11" s="86">
        <f t="shared" si="18"/>
        <v>0.59589440491171086</v>
      </c>
      <c r="BF11" s="86">
        <f t="shared" si="18"/>
        <v>0.57604519190327297</v>
      </c>
      <c r="BG11" s="85">
        <f t="shared" si="18"/>
        <v>0.54658011735913503</v>
      </c>
      <c r="BH11" s="86">
        <f t="shared" ref="BH11:BK11" si="19">BH8/BH$73</f>
        <v>0.57823860434826624</v>
      </c>
      <c r="BI11" s="86">
        <f t="shared" si="19"/>
        <v>0.56635564404623351</v>
      </c>
      <c r="BJ11" s="86">
        <f t="shared" si="19"/>
        <v>0.55477291769920789</v>
      </c>
      <c r="BK11" s="85">
        <f t="shared" si="19"/>
        <v>0.52649405131882365</v>
      </c>
      <c r="BL11" s="36"/>
      <c r="BM11" s="83"/>
      <c r="BN11" s="83"/>
      <c r="BO11" s="83"/>
      <c r="BP11" s="83"/>
      <c r="BQ11" s="83"/>
      <c r="BR11" s="83"/>
      <c r="BS11" s="83"/>
      <c r="BT11" s="83"/>
      <c r="BU11" s="117">
        <f t="shared" ref="BU11:BY11" si="20">BU8/BU$73</f>
        <v>0.65895061728395066</v>
      </c>
      <c r="BV11" s="83">
        <f t="shared" si="20"/>
        <v>0.63515891914276845</v>
      </c>
      <c r="BW11" s="83">
        <f t="shared" si="20"/>
        <v>0.63491916859122399</v>
      </c>
      <c r="BX11" s="83">
        <f t="shared" si="20"/>
        <v>0.65467427942491574</v>
      </c>
      <c r="BY11" s="83">
        <f t="shared" si="20"/>
        <v>0.64636365366705095</v>
      </c>
      <c r="BZ11" s="83">
        <f t="shared" ref="BZ11:CA11" si="21">BZ8/BZ$73</f>
        <v>0.58275746579477916</v>
      </c>
      <c r="CA11" s="117">
        <f t="shared" si="21"/>
        <v>0.55632870743456975</v>
      </c>
      <c r="CB11" s="109"/>
      <c r="CC11" s="18"/>
      <c r="CD11" s="18"/>
      <c r="CE11" s="18"/>
      <c r="CF11" s="18"/>
      <c r="CG11" s="18"/>
      <c r="CH11" s="817"/>
      <c r="CI11" s="798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06"/>
    </row>
    <row r="12" spans="1:102" ht="14.25" hidden="1" customHeight="1" outlineLevel="1">
      <c r="A12" s="684"/>
      <c r="B12" s="144" t="s">
        <v>227</v>
      </c>
      <c r="C12" s="26"/>
      <c r="D12" s="28"/>
      <c r="E12" s="28"/>
      <c r="F12" s="28"/>
      <c r="G12" s="35"/>
      <c r="H12" s="149"/>
      <c r="I12" s="149"/>
      <c r="J12" s="149"/>
      <c r="K12" s="150"/>
      <c r="L12" s="149"/>
      <c r="M12" s="149"/>
      <c r="N12" s="149"/>
      <c r="O12" s="150"/>
      <c r="P12" s="149"/>
      <c r="Q12" s="149"/>
      <c r="R12" s="149"/>
      <c r="S12" s="150"/>
      <c r="T12" s="161"/>
      <c r="U12" s="161"/>
      <c r="V12" s="161"/>
      <c r="W12" s="162"/>
      <c r="X12" s="161"/>
      <c r="Y12" s="161"/>
      <c r="Z12" s="161"/>
      <c r="AA12" s="162"/>
      <c r="AB12" s="161"/>
      <c r="AC12" s="161"/>
      <c r="AD12" s="161"/>
      <c r="AE12" s="162"/>
      <c r="AF12" s="161"/>
      <c r="AG12" s="161"/>
      <c r="AH12" s="161"/>
      <c r="AI12" s="162"/>
      <c r="AJ12" s="161"/>
      <c r="AK12" s="161"/>
      <c r="AL12" s="161"/>
      <c r="AM12" s="162"/>
      <c r="AN12" s="161"/>
      <c r="AO12" s="161"/>
      <c r="AP12" s="161"/>
      <c r="AQ12" s="162"/>
      <c r="AR12" s="32">
        <f>AR$8*AR15</f>
        <v>494.28</v>
      </c>
      <c r="AS12" s="32">
        <f t="shared" ref="AS12:AV12" si="22">AS$8*AS15</f>
        <v>476.09999999999997</v>
      </c>
      <c r="AT12" s="32">
        <f t="shared" si="22"/>
        <v>660.81999999999994</v>
      </c>
      <c r="AU12" s="31">
        <f t="shared" si="22"/>
        <v>1106.04</v>
      </c>
      <c r="AV12" s="32">
        <f t="shared" si="22"/>
        <v>1075</v>
      </c>
      <c r="AW12" s="32">
        <f t="shared" ref="AW12:AZ12" si="23">AW$8*AW15</f>
        <v>985.64</v>
      </c>
      <c r="AX12" s="32">
        <f t="shared" si="23"/>
        <v>987.48</v>
      </c>
      <c r="AY12" s="31">
        <f t="shared" si="23"/>
        <v>875.16</v>
      </c>
      <c r="AZ12" s="32">
        <f t="shared" si="23"/>
        <v>711.75</v>
      </c>
      <c r="BA12" s="32">
        <f t="shared" ref="BA12" si="24">AZ12*(1+BA13)</f>
        <v>1032.0374999999999</v>
      </c>
      <c r="BB12" s="32">
        <f t="shared" ref="BB12" si="25">BA12*(1+BB13)</f>
        <v>1186.8431249999999</v>
      </c>
      <c r="BC12" s="31">
        <f t="shared" ref="BC12" si="26">BB12*(1+BC13)</f>
        <v>1127.5009687499999</v>
      </c>
      <c r="BD12" s="32">
        <f>BC12*(1+BD13)</f>
        <v>1071.1259203124998</v>
      </c>
      <c r="BE12" s="32">
        <f t="shared" ref="BE12" si="27">BD12*(1+BE13)</f>
        <v>1038.9921427031247</v>
      </c>
      <c r="BF12" s="32">
        <f t="shared" ref="BF12" si="28">BE12*(1+BF13)</f>
        <v>1007.822378422031</v>
      </c>
      <c r="BG12" s="31">
        <f t="shared" ref="BG12" si="29">BF12*(1+BG13)</f>
        <v>957.4312595009294</v>
      </c>
      <c r="BH12" s="32">
        <f>BG12*(1+BH13)</f>
        <v>1005.3028224759759</v>
      </c>
      <c r="BI12" s="32">
        <f t="shared" ref="BI12" si="30">BH12*(1+BI13)</f>
        <v>1025.4088789254954</v>
      </c>
      <c r="BJ12" s="32">
        <f t="shared" ref="BJ12" si="31">BI12*(1+BJ13)</f>
        <v>1045.9170565040054</v>
      </c>
      <c r="BK12" s="31">
        <f t="shared" ref="BK12" si="32">BJ12*(1+BK13)</f>
        <v>993.62120367880505</v>
      </c>
      <c r="BL12" s="36"/>
      <c r="BM12" s="34"/>
      <c r="BN12" s="34"/>
      <c r="BO12" s="34"/>
      <c r="BP12" s="34"/>
      <c r="BQ12" s="34"/>
      <c r="BR12" s="34"/>
      <c r="BS12" s="34"/>
      <c r="BT12" s="34"/>
      <c r="BU12" s="114"/>
      <c r="BV12" s="32">
        <f t="shared" ref="BV12" si="33">BV$8*BV15</f>
        <v>2392.65</v>
      </c>
      <c r="BW12" s="34">
        <f>SUM(AR12:AU12)</f>
        <v>2737.24</v>
      </c>
      <c r="BX12" s="34">
        <f>SUM(AV12:AY12)</f>
        <v>3923.2799999999997</v>
      </c>
      <c r="BY12" s="34">
        <f>SUM(AZ12:BC12)</f>
        <v>4058.1315937499994</v>
      </c>
      <c r="BZ12" s="34">
        <f>SUM(BD12:BG12)</f>
        <v>4075.3717009385846</v>
      </c>
      <c r="CA12" s="114">
        <f>SUM(BH12:BK12)</f>
        <v>4070.2499615842817</v>
      </c>
      <c r="CB12" s="109"/>
      <c r="CC12" s="684"/>
      <c r="CD12" s="684"/>
      <c r="CE12" s="684"/>
      <c r="CF12" s="684"/>
      <c r="CG12" s="684"/>
      <c r="CH12" s="817"/>
      <c r="CI12" s="795">
        <f>SUM(U12:X12)</f>
        <v>0</v>
      </c>
      <c r="CJ12" s="34">
        <f>SUM(Y12:AB12)</f>
        <v>0</v>
      </c>
      <c r="CK12" s="34">
        <f>SUM(AC12:AF12)</f>
        <v>0</v>
      </c>
      <c r="CL12" s="34">
        <f>SUM(AG12:AJ12)</f>
        <v>0</v>
      </c>
      <c r="CM12" s="34">
        <f>SUM(AK12:AN12)</f>
        <v>0</v>
      </c>
      <c r="CN12" s="34">
        <f>SUM(AO12:AR12)</f>
        <v>494.28</v>
      </c>
      <c r="CO12" s="34">
        <f>SUM(AS12:AV12)</f>
        <v>3317.96</v>
      </c>
      <c r="CP12" s="34">
        <f>SUM(AW12:AZ12)</f>
        <v>3560.0299999999997</v>
      </c>
      <c r="CQ12" s="34">
        <f>SUM(BA12:BD12)</f>
        <v>4417.5075140624995</v>
      </c>
      <c r="CR12" s="34"/>
      <c r="CS12" s="34"/>
      <c r="CT12" s="806"/>
      <c r="CV12" s="643">
        <f>AVERAGE(AW12:AZ12)</f>
        <v>890.00749999999994</v>
      </c>
      <c r="CW12" s="20">
        <f>CV12*1.16</f>
        <v>1032.4087</v>
      </c>
    </row>
    <row r="13" spans="1:102" ht="14.25" hidden="1" customHeight="1" outlineLevel="1">
      <c r="A13" s="684"/>
      <c r="B13" s="144" t="s">
        <v>186</v>
      </c>
      <c r="C13" s="79"/>
      <c r="D13" s="80"/>
      <c r="E13" s="80"/>
      <c r="F13" s="80"/>
      <c r="G13" s="41"/>
      <c r="H13" s="80"/>
      <c r="I13" s="80"/>
      <c r="J13" s="80"/>
      <c r="K13" s="41"/>
      <c r="L13" s="80"/>
      <c r="M13" s="80"/>
      <c r="N13" s="80"/>
      <c r="O13" s="41"/>
      <c r="P13" s="80"/>
      <c r="Q13" s="80"/>
      <c r="R13" s="80"/>
      <c r="S13" s="41"/>
      <c r="T13" s="80"/>
      <c r="U13" s="80"/>
      <c r="V13" s="80"/>
      <c r="W13" s="41"/>
      <c r="X13" s="80"/>
      <c r="Y13" s="80"/>
      <c r="Z13" s="80"/>
      <c r="AA13" s="41"/>
      <c r="AB13" s="80"/>
      <c r="AC13" s="80"/>
      <c r="AD13" s="80"/>
      <c r="AE13" s="41"/>
      <c r="AF13" s="80"/>
      <c r="AG13" s="80"/>
      <c r="AH13" s="80"/>
      <c r="AI13" s="41"/>
      <c r="AJ13" s="80"/>
      <c r="AK13" s="80"/>
      <c r="AL13" s="80"/>
      <c r="AM13" s="41"/>
      <c r="AN13" s="80"/>
      <c r="AO13" s="80"/>
      <c r="AP13" s="80"/>
      <c r="AQ13" s="41"/>
      <c r="AR13" s="80"/>
      <c r="AS13" s="80">
        <f t="shared" ref="AS13" si="34">AS12/AR12-1</f>
        <v>-3.678077203204666E-2</v>
      </c>
      <c r="AT13" s="80">
        <f t="shared" ref="AT13" si="35">AT12/AS12-1</f>
        <v>0.38798571728628439</v>
      </c>
      <c r="AU13" s="41">
        <f t="shared" ref="AU13" si="36">AU12/AT12-1</f>
        <v>0.67373868829635919</v>
      </c>
      <c r="AV13" s="80">
        <f t="shared" ref="AV13:AZ13" si="37">AV12/AU12-1</f>
        <v>-2.8064084481573826E-2</v>
      </c>
      <c r="AW13" s="80">
        <f t="shared" si="37"/>
        <v>-8.3125581395348869E-2</v>
      </c>
      <c r="AX13" s="86">
        <f t="shared" si="37"/>
        <v>1.866807353597677E-3</v>
      </c>
      <c r="AY13" s="41">
        <f t="shared" si="37"/>
        <v>-0.11374407582938395</v>
      </c>
      <c r="AZ13" s="80">
        <f t="shared" si="37"/>
        <v>-0.18672014260249548</v>
      </c>
      <c r="BA13" s="175">
        <v>0.45</v>
      </c>
      <c r="BB13" s="175">
        <v>0.15</v>
      </c>
      <c r="BC13" s="176">
        <v>-0.05</v>
      </c>
      <c r="BD13" s="175">
        <v>-0.05</v>
      </c>
      <c r="BE13" s="175">
        <v>-0.03</v>
      </c>
      <c r="BF13" s="175">
        <v>-0.03</v>
      </c>
      <c r="BG13" s="176">
        <v>-0.05</v>
      </c>
      <c r="BH13" s="175">
        <v>0.05</v>
      </c>
      <c r="BI13" s="175">
        <v>0.02</v>
      </c>
      <c r="BJ13" s="175">
        <v>0.02</v>
      </c>
      <c r="BK13" s="176">
        <v>-0.05</v>
      </c>
      <c r="BL13" s="36"/>
      <c r="BM13" s="81"/>
      <c r="BN13" s="81"/>
      <c r="BO13" s="81"/>
      <c r="BP13" s="81"/>
      <c r="BQ13" s="81"/>
      <c r="BR13" s="81"/>
      <c r="BS13" s="81"/>
      <c r="BT13" s="81"/>
      <c r="BU13" s="115"/>
      <c r="BV13" s="80"/>
      <c r="BW13" s="81"/>
      <c r="BX13" s="81"/>
      <c r="BY13" s="81"/>
      <c r="BZ13" s="81"/>
      <c r="CA13" s="115"/>
      <c r="CB13" s="109"/>
      <c r="CC13" s="684"/>
      <c r="CD13" s="684"/>
      <c r="CE13" s="684"/>
      <c r="CF13" s="684"/>
      <c r="CG13" s="684"/>
      <c r="CH13" s="817"/>
      <c r="CI13" s="796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06"/>
    </row>
    <row r="14" spans="1:102" ht="14.25" hidden="1" customHeight="1" outlineLevel="1">
      <c r="A14" s="684"/>
      <c r="B14" s="144" t="s">
        <v>187</v>
      </c>
      <c r="C14" s="79"/>
      <c r="D14" s="80"/>
      <c r="E14" s="80"/>
      <c r="F14" s="80"/>
      <c r="G14" s="41"/>
      <c r="H14" s="80"/>
      <c r="I14" s="80"/>
      <c r="J14" s="80"/>
      <c r="K14" s="41"/>
      <c r="L14" s="80"/>
      <c r="M14" s="80"/>
      <c r="N14" s="80"/>
      <c r="O14" s="41"/>
      <c r="P14" s="80"/>
      <c r="Q14" s="80"/>
      <c r="R14" s="80"/>
      <c r="S14" s="41"/>
      <c r="T14" s="80"/>
      <c r="U14" s="80"/>
      <c r="V14" s="80"/>
      <c r="W14" s="41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639"/>
      <c r="AO14" s="639"/>
      <c r="AP14" s="80"/>
      <c r="AQ14" s="41"/>
      <c r="AR14" s="80"/>
      <c r="AS14" s="80"/>
      <c r="AT14" s="80"/>
      <c r="AU14" s="41"/>
      <c r="AV14" s="80">
        <f t="shared" ref="AV14:AW14" si="38">AV12/AR12-1</f>
        <v>1.1748806344582019</v>
      </c>
      <c r="AW14" s="80">
        <f t="shared" si="38"/>
        <v>1.0702373450955682</v>
      </c>
      <c r="AX14" s="80">
        <f t="shared" ref="AX14" si="39">AX12/AT12-1</f>
        <v>0.49432523228715852</v>
      </c>
      <c r="AY14" s="41">
        <f t="shared" ref="AY14:AZ14" si="40">AY12/AU12-1</f>
        <v>-0.20874471086036672</v>
      </c>
      <c r="AZ14" s="80">
        <f t="shared" si="40"/>
        <v>-0.33790697674418602</v>
      </c>
      <c r="BA14" s="80">
        <f t="shared" ref="BA14:BG14" si="41">BA12/AW12-1</f>
        <v>4.7073475102471507E-2</v>
      </c>
      <c r="BB14" s="80">
        <f t="shared" si="41"/>
        <v>0.20189079778830954</v>
      </c>
      <c r="BC14" s="41">
        <f t="shared" si="41"/>
        <v>0.28833695409982152</v>
      </c>
      <c r="BD14" s="80">
        <f t="shared" si="41"/>
        <v>0.50491874999999986</v>
      </c>
      <c r="BE14" s="80">
        <f t="shared" si="41"/>
        <v>6.7387499999997935E-3</v>
      </c>
      <c r="BF14" s="80">
        <f t="shared" si="41"/>
        <v>-0.1508377500000001</v>
      </c>
      <c r="BG14" s="41">
        <f t="shared" si="41"/>
        <v>-0.1508377500000001</v>
      </c>
      <c r="BH14" s="80">
        <f t="shared" ref="BH14" si="42">BH12/BD12-1</f>
        <v>-6.1452250000000097E-2</v>
      </c>
      <c r="BI14" s="80">
        <f t="shared" ref="BI14" si="43">BI12/BE12-1</f>
        <v>-1.3073500000000071E-2</v>
      </c>
      <c r="BJ14" s="80">
        <f t="shared" ref="BJ14" si="44">BJ12/BF12-1</f>
        <v>3.7799000000000138E-2</v>
      </c>
      <c r="BK14" s="41">
        <f t="shared" ref="BK14" si="45">BK12/BG12-1</f>
        <v>3.7798999999999916E-2</v>
      </c>
      <c r="BL14" s="36"/>
      <c r="BM14" s="81"/>
      <c r="BN14" s="81"/>
      <c r="BO14" s="81"/>
      <c r="BP14" s="81"/>
      <c r="BQ14" s="81"/>
      <c r="BR14" s="83"/>
      <c r="BS14" s="83"/>
      <c r="BT14" s="83"/>
      <c r="BU14" s="117"/>
      <c r="BV14" s="80"/>
      <c r="BW14" s="83">
        <f>BW12/BV12-1</f>
        <v>0.14402022861680552</v>
      </c>
      <c r="BX14" s="83">
        <f>BX12/BW12-1</f>
        <v>0.43329777440049111</v>
      </c>
      <c r="BY14" s="83">
        <f>BY12/BX12-1</f>
        <v>3.437215639719815E-2</v>
      </c>
      <c r="BZ14" s="83">
        <f>BZ12/BY12-1</f>
        <v>4.2482868754520897E-3</v>
      </c>
      <c r="CA14" s="117">
        <f>CA12/BZ12-1</f>
        <v>-1.256753918452036E-3</v>
      </c>
      <c r="CB14" s="109"/>
      <c r="CC14" s="684"/>
      <c r="CD14" s="684"/>
      <c r="CE14" s="684"/>
      <c r="CF14" s="684"/>
      <c r="CG14" s="684"/>
      <c r="CH14" s="817"/>
      <c r="CI14" s="796"/>
      <c r="CJ14" s="81"/>
      <c r="CK14" s="81"/>
      <c r="CL14" s="81"/>
      <c r="CM14" s="81"/>
      <c r="CN14" s="81" t="e">
        <f>CN12/CM12-1</f>
        <v>#DIV/0!</v>
      </c>
      <c r="CO14" s="81">
        <f>CO12/CN12-1</f>
        <v>5.7127134417738938</v>
      </c>
      <c r="CP14" s="83">
        <f>CP12/CO12-1</f>
        <v>7.2957479897286293E-2</v>
      </c>
      <c r="CQ14" s="83">
        <f>CQ12/CP12-1</f>
        <v>0.24086244050260808</v>
      </c>
      <c r="CR14" s="81"/>
      <c r="CS14" s="81"/>
      <c r="CT14" s="806"/>
    </row>
    <row r="15" spans="1:102" ht="14.25" hidden="1" customHeight="1" outlineLevel="1">
      <c r="A15" s="684"/>
      <c r="B15" s="144" t="s">
        <v>444</v>
      </c>
      <c r="C15" s="79"/>
      <c r="D15" s="80"/>
      <c r="E15" s="80"/>
      <c r="F15" s="80"/>
      <c r="G15" s="41"/>
      <c r="H15" s="80"/>
      <c r="I15" s="80"/>
      <c r="J15" s="80"/>
      <c r="K15" s="41"/>
      <c r="L15" s="80"/>
      <c r="M15" s="80"/>
      <c r="N15" s="80"/>
      <c r="O15" s="41"/>
      <c r="P15" s="80"/>
      <c r="Q15" s="80"/>
      <c r="R15" s="80"/>
      <c r="S15" s="41"/>
      <c r="T15" s="80"/>
      <c r="U15" s="80"/>
      <c r="V15" s="80"/>
      <c r="W15" s="41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639"/>
      <c r="AO15" s="639"/>
      <c r="AP15" s="80"/>
      <c r="AQ15" s="41"/>
      <c r="AR15" s="690">
        <v>0.36</v>
      </c>
      <c r="AS15" s="690">
        <v>0.3</v>
      </c>
      <c r="AT15" s="690">
        <v>0.37</v>
      </c>
      <c r="AU15" s="691">
        <v>0.52</v>
      </c>
      <c r="AV15" s="690">
        <v>0.5</v>
      </c>
      <c r="AW15" s="690">
        <v>0.41</v>
      </c>
      <c r="AX15" s="690">
        <v>0.39</v>
      </c>
      <c r="AY15" s="691">
        <v>0.36</v>
      </c>
      <c r="AZ15" s="690">
        <v>0.25</v>
      </c>
      <c r="BA15" s="80"/>
      <c r="BB15" s="80"/>
      <c r="BC15" s="41"/>
      <c r="BD15" s="80"/>
      <c r="BE15" s="80"/>
      <c r="BF15" s="80"/>
      <c r="BG15" s="41"/>
      <c r="BH15" s="80"/>
      <c r="BI15" s="80"/>
      <c r="BJ15" s="80"/>
      <c r="BK15" s="41"/>
      <c r="BL15" s="36"/>
      <c r="BM15" s="81"/>
      <c r="BN15" s="81"/>
      <c r="BO15" s="81"/>
      <c r="BP15" s="81"/>
      <c r="BQ15" s="81"/>
      <c r="BR15" s="83"/>
      <c r="BS15" s="83"/>
      <c r="BT15" s="83"/>
      <c r="BU15" s="117"/>
      <c r="BV15" s="690">
        <v>0.39</v>
      </c>
      <c r="BW15" s="83"/>
      <c r="BX15" s="83"/>
      <c r="BY15" s="83"/>
      <c r="BZ15" s="83"/>
      <c r="CA15" s="117"/>
      <c r="CB15" s="109"/>
      <c r="CC15" s="684"/>
      <c r="CD15" s="684"/>
      <c r="CE15" s="684"/>
      <c r="CF15" s="684"/>
      <c r="CG15" s="684"/>
      <c r="CH15" s="817"/>
      <c r="CI15" s="796"/>
      <c r="CJ15" s="81"/>
      <c r="CK15" s="81"/>
      <c r="CL15" s="81"/>
      <c r="CM15" s="81"/>
      <c r="CN15" s="81"/>
      <c r="CO15" s="81"/>
      <c r="CP15" s="83"/>
      <c r="CQ15" s="83"/>
      <c r="CR15" s="81"/>
      <c r="CS15" s="81"/>
      <c r="CT15" s="806"/>
    </row>
    <row r="16" spans="1:102" ht="14.25" hidden="1" customHeight="1" outlineLevel="1">
      <c r="A16" s="684"/>
      <c r="B16" s="144" t="s">
        <v>228</v>
      </c>
      <c r="C16" s="26"/>
      <c r="D16" s="28"/>
      <c r="E16" s="28"/>
      <c r="F16" s="28"/>
      <c r="G16" s="35"/>
      <c r="H16" s="149"/>
      <c r="I16" s="149"/>
      <c r="J16" s="149"/>
      <c r="K16" s="150"/>
      <c r="L16" s="149"/>
      <c r="M16" s="149"/>
      <c r="N16" s="149"/>
      <c r="O16" s="150"/>
      <c r="P16" s="149"/>
      <c r="Q16" s="149"/>
      <c r="R16" s="149"/>
      <c r="S16" s="150"/>
      <c r="T16" s="161"/>
      <c r="U16" s="161"/>
      <c r="V16" s="161"/>
      <c r="W16" s="162"/>
      <c r="X16" s="161"/>
      <c r="Y16" s="161"/>
      <c r="Z16" s="161"/>
      <c r="AA16" s="162"/>
      <c r="AB16" s="161"/>
      <c r="AC16" s="161"/>
      <c r="AD16" s="161"/>
      <c r="AE16" s="162"/>
      <c r="AF16" s="161"/>
      <c r="AG16" s="161"/>
      <c r="AH16" s="161"/>
      <c r="AI16" s="162"/>
      <c r="AJ16" s="161"/>
      <c r="AK16" s="161"/>
      <c r="AL16" s="161"/>
      <c r="AM16" s="162"/>
      <c r="AN16" s="161"/>
      <c r="AO16" s="161"/>
      <c r="AP16" s="161"/>
      <c r="AQ16" s="162"/>
      <c r="AR16" s="32">
        <f>AR$8*AR19</f>
        <v>384.44000000000005</v>
      </c>
      <c r="AS16" s="32">
        <f t="shared" ref="AS16:AV16" si="46">AS$8*AS19</f>
        <v>317.40000000000003</v>
      </c>
      <c r="AT16" s="32">
        <f t="shared" si="46"/>
        <v>196.46</v>
      </c>
      <c r="AU16" s="31">
        <f t="shared" si="46"/>
        <v>212.70000000000002</v>
      </c>
      <c r="AV16" s="32">
        <f t="shared" si="46"/>
        <v>344</v>
      </c>
      <c r="AW16" s="32">
        <f t="shared" ref="AW16:AZ16" si="47">AW$8*AW19</f>
        <v>456.76</v>
      </c>
      <c r="AX16" s="32">
        <f t="shared" si="47"/>
        <v>379.8</v>
      </c>
      <c r="AY16" s="31">
        <f t="shared" si="47"/>
        <v>291.71999999999997</v>
      </c>
      <c r="AZ16" s="32">
        <f t="shared" si="47"/>
        <v>711.75</v>
      </c>
      <c r="BA16" s="32">
        <f t="shared" ref="BA16" si="48">AZ16*(1+BA17)</f>
        <v>569.4</v>
      </c>
      <c r="BB16" s="32">
        <f t="shared" ref="BB16" si="49">BA16*(1+BB17)</f>
        <v>512.46</v>
      </c>
      <c r="BC16" s="31">
        <f t="shared" ref="BC16" si="50">BB16*(1+BC17)</f>
        <v>502.21080000000001</v>
      </c>
      <c r="BD16" s="32">
        <f t="shared" ref="BD16" si="51">BC16*(1+BD17)</f>
        <v>451.98972000000003</v>
      </c>
      <c r="BE16" s="32">
        <f t="shared" ref="BE16" si="52">BD16*(1+BE17)</f>
        <v>429.39023400000002</v>
      </c>
      <c r="BF16" s="32">
        <f t="shared" ref="BF16" si="53">BE16*(1+BF17)</f>
        <v>407.92072230000002</v>
      </c>
      <c r="BG16" s="31">
        <f t="shared" ref="BG16" si="54">BF16*(1+BG17)</f>
        <v>387.52468618500001</v>
      </c>
      <c r="BH16" s="32">
        <f t="shared" ref="BH16" si="55">BG16*(1+BH17)</f>
        <v>406.90092049425004</v>
      </c>
      <c r="BI16" s="32">
        <f t="shared" ref="BI16" si="56">BH16*(1+BI17)</f>
        <v>419.10794810907754</v>
      </c>
      <c r="BJ16" s="32">
        <f t="shared" ref="BJ16" si="57">BI16*(1+BJ17)</f>
        <v>431.68118655234986</v>
      </c>
      <c r="BK16" s="31">
        <f t="shared" ref="BK16" si="58">BJ16*(1+BK17)</f>
        <v>410.09712722473233</v>
      </c>
      <c r="BL16" s="36"/>
      <c r="BM16" s="34"/>
      <c r="BN16" s="34"/>
      <c r="BO16" s="34"/>
      <c r="BP16" s="34"/>
      <c r="BQ16" s="34"/>
      <c r="BR16" s="34"/>
      <c r="BS16" s="34"/>
      <c r="BT16" s="34"/>
      <c r="BU16" s="114"/>
      <c r="BV16" s="32">
        <f t="shared" ref="BV16" si="59">BV$8*BV19</f>
        <v>1656.45</v>
      </c>
      <c r="BW16" s="34">
        <f>SUM(AR16:AU16)</f>
        <v>1111.0000000000002</v>
      </c>
      <c r="BX16" s="34">
        <f>SUM(AV16:AY16)</f>
        <v>1472.28</v>
      </c>
      <c r="BY16" s="34">
        <f>SUM(AZ16:BC16)</f>
        <v>2295.8208</v>
      </c>
      <c r="BZ16" s="34">
        <f>SUM(BD16:BG16)</f>
        <v>1676.8253624850001</v>
      </c>
      <c r="CA16" s="114">
        <f>SUM(BH16:BK16)</f>
        <v>1667.7871823804096</v>
      </c>
      <c r="CB16" s="109"/>
      <c r="CC16" s="684"/>
      <c r="CD16" s="684"/>
      <c r="CE16" s="684"/>
      <c r="CF16" s="684"/>
      <c r="CG16" s="684"/>
      <c r="CH16" s="817"/>
      <c r="CI16" s="795">
        <f>SUM(U16:X16)</f>
        <v>0</v>
      </c>
      <c r="CJ16" s="34">
        <f>SUM(Y16:AB16)</f>
        <v>0</v>
      </c>
      <c r="CK16" s="34">
        <f>SUM(AC16:AF16)</f>
        <v>0</v>
      </c>
      <c r="CL16" s="34">
        <f>SUM(AG16:AJ16)</f>
        <v>0</v>
      </c>
      <c r="CM16" s="34">
        <f>SUM(AK16:AN16)</f>
        <v>0</v>
      </c>
      <c r="CN16" s="34">
        <f>SUM(AO16:AR16)</f>
        <v>384.44000000000005</v>
      </c>
      <c r="CO16" s="34">
        <f>SUM(AS16:AV16)</f>
        <v>1070.56</v>
      </c>
      <c r="CP16" s="34">
        <f>SUM(AW16:AZ16)</f>
        <v>1840.03</v>
      </c>
      <c r="CQ16" s="34">
        <f>SUM(BA16:BD16)</f>
        <v>2036.0605200000002</v>
      </c>
      <c r="CR16" s="34"/>
      <c r="CS16" s="34"/>
      <c r="CT16" s="806">
        <f>CQ16*0.35</f>
        <v>712.62118200000009</v>
      </c>
      <c r="CV16" s="643">
        <f>AVERAGE(AW16:AZ16)</f>
        <v>460.00749999999999</v>
      </c>
      <c r="CW16" s="20">
        <f>CV16*1.16</f>
        <v>533.6087</v>
      </c>
    </row>
    <row r="17" spans="1:101" ht="14.25" hidden="1" customHeight="1" outlineLevel="1">
      <c r="A17" s="684"/>
      <c r="B17" s="144" t="s">
        <v>186</v>
      </c>
      <c r="C17" s="79"/>
      <c r="D17" s="80"/>
      <c r="E17" s="80"/>
      <c r="F17" s="80"/>
      <c r="G17" s="41"/>
      <c r="H17" s="80"/>
      <c r="I17" s="80"/>
      <c r="J17" s="80"/>
      <c r="K17" s="41"/>
      <c r="L17" s="80"/>
      <c r="M17" s="80"/>
      <c r="N17" s="80"/>
      <c r="O17" s="41"/>
      <c r="P17" s="80"/>
      <c r="Q17" s="80"/>
      <c r="R17" s="80"/>
      <c r="S17" s="41"/>
      <c r="T17" s="80"/>
      <c r="U17" s="80"/>
      <c r="V17" s="80"/>
      <c r="W17" s="41"/>
      <c r="X17" s="80"/>
      <c r="Y17" s="80"/>
      <c r="Z17" s="80"/>
      <c r="AA17" s="41"/>
      <c r="AB17" s="80"/>
      <c r="AC17" s="80"/>
      <c r="AD17" s="80"/>
      <c r="AE17" s="41"/>
      <c r="AF17" s="80"/>
      <c r="AG17" s="80"/>
      <c r="AH17" s="80"/>
      <c r="AI17" s="41"/>
      <c r="AJ17" s="80"/>
      <c r="AK17" s="80"/>
      <c r="AL17" s="80"/>
      <c r="AM17" s="41"/>
      <c r="AN17" s="80"/>
      <c r="AO17" s="80"/>
      <c r="AP17" s="80"/>
      <c r="AQ17" s="41"/>
      <c r="AR17" s="80"/>
      <c r="AS17" s="80">
        <f t="shared" ref="AS17" si="60">AS16/AR16-1</f>
        <v>-0.17438351888461145</v>
      </c>
      <c r="AT17" s="80">
        <f t="shared" ref="AT17" si="61">AT16/AS16-1</f>
        <v>-0.38103339634530564</v>
      </c>
      <c r="AU17" s="41">
        <f t="shared" ref="AU17" si="62">AU16/AT16-1</f>
        <v>8.2663137534358277E-2</v>
      </c>
      <c r="AV17" s="80">
        <f t="shared" ref="AV17:AZ17" si="63">AV16/AU16-1</f>
        <v>0.61730136342266095</v>
      </c>
      <c r="AW17" s="80">
        <f t="shared" si="63"/>
        <v>0.32779069767441849</v>
      </c>
      <c r="AX17" s="693">
        <f t="shared" si="63"/>
        <v>-0.16849111130571848</v>
      </c>
      <c r="AY17" s="41">
        <f t="shared" si="63"/>
        <v>-0.23191153238546613</v>
      </c>
      <c r="AZ17" s="80">
        <f t="shared" si="63"/>
        <v>1.4398395721925135</v>
      </c>
      <c r="BA17" s="175">
        <v>-0.2</v>
      </c>
      <c r="BB17" s="175">
        <v>-0.1</v>
      </c>
      <c r="BC17" s="176">
        <v>-0.02</v>
      </c>
      <c r="BD17" s="175">
        <v>-0.1</v>
      </c>
      <c r="BE17" s="175">
        <v>-0.05</v>
      </c>
      <c r="BF17" s="175">
        <v>-0.05</v>
      </c>
      <c r="BG17" s="176">
        <v>-0.05</v>
      </c>
      <c r="BH17" s="175">
        <v>0.05</v>
      </c>
      <c r="BI17" s="175">
        <v>0.03</v>
      </c>
      <c r="BJ17" s="175">
        <v>0.03</v>
      </c>
      <c r="BK17" s="176">
        <v>-0.05</v>
      </c>
      <c r="BL17" s="36"/>
      <c r="BM17" s="81"/>
      <c r="BN17" s="81"/>
      <c r="BO17" s="81"/>
      <c r="BP17" s="81"/>
      <c r="BQ17" s="81"/>
      <c r="BR17" s="81"/>
      <c r="BS17" s="81"/>
      <c r="BT17" s="81"/>
      <c r="BU17" s="115"/>
      <c r="BV17" s="80"/>
      <c r="BW17" s="81"/>
      <c r="BX17" s="81"/>
      <c r="BY17" s="81"/>
      <c r="BZ17" s="81"/>
      <c r="CA17" s="115"/>
      <c r="CB17" s="109"/>
      <c r="CC17" s="684"/>
      <c r="CD17" s="684"/>
      <c r="CE17" s="684"/>
      <c r="CF17" s="684"/>
      <c r="CG17" s="684"/>
      <c r="CH17" s="817"/>
      <c r="CI17" s="796"/>
      <c r="CJ17" s="81"/>
      <c r="CK17" s="81"/>
      <c r="CL17" s="81"/>
      <c r="CM17" s="81"/>
      <c r="CN17" s="81"/>
      <c r="CO17" s="81"/>
      <c r="CP17" s="81"/>
      <c r="CQ17" s="81"/>
      <c r="CR17" s="81"/>
      <c r="CS17" s="81"/>
      <c r="CT17" s="806"/>
    </row>
    <row r="18" spans="1:101" ht="14.25" hidden="1" customHeight="1" outlineLevel="1">
      <c r="A18" s="684"/>
      <c r="B18" s="144" t="s">
        <v>187</v>
      </c>
      <c r="C18" s="79"/>
      <c r="D18" s="80"/>
      <c r="E18" s="80"/>
      <c r="F18" s="80"/>
      <c r="G18" s="41"/>
      <c r="H18" s="80"/>
      <c r="I18" s="80"/>
      <c r="J18" s="80"/>
      <c r="K18" s="41"/>
      <c r="L18" s="80"/>
      <c r="M18" s="80"/>
      <c r="N18" s="80"/>
      <c r="O18" s="41"/>
      <c r="P18" s="80"/>
      <c r="Q18" s="80"/>
      <c r="R18" s="80"/>
      <c r="S18" s="41"/>
      <c r="T18" s="80"/>
      <c r="U18" s="80"/>
      <c r="V18" s="80"/>
      <c r="W18" s="41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41"/>
      <c r="AR18" s="80"/>
      <c r="AS18" s="80"/>
      <c r="AT18" s="80"/>
      <c r="AU18" s="41"/>
      <c r="AV18" s="80">
        <f t="shared" ref="AV18:AW18" si="64">AV16/AR16-1</f>
        <v>-0.10519196753719706</v>
      </c>
      <c r="AW18" s="80">
        <f t="shared" si="64"/>
        <v>0.43906742281033373</v>
      </c>
      <c r="AX18" s="80">
        <f t="shared" ref="AX18" si="65">AX16/AT16-1</f>
        <v>0.93321795785401607</v>
      </c>
      <c r="AY18" s="41">
        <f t="shared" ref="AY18:AZ18" si="66">AY16/AU16-1</f>
        <v>0.37150916784203081</v>
      </c>
      <c r="AZ18" s="80">
        <f t="shared" si="66"/>
        <v>1.0690406976744184</v>
      </c>
      <c r="BA18" s="80">
        <f t="shared" ref="BA18:BG18" si="67">BA16/AW16-1</f>
        <v>0.24660653297136359</v>
      </c>
      <c r="BB18" s="80">
        <f t="shared" si="67"/>
        <v>0.34928909952606646</v>
      </c>
      <c r="BC18" s="41">
        <f t="shared" si="67"/>
        <v>0.72155080213903755</v>
      </c>
      <c r="BD18" s="80">
        <f t="shared" si="67"/>
        <v>-0.36495999999999995</v>
      </c>
      <c r="BE18" s="80">
        <f t="shared" si="67"/>
        <v>-0.24588999999999994</v>
      </c>
      <c r="BF18" s="80">
        <f t="shared" si="67"/>
        <v>-0.20399500000000004</v>
      </c>
      <c r="BG18" s="41">
        <f t="shared" si="67"/>
        <v>-0.22836250000000002</v>
      </c>
      <c r="BH18" s="80">
        <f t="shared" ref="BH18" si="68">BH16/BD16-1</f>
        <v>-9.9756249999999991E-2</v>
      </c>
      <c r="BI18" s="80">
        <f t="shared" ref="BI18" si="69">BI16/BE16-1</f>
        <v>-2.3946249999999947E-2</v>
      </c>
      <c r="BJ18" s="80">
        <f t="shared" ref="BJ18" si="70">BJ16/BF16-1</f>
        <v>5.8247750000000043E-2</v>
      </c>
      <c r="BK18" s="41">
        <f t="shared" ref="BK18" si="71">BK16/BG16-1</f>
        <v>5.8247750000000043E-2</v>
      </c>
      <c r="BL18" s="36"/>
      <c r="BM18" s="81"/>
      <c r="BN18" s="81"/>
      <c r="BO18" s="81"/>
      <c r="BP18" s="81"/>
      <c r="BQ18" s="81"/>
      <c r="BR18" s="83"/>
      <c r="BS18" s="83"/>
      <c r="BT18" s="83"/>
      <c r="BU18" s="117"/>
      <c r="BV18" s="80"/>
      <c r="BW18" s="83">
        <f>BW16/BV16-1</f>
        <v>-0.32928853874249131</v>
      </c>
      <c r="BX18" s="83">
        <f>BX16/BW16-1</f>
        <v>0.32518451845184493</v>
      </c>
      <c r="BY18" s="83">
        <f>BY16/BX16-1</f>
        <v>0.55936425136522949</v>
      </c>
      <c r="BZ18" s="83">
        <f>BZ16/BY16-1</f>
        <v>-0.26961835937499989</v>
      </c>
      <c r="CA18" s="117">
        <f>CA16/BZ16-1</f>
        <v>-5.3900545082382623E-3</v>
      </c>
      <c r="CB18" s="109"/>
      <c r="CC18" s="684"/>
      <c r="CD18" s="684"/>
      <c r="CE18" s="684"/>
      <c r="CF18" s="684"/>
      <c r="CG18" s="684"/>
      <c r="CH18" s="817"/>
      <c r="CI18" s="796"/>
      <c r="CJ18" s="81"/>
      <c r="CK18" s="81"/>
      <c r="CL18" s="81"/>
      <c r="CM18" s="81"/>
      <c r="CN18" s="81" t="e">
        <f>CN16/CM16-1</f>
        <v>#DIV/0!</v>
      </c>
      <c r="CO18" s="81">
        <f>CO16/CN16-1</f>
        <v>1.7847258349807507</v>
      </c>
      <c r="CP18" s="83">
        <f>CP16/CO16-1</f>
        <v>0.71875467045284713</v>
      </c>
      <c r="CQ18" s="83">
        <f>CQ16/CP16-1</f>
        <v>0.1065365890773522</v>
      </c>
      <c r="CR18" s="81"/>
      <c r="CS18" s="81"/>
      <c r="CT18" s="806"/>
    </row>
    <row r="19" spans="1:101" ht="14.25" hidden="1" customHeight="1" outlineLevel="1">
      <c r="A19" s="684"/>
      <c r="B19" s="144" t="s">
        <v>444</v>
      </c>
      <c r="C19" s="79"/>
      <c r="D19" s="80"/>
      <c r="E19" s="80"/>
      <c r="F19" s="80"/>
      <c r="G19" s="41"/>
      <c r="H19" s="80"/>
      <c r="I19" s="80"/>
      <c r="J19" s="80"/>
      <c r="K19" s="41"/>
      <c r="L19" s="80"/>
      <c r="M19" s="80"/>
      <c r="N19" s="80"/>
      <c r="O19" s="41"/>
      <c r="P19" s="80"/>
      <c r="Q19" s="80"/>
      <c r="R19" s="80"/>
      <c r="S19" s="41"/>
      <c r="T19" s="80"/>
      <c r="U19" s="80"/>
      <c r="V19" s="80"/>
      <c r="W19" s="41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639"/>
      <c r="AO19" s="639"/>
      <c r="AP19" s="80"/>
      <c r="AQ19" s="41"/>
      <c r="AR19" s="690">
        <v>0.28000000000000003</v>
      </c>
      <c r="AS19" s="690">
        <v>0.2</v>
      </c>
      <c r="AT19" s="690">
        <v>0.11</v>
      </c>
      <c r="AU19" s="691">
        <v>0.1</v>
      </c>
      <c r="AV19" s="690">
        <v>0.16</v>
      </c>
      <c r="AW19" s="690">
        <v>0.19</v>
      </c>
      <c r="AX19" s="690">
        <v>0.15</v>
      </c>
      <c r="AY19" s="691">
        <v>0.12</v>
      </c>
      <c r="AZ19" s="690">
        <v>0.25</v>
      </c>
      <c r="BA19" s="80"/>
      <c r="BB19" s="80"/>
      <c r="BC19" s="41"/>
      <c r="BD19" s="80"/>
      <c r="BE19" s="80"/>
      <c r="BF19" s="80"/>
      <c r="BG19" s="41"/>
      <c r="BH19" s="80"/>
      <c r="BI19" s="80"/>
      <c r="BJ19" s="80"/>
      <c r="BK19" s="41"/>
      <c r="BL19" s="36"/>
      <c r="BM19" s="81"/>
      <c r="BN19" s="81"/>
      <c r="BO19" s="81"/>
      <c r="BP19" s="81"/>
      <c r="BQ19" s="81"/>
      <c r="BR19" s="83"/>
      <c r="BS19" s="83"/>
      <c r="BT19" s="83"/>
      <c r="BU19" s="117"/>
      <c r="BV19" s="690">
        <v>0.27</v>
      </c>
      <c r="BW19" s="83"/>
      <c r="BX19" s="83"/>
      <c r="BY19" s="83"/>
      <c r="BZ19" s="83"/>
      <c r="CA19" s="117"/>
      <c r="CB19" s="109"/>
      <c r="CC19" s="684"/>
      <c r="CD19" s="684"/>
      <c r="CE19" s="684"/>
      <c r="CF19" s="684"/>
      <c r="CG19" s="684"/>
      <c r="CH19" s="817"/>
      <c r="CI19" s="796"/>
      <c r="CJ19" s="81"/>
      <c r="CK19" s="81"/>
      <c r="CL19" s="81"/>
      <c r="CM19" s="81"/>
      <c r="CN19" s="81"/>
      <c r="CO19" s="81"/>
      <c r="CP19" s="83"/>
      <c r="CQ19" s="83"/>
      <c r="CR19" s="81"/>
      <c r="CS19" s="81"/>
      <c r="CT19" s="806"/>
    </row>
    <row r="20" spans="1:101" ht="14.25" hidden="1" customHeight="1" outlineLevel="1">
      <c r="A20" s="684"/>
      <c r="B20" s="144" t="s">
        <v>230</v>
      </c>
      <c r="C20" s="26"/>
      <c r="D20" s="28"/>
      <c r="E20" s="28"/>
      <c r="F20" s="28"/>
      <c r="G20" s="35"/>
      <c r="H20" s="149"/>
      <c r="I20" s="149"/>
      <c r="J20" s="149"/>
      <c r="K20" s="150"/>
      <c r="L20" s="149"/>
      <c r="M20" s="149"/>
      <c r="N20" s="149"/>
      <c r="O20" s="150"/>
      <c r="P20" s="149"/>
      <c r="Q20" s="149"/>
      <c r="R20" s="149"/>
      <c r="S20" s="150"/>
      <c r="T20" s="161"/>
      <c r="U20" s="161"/>
      <c r="V20" s="161"/>
      <c r="W20" s="162"/>
      <c r="X20" s="161"/>
      <c r="Y20" s="161"/>
      <c r="Z20" s="161"/>
      <c r="AA20" s="162"/>
      <c r="AB20" s="161"/>
      <c r="AC20" s="161"/>
      <c r="AD20" s="161"/>
      <c r="AE20" s="162"/>
      <c r="AF20" s="161"/>
      <c r="AG20" s="161"/>
      <c r="AH20" s="161"/>
      <c r="AI20" s="162"/>
      <c r="AJ20" s="161"/>
      <c r="AK20" s="161"/>
      <c r="AL20" s="161"/>
      <c r="AM20" s="162"/>
      <c r="AN20" s="161"/>
      <c r="AO20" s="161"/>
      <c r="AP20" s="161"/>
      <c r="AQ20" s="162"/>
      <c r="AR20" s="32">
        <f>AR$8*AR23</f>
        <v>260.87</v>
      </c>
      <c r="AS20" s="32">
        <f t="shared" ref="AS20:AV20" si="72">AS$8*AS23</f>
        <v>666.54</v>
      </c>
      <c r="AT20" s="32">
        <f t="shared" si="72"/>
        <v>732.26</v>
      </c>
      <c r="AU20" s="31">
        <f t="shared" si="72"/>
        <v>489.21000000000004</v>
      </c>
      <c r="AV20" s="32">
        <f t="shared" si="72"/>
        <v>537.5</v>
      </c>
      <c r="AW20" s="32">
        <f t="shared" ref="AW20:AZ20" si="73">AW$8*AW23</f>
        <v>793.32</v>
      </c>
      <c r="AX20" s="32">
        <f t="shared" si="73"/>
        <v>962.16</v>
      </c>
      <c r="AY20" s="31">
        <f t="shared" si="73"/>
        <v>923.78</v>
      </c>
      <c r="AZ20" s="32">
        <f t="shared" si="73"/>
        <v>1053.3900000000001</v>
      </c>
      <c r="BA20" s="32">
        <f t="shared" ref="BA20" si="74">AZ20*(1+BA21)</f>
        <v>1106.0595000000001</v>
      </c>
      <c r="BB20" s="32">
        <f t="shared" ref="BB20" si="75">BA20*(1+BB21)</f>
        <v>884.84760000000006</v>
      </c>
      <c r="BC20" s="31">
        <f t="shared" ref="BC20" si="76">BB20*(1+BC21)</f>
        <v>796.36284000000012</v>
      </c>
      <c r="BD20" s="32">
        <f t="shared" ref="BD20" si="77">BC20*(1+BD21)</f>
        <v>836.1809820000002</v>
      </c>
      <c r="BE20" s="32">
        <f t="shared" ref="BE20" si="78">BD20*(1+BE21)</f>
        <v>802.73374272000012</v>
      </c>
      <c r="BF20" s="32">
        <f t="shared" ref="BF20" si="79">BE20*(1+BF21)</f>
        <v>770.62439301120014</v>
      </c>
      <c r="BG20" s="31">
        <f t="shared" ref="BG20" si="80">BF20*(1+BG21)</f>
        <v>732.09317336064009</v>
      </c>
      <c r="BH20" s="32">
        <f t="shared" ref="BH20" si="81">BG20*(1+BH21)</f>
        <v>768.69783202867211</v>
      </c>
      <c r="BI20" s="32">
        <f t="shared" ref="BI20" si="82">BH20*(1+BI21)</f>
        <v>722.57596210695169</v>
      </c>
      <c r="BJ20" s="32">
        <f t="shared" ref="BJ20" si="83">BI20*(1+BJ21)</f>
        <v>679.22140438053452</v>
      </c>
      <c r="BK20" s="31">
        <f t="shared" ref="BK20" si="84">BJ20*(1+BK21)</f>
        <v>645.26033416150779</v>
      </c>
      <c r="BL20" s="36"/>
      <c r="BM20" s="34"/>
      <c r="BN20" s="34"/>
      <c r="BO20" s="34"/>
      <c r="BP20" s="34"/>
      <c r="BQ20" s="34"/>
      <c r="BR20" s="34"/>
      <c r="BS20" s="34"/>
      <c r="BT20" s="34"/>
      <c r="BU20" s="114"/>
      <c r="BV20" s="32">
        <f t="shared" ref="BV20" si="85">BV$8*BV23</f>
        <v>1288.3499999999999</v>
      </c>
      <c r="BW20" s="34">
        <f>SUM(AR20:AU20)</f>
        <v>2148.88</v>
      </c>
      <c r="BX20" s="34">
        <f>SUM(AV20:AY20)</f>
        <v>3216.76</v>
      </c>
      <c r="BY20" s="34">
        <f>SUM(AZ20:BC20)</f>
        <v>3840.6599400000005</v>
      </c>
      <c r="BZ20" s="34">
        <f>SUM(BD20:BG20)</f>
        <v>3141.6322910918407</v>
      </c>
      <c r="CA20" s="114">
        <f>SUM(BH20:BK20)</f>
        <v>2815.755532677666</v>
      </c>
      <c r="CB20" s="109"/>
      <c r="CC20" s="684"/>
      <c r="CD20" s="684"/>
      <c r="CE20" s="684"/>
      <c r="CF20" s="684"/>
      <c r="CG20" s="684"/>
      <c r="CH20" s="817"/>
      <c r="CI20" s="795">
        <f>SUM(U20:X20)</f>
        <v>0</v>
      </c>
      <c r="CJ20" s="34">
        <f>SUM(Y20:AB20)</f>
        <v>0</v>
      </c>
      <c r="CK20" s="34">
        <f>SUM(AC20:AF20)</f>
        <v>0</v>
      </c>
      <c r="CL20" s="34">
        <f>SUM(AG20:AJ20)</f>
        <v>0</v>
      </c>
      <c r="CM20" s="34">
        <f>SUM(AK20:AN20)</f>
        <v>0</v>
      </c>
      <c r="CN20" s="34">
        <f>SUM(AO20:AR20)</f>
        <v>260.87</v>
      </c>
      <c r="CO20" s="34">
        <f>SUM(AS20:AV20)</f>
        <v>2425.5100000000002</v>
      </c>
      <c r="CP20" s="34">
        <f>SUM(AW20:AZ20)</f>
        <v>3732.6500000000005</v>
      </c>
      <c r="CQ20" s="34">
        <f>SUM(BA20:BD20)</f>
        <v>3623.4509220000004</v>
      </c>
      <c r="CR20" s="34"/>
      <c r="CS20" s="34"/>
      <c r="CT20" s="806">
        <f>CQ20*0.35</f>
        <v>1268.2078227000002</v>
      </c>
      <c r="CV20" s="643">
        <f>AVERAGE(AW20:AZ20)</f>
        <v>933.16250000000014</v>
      </c>
      <c r="CW20" s="20">
        <f>CV20*1.16</f>
        <v>1082.4685000000002</v>
      </c>
    </row>
    <row r="21" spans="1:101" ht="14.25" hidden="1" customHeight="1" outlineLevel="1">
      <c r="A21" s="684"/>
      <c r="B21" s="144" t="s">
        <v>186</v>
      </c>
      <c r="C21" s="79"/>
      <c r="D21" s="80"/>
      <c r="E21" s="80"/>
      <c r="F21" s="80"/>
      <c r="G21" s="41"/>
      <c r="H21" s="80"/>
      <c r="I21" s="80"/>
      <c r="J21" s="80"/>
      <c r="K21" s="41"/>
      <c r="L21" s="80"/>
      <c r="M21" s="80"/>
      <c r="N21" s="80"/>
      <c r="O21" s="41"/>
      <c r="P21" s="80"/>
      <c r="Q21" s="80"/>
      <c r="R21" s="80"/>
      <c r="S21" s="41"/>
      <c r="T21" s="80"/>
      <c r="U21" s="80"/>
      <c r="V21" s="80"/>
      <c r="W21" s="41"/>
      <c r="X21" s="80"/>
      <c r="Y21" s="80"/>
      <c r="Z21" s="80"/>
      <c r="AA21" s="41"/>
      <c r="AB21" s="80"/>
      <c r="AC21" s="80"/>
      <c r="AD21" s="80"/>
      <c r="AE21" s="41"/>
      <c r="AF21" s="80"/>
      <c r="AG21" s="80"/>
      <c r="AH21" s="80"/>
      <c r="AI21" s="41"/>
      <c r="AJ21" s="80"/>
      <c r="AK21" s="80"/>
      <c r="AL21" s="80"/>
      <c r="AM21" s="41"/>
      <c r="AN21" s="80"/>
      <c r="AO21" s="80"/>
      <c r="AP21" s="80"/>
      <c r="AQ21" s="41"/>
      <c r="AR21" s="80"/>
      <c r="AS21" s="80">
        <f t="shared" ref="AS21" si="86">AS20/AR20-1</f>
        <v>1.5550657415570974</v>
      </c>
      <c r="AT21" s="80">
        <f t="shared" ref="AT21" si="87">AT20/AS20-1</f>
        <v>9.8598733759414303E-2</v>
      </c>
      <c r="AU21" s="41">
        <f t="shared" ref="AU21" si="88">AU20/AT20-1</f>
        <v>-0.33191762488733501</v>
      </c>
      <c r="AV21" s="80">
        <f t="shared" ref="AV21:AZ21" si="89">AV20/AU20-1</f>
        <v>9.8710165368655511E-2</v>
      </c>
      <c r="AW21" s="80">
        <f t="shared" si="89"/>
        <v>0.47594418604651167</v>
      </c>
      <c r="AX21" s="80">
        <f t="shared" si="89"/>
        <v>0.21282710633792146</v>
      </c>
      <c r="AY21" s="41">
        <f t="shared" si="89"/>
        <v>-3.9889415481832557E-2</v>
      </c>
      <c r="AZ21" s="80">
        <f t="shared" si="89"/>
        <v>0.14030396847734328</v>
      </c>
      <c r="BA21" s="175">
        <v>0.05</v>
      </c>
      <c r="BB21" s="175">
        <v>-0.2</v>
      </c>
      <c r="BC21" s="175">
        <v>-0.1</v>
      </c>
      <c r="BD21" s="175">
        <v>0.05</v>
      </c>
      <c r="BE21" s="175">
        <v>-0.04</v>
      </c>
      <c r="BF21" s="175">
        <v>-0.04</v>
      </c>
      <c r="BG21" s="176">
        <v>-0.05</v>
      </c>
      <c r="BH21" s="175">
        <v>0.05</v>
      </c>
      <c r="BI21" s="175">
        <v>-0.06</v>
      </c>
      <c r="BJ21" s="175">
        <v>-0.06</v>
      </c>
      <c r="BK21" s="175">
        <v>-0.05</v>
      </c>
      <c r="BL21" s="36"/>
      <c r="BM21" s="81"/>
      <c r="BN21" s="81"/>
      <c r="BO21" s="81"/>
      <c r="BP21" s="81"/>
      <c r="BQ21" s="81"/>
      <c r="BR21" s="81"/>
      <c r="BS21" s="81"/>
      <c r="BT21" s="81"/>
      <c r="BU21" s="115"/>
      <c r="BV21" s="80"/>
      <c r="BW21" s="81"/>
      <c r="BX21" s="81"/>
      <c r="BY21" s="81"/>
      <c r="BZ21" s="81"/>
      <c r="CA21" s="115"/>
      <c r="CB21" s="109"/>
      <c r="CC21" s="684"/>
      <c r="CD21" s="684"/>
      <c r="CE21" s="684"/>
      <c r="CF21" s="684"/>
      <c r="CG21" s="684"/>
      <c r="CH21" s="817"/>
      <c r="CI21" s="796"/>
      <c r="CJ21" s="81"/>
      <c r="CK21" s="81"/>
      <c r="CL21" s="81"/>
      <c r="CM21" s="81"/>
      <c r="CN21" s="81"/>
      <c r="CO21" s="81"/>
      <c r="CP21" s="81"/>
      <c r="CQ21" s="81"/>
      <c r="CR21" s="81"/>
      <c r="CS21" s="81"/>
      <c r="CT21" s="806"/>
    </row>
    <row r="22" spans="1:101" ht="14.25" hidden="1" customHeight="1" outlineLevel="1">
      <c r="A22" s="684"/>
      <c r="B22" s="144" t="s">
        <v>187</v>
      </c>
      <c r="C22" s="79"/>
      <c r="D22" s="80"/>
      <c r="E22" s="80"/>
      <c r="F22" s="80"/>
      <c r="G22" s="41"/>
      <c r="H22" s="80"/>
      <c r="I22" s="80"/>
      <c r="J22" s="80"/>
      <c r="K22" s="41"/>
      <c r="L22" s="80"/>
      <c r="M22" s="80"/>
      <c r="N22" s="80"/>
      <c r="O22" s="41"/>
      <c r="P22" s="80"/>
      <c r="Q22" s="80"/>
      <c r="R22" s="80"/>
      <c r="S22" s="41"/>
      <c r="T22" s="80"/>
      <c r="U22" s="80"/>
      <c r="V22" s="80"/>
      <c r="W22" s="41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41"/>
      <c r="AR22" s="80"/>
      <c r="AS22" s="80"/>
      <c r="AT22" s="80"/>
      <c r="AU22" s="41"/>
      <c r="AV22" s="80">
        <f t="shared" ref="AV22:AW22" si="90">AV20/AR20-1</f>
        <v>1.0604132326446121</v>
      </c>
      <c r="AW22" s="80">
        <f t="shared" si="90"/>
        <v>0.1902061391664418</v>
      </c>
      <c r="AX22" s="80">
        <f t="shared" ref="AX22" si="91">AX20/AT20-1</f>
        <v>0.3139595225739491</v>
      </c>
      <c r="AY22" s="41">
        <f t="shared" ref="AY22:AZ22" si="92">AY20/AU20-1</f>
        <v>0.88830972384047735</v>
      </c>
      <c r="AZ22" s="80">
        <f t="shared" si="92"/>
        <v>0.95979534883720952</v>
      </c>
      <c r="BA22" s="80">
        <f t="shared" ref="BA22:BG22" si="93">BA20/AW20-1</f>
        <v>0.39421607926183633</v>
      </c>
      <c r="BB22" s="80">
        <f t="shared" si="93"/>
        <v>-8.0352955849338881E-2</v>
      </c>
      <c r="BC22" s="41">
        <f t="shared" si="93"/>
        <v>-0.13793019983112842</v>
      </c>
      <c r="BD22" s="80">
        <f t="shared" si="93"/>
        <v>-0.20619999999999994</v>
      </c>
      <c r="BE22" s="80">
        <f t="shared" si="93"/>
        <v>-0.27423999999999993</v>
      </c>
      <c r="BF22" s="80">
        <f t="shared" si="93"/>
        <v>-0.12908799999999987</v>
      </c>
      <c r="BG22" s="41">
        <f t="shared" si="93"/>
        <v>-8.0703999999999998E-2</v>
      </c>
      <c r="BH22" s="80">
        <f t="shared" ref="BH22" si="94">BH20/BD20-1</f>
        <v>-8.0704000000000109E-2</v>
      </c>
      <c r="BI22" s="80">
        <f t="shared" ref="BI22" si="95">BI20/BE20-1</f>
        <v>-9.9856000000000167E-2</v>
      </c>
      <c r="BJ22" s="80">
        <f t="shared" ref="BJ22" si="96">BJ20/BF20-1</f>
        <v>-0.11860900000000019</v>
      </c>
      <c r="BK22" s="41">
        <f t="shared" ref="BK22" si="97">BK20/BG20-1</f>
        <v>-0.11860900000000019</v>
      </c>
      <c r="BL22" s="36"/>
      <c r="BM22" s="81"/>
      <c r="BN22" s="81"/>
      <c r="BO22" s="81"/>
      <c r="BP22" s="81"/>
      <c r="BQ22" s="81"/>
      <c r="BR22" s="83"/>
      <c r="BS22" s="83"/>
      <c r="BT22" s="83"/>
      <c r="BU22" s="117"/>
      <c r="BV22" s="80"/>
      <c r="BW22" s="83">
        <f>BW20/BV20-1</f>
        <v>0.66793185081693651</v>
      </c>
      <c r="BX22" s="83">
        <f>BX20/BW20-1</f>
        <v>0.49694724693793968</v>
      </c>
      <c r="BY22" s="83">
        <f>BY20/BX20-1</f>
        <v>0.19395290292095169</v>
      </c>
      <c r="BZ22" s="83">
        <f>BZ20/BY20-1</f>
        <v>-0.18200717059791549</v>
      </c>
      <c r="CA22" s="117">
        <f>CA20/BZ20-1</f>
        <v>-0.1037284851375524</v>
      </c>
      <c r="CB22" s="109"/>
      <c r="CC22" s="684"/>
      <c r="CD22" s="684"/>
      <c r="CE22" s="684"/>
      <c r="CF22" s="684"/>
      <c r="CG22" s="684"/>
      <c r="CH22" s="817"/>
      <c r="CI22" s="796"/>
      <c r="CJ22" s="81"/>
      <c r="CK22" s="81"/>
      <c r="CL22" s="81"/>
      <c r="CM22" s="81"/>
      <c r="CN22" s="81" t="e">
        <f>CN20/CM20-1</f>
        <v>#DIV/0!</v>
      </c>
      <c r="CO22" s="81">
        <f>CO20/CN20-1</f>
        <v>8.2977728370452724</v>
      </c>
      <c r="CP22" s="83">
        <f>CP20/CO20-1</f>
        <v>0.5389134656216632</v>
      </c>
      <c r="CQ22" s="83">
        <f>CQ20/CP20-1</f>
        <v>-2.9255107765260635E-2</v>
      </c>
      <c r="CR22" s="81"/>
      <c r="CS22" s="81"/>
      <c r="CT22" s="806"/>
    </row>
    <row r="23" spans="1:101" ht="14.25" hidden="1" customHeight="1" outlineLevel="1">
      <c r="A23" s="684"/>
      <c r="B23" s="144" t="s">
        <v>444</v>
      </c>
      <c r="C23" s="79"/>
      <c r="D23" s="80"/>
      <c r="E23" s="80"/>
      <c r="F23" s="80"/>
      <c r="G23" s="41"/>
      <c r="H23" s="80"/>
      <c r="I23" s="80"/>
      <c r="J23" s="80"/>
      <c r="K23" s="41"/>
      <c r="L23" s="80"/>
      <c r="M23" s="80"/>
      <c r="N23" s="80"/>
      <c r="O23" s="41"/>
      <c r="P23" s="80"/>
      <c r="Q23" s="80"/>
      <c r="R23" s="80"/>
      <c r="S23" s="41"/>
      <c r="T23" s="80"/>
      <c r="U23" s="80"/>
      <c r="V23" s="80"/>
      <c r="W23" s="41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639"/>
      <c r="AO23" s="639"/>
      <c r="AP23" s="80"/>
      <c r="AQ23" s="41"/>
      <c r="AR23" s="690">
        <v>0.19</v>
      </c>
      <c r="AS23" s="690">
        <v>0.42</v>
      </c>
      <c r="AT23" s="690">
        <v>0.41</v>
      </c>
      <c r="AU23" s="691">
        <v>0.23</v>
      </c>
      <c r="AV23" s="690">
        <v>0.25</v>
      </c>
      <c r="AW23" s="690">
        <v>0.33</v>
      </c>
      <c r="AX23" s="690">
        <v>0.38</v>
      </c>
      <c r="AY23" s="691">
        <v>0.38</v>
      </c>
      <c r="AZ23" s="690">
        <v>0.37</v>
      </c>
      <c r="BA23" s="80"/>
      <c r="BB23" s="80"/>
      <c r="BC23" s="41"/>
      <c r="BD23" s="80"/>
      <c r="BE23" s="80"/>
      <c r="BF23" s="80"/>
      <c r="BG23" s="41"/>
      <c r="BH23" s="80"/>
      <c r="BI23" s="80"/>
      <c r="BJ23" s="80"/>
      <c r="BK23" s="41"/>
      <c r="BL23" s="36"/>
      <c r="BM23" s="81"/>
      <c r="BN23" s="81"/>
      <c r="BO23" s="81"/>
      <c r="BP23" s="81"/>
      <c r="BQ23" s="81"/>
      <c r="BR23" s="83"/>
      <c r="BS23" s="83"/>
      <c r="BT23" s="83"/>
      <c r="BU23" s="117"/>
      <c r="BV23" s="690">
        <v>0.21</v>
      </c>
      <c r="BW23" s="83"/>
      <c r="BX23" s="83"/>
      <c r="BY23" s="83"/>
      <c r="BZ23" s="83"/>
      <c r="CA23" s="117"/>
      <c r="CB23" s="109"/>
      <c r="CC23" s="684"/>
      <c r="CD23" s="684"/>
      <c r="CE23" s="684"/>
      <c r="CF23" s="684"/>
      <c r="CG23" s="684"/>
      <c r="CH23" s="817"/>
      <c r="CI23" s="796"/>
      <c r="CJ23" s="81"/>
      <c r="CK23" s="81"/>
      <c r="CL23" s="81"/>
      <c r="CM23" s="81"/>
      <c r="CN23" s="81"/>
      <c r="CO23" s="81"/>
      <c r="CP23" s="83"/>
      <c r="CQ23" s="83"/>
      <c r="CR23" s="81"/>
      <c r="CS23" s="81"/>
      <c r="CT23" s="806"/>
    </row>
    <row r="24" spans="1:101" ht="14.25" hidden="1" customHeight="1" outlineLevel="1">
      <c r="A24" s="684"/>
      <c r="B24" s="144" t="s">
        <v>229</v>
      </c>
      <c r="C24" s="26"/>
      <c r="D24" s="28"/>
      <c r="E24" s="28"/>
      <c r="F24" s="28"/>
      <c r="G24" s="35"/>
      <c r="H24" s="149"/>
      <c r="I24" s="149"/>
      <c r="J24" s="149"/>
      <c r="K24" s="150"/>
      <c r="L24" s="149"/>
      <c r="M24" s="149"/>
      <c r="N24" s="149"/>
      <c r="O24" s="150"/>
      <c r="P24" s="149"/>
      <c r="Q24" s="149"/>
      <c r="R24" s="149"/>
      <c r="S24" s="150"/>
      <c r="T24" s="161"/>
      <c r="U24" s="161"/>
      <c r="V24" s="161"/>
      <c r="W24" s="162"/>
      <c r="X24" s="161"/>
      <c r="Y24" s="161"/>
      <c r="Z24" s="161"/>
      <c r="AA24" s="162"/>
      <c r="AB24" s="161"/>
      <c r="AC24" s="161"/>
      <c r="AD24" s="161"/>
      <c r="AE24" s="162"/>
      <c r="AF24" s="161"/>
      <c r="AG24" s="161"/>
      <c r="AH24" s="161"/>
      <c r="AI24" s="162"/>
      <c r="AJ24" s="161"/>
      <c r="AK24" s="161"/>
      <c r="AL24" s="161"/>
      <c r="AM24" s="162"/>
      <c r="AN24" s="161"/>
      <c r="AO24" s="161"/>
      <c r="AP24" s="161"/>
      <c r="AQ24" s="162"/>
      <c r="AR24" s="32">
        <f>AR$8*AR27</f>
        <v>233.41000000000003</v>
      </c>
      <c r="AS24" s="32">
        <f t="shared" ref="AS24:AV24" si="98">AS$8*AS27</f>
        <v>126.96000000000001</v>
      </c>
      <c r="AT24" s="32">
        <f t="shared" si="98"/>
        <v>196.46</v>
      </c>
      <c r="AU24" s="31">
        <f t="shared" si="98"/>
        <v>319.05</v>
      </c>
      <c r="AV24" s="32">
        <f t="shared" si="98"/>
        <v>193.5</v>
      </c>
      <c r="AW24" s="32">
        <f t="shared" ref="AW24:AZ24" si="99">AW$8*AW27</f>
        <v>168.28000000000003</v>
      </c>
      <c r="AX24" s="32">
        <f t="shared" si="99"/>
        <v>202.56</v>
      </c>
      <c r="AY24" s="31">
        <f t="shared" si="99"/>
        <v>340.34000000000003</v>
      </c>
      <c r="AZ24" s="32">
        <f t="shared" si="99"/>
        <v>370.11</v>
      </c>
      <c r="BA24" s="32">
        <f t="shared" ref="BA24" si="100">AZ24*(1+BA25)</f>
        <v>259.077</v>
      </c>
      <c r="BB24" s="32">
        <f t="shared" ref="BB24" si="101">BA24*(1+BB25)</f>
        <v>207.26160000000002</v>
      </c>
      <c r="BC24" s="31">
        <f t="shared" ref="BC24" si="102">BB24*(1+BC25)</f>
        <v>201.04375200000001</v>
      </c>
      <c r="BD24" s="32">
        <f t="shared" ref="BD24" si="103">BC24*(1+BD25)</f>
        <v>241.2525024</v>
      </c>
      <c r="BE24" s="32">
        <f t="shared" ref="BE24" si="104">BD24*(1+BE25)</f>
        <v>277.44037775999999</v>
      </c>
      <c r="BF24" s="32">
        <f t="shared" ref="BF24" si="105">BE24*(1+BF25)</f>
        <v>291.312396648</v>
      </c>
      <c r="BG24" s="31">
        <f t="shared" ref="BG24" si="106">BF24*(1+BG25)</f>
        <v>305.87801648039999</v>
      </c>
      <c r="BH24" s="32">
        <f t="shared" ref="BH24" si="107">BG24*(1+BH25)</f>
        <v>321.17191730441999</v>
      </c>
      <c r="BI24" s="32">
        <f t="shared" ref="BI24" si="108">BH24*(1+BI25)</f>
        <v>305.11332143919896</v>
      </c>
      <c r="BJ24" s="32">
        <f t="shared" ref="BJ24" si="109">BI24*(1+BJ25)</f>
        <v>289.85765536723898</v>
      </c>
      <c r="BK24" s="31">
        <f t="shared" ref="BK24" si="110">BJ24*(1+BK25)</f>
        <v>275.36477259887704</v>
      </c>
      <c r="BL24" s="36"/>
      <c r="BM24" s="34"/>
      <c r="BN24" s="34"/>
      <c r="BO24" s="34"/>
      <c r="BP24" s="34"/>
      <c r="BQ24" s="34"/>
      <c r="BR24" s="34"/>
      <c r="BS24" s="34"/>
      <c r="BT24" s="34"/>
      <c r="BU24" s="114"/>
      <c r="BV24" s="32">
        <f t="shared" ref="BV24" si="111">BV$8*BV27</f>
        <v>797.55000000000007</v>
      </c>
      <c r="BW24" s="34">
        <f>SUM(AR24:AU24)</f>
        <v>875.88000000000011</v>
      </c>
      <c r="BX24" s="34">
        <f>SUM(AV24:AY24)</f>
        <v>904.68000000000006</v>
      </c>
      <c r="BY24" s="34">
        <f>SUM(AZ24:BC24)</f>
        <v>1037.492352</v>
      </c>
      <c r="BZ24" s="34">
        <f>SUM(BD24:BG24)</f>
        <v>1115.8832932884</v>
      </c>
      <c r="CA24" s="114">
        <f>SUM(BH24:BK24)</f>
        <v>1191.5076667097351</v>
      </c>
      <c r="CB24" s="109"/>
      <c r="CC24" s="684"/>
      <c r="CD24" s="684"/>
      <c r="CE24" s="684"/>
      <c r="CF24" s="684"/>
      <c r="CG24" s="684"/>
      <c r="CH24" s="817"/>
      <c r="CI24" s="795">
        <f>SUM(U24:X24)</f>
        <v>0</v>
      </c>
      <c r="CJ24" s="34">
        <f>SUM(Y24:AB24)</f>
        <v>0</v>
      </c>
      <c r="CK24" s="34">
        <f>SUM(AC24:AF24)</f>
        <v>0</v>
      </c>
      <c r="CL24" s="34">
        <f>SUM(AG24:AJ24)</f>
        <v>0</v>
      </c>
      <c r="CM24" s="34">
        <f>SUM(AK24:AN24)</f>
        <v>0</v>
      </c>
      <c r="CN24" s="34">
        <f>SUM(AO24:AR24)</f>
        <v>233.41000000000003</v>
      </c>
      <c r="CO24" s="34">
        <f>SUM(AS24:AV24)</f>
        <v>835.97</v>
      </c>
      <c r="CP24" s="34">
        <f>SUM(AW24:AZ24)</f>
        <v>1081.29</v>
      </c>
      <c r="CQ24" s="34">
        <f>SUM(BA24:BD24)</f>
        <v>908.63485440000011</v>
      </c>
      <c r="CR24" s="34"/>
      <c r="CS24" s="34"/>
      <c r="CT24" s="806"/>
      <c r="CV24" s="643">
        <f>AVERAGE(AW24:AZ24)</f>
        <v>270.32249999999999</v>
      </c>
      <c r="CW24" s="20">
        <f>CV24*1.16</f>
        <v>313.57409999999999</v>
      </c>
    </row>
    <row r="25" spans="1:101" ht="14.25" hidden="1" customHeight="1" outlineLevel="1">
      <c r="A25" s="684"/>
      <c r="B25" s="144" t="s">
        <v>186</v>
      </c>
      <c r="C25" s="79"/>
      <c r="D25" s="80"/>
      <c r="E25" s="80"/>
      <c r="F25" s="80"/>
      <c r="G25" s="41"/>
      <c r="H25" s="80"/>
      <c r="I25" s="80"/>
      <c r="J25" s="80"/>
      <c r="K25" s="41"/>
      <c r="L25" s="80"/>
      <c r="M25" s="80"/>
      <c r="N25" s="80"/>
      <c r="O25" s="41"/>
      <c r="P25" s="80"/>
      <c r="Q25" s="80"/>
      <c r="R25" s="80"/>
      <c r="S25" s="41"/>
      <c r="T25" s="80"/>
      <c r="U25" s="80"/>
      <c r="V25" s="80"/>
      <c r="W25" s="41"/>
      <c r="X25" s="80"/>
      <c r="Y25" s="80"/>
      <c r="Z25" s="80"/>
      <c r="AA25" s="41"/>
      <c r="AB25" s="80"/>
      <c r="AC25" s="80"/>
      <c r="AD25" s="80"/>
      <c r="AE25" s="41"/>
      <c r="AF25" s="80"/>
      <c r="AG25" s="80"/>
      <c r="AH25" s="80"/>
      <c r="AI25" s="41"/>
      <c r="AJ25" s="80"/>
      <c r="AK25" s="80"/>
      <c r="AL25" s="80"/>
      <c r="AM25" s="41"/>
      <c r="AN25" s="80"/>
      <c r="AO25" s="80"/>
      <c r="AP25" s="80"/>
      <c r="AQ25" s="41"/>
      <c r="AR25" s="80"/>
      <c r="AS25" s="80">
        <f t="shared" ref="AS25" si="112">AS24/AR24-1</f>
        <v>-0.45606443597103807</v>
      </c>
      <c r="AT25" s="80">
        <f t="shared" ref="AT25" si="113">AT24/AS24-1</f>
        <v>0.54741650913673601</v>
      </c>
      <c r="AU25" s="41">
        <f t="shared" ref="AU25" si="114">AU24/AT24-1</f>
        <v>0.62399470630153719</v>
      </c>
      <c r="AV25" s="80">
        <f t="shared" ref="AV25:AZ25" si="115">AV24/AU24-1</f>
        <v>-0.39351198871650217</v>
      </c>
      <c r="AW25" s="80">
        <f t="shared" si="115"/>
        <v>-0.13033591731266136</v>
      </c>
      <c r="AX25" s="693">
        <f t="shared" si="115"/>
        <v>0.20370810553838825</v>
      </c>
      <c r="AY25" s="41">
        <f t="shared" si="115"/>
        <v>0.68019352290679325</v>
      </c>
      <c r="AZ25" s="80">
        <f t="shared" si="115"/>
        <v>8.7471352177234563E-2</v>
      </c>
      <c r="BA25" s="175">
        <v>-0.3</v>
      </c>
      <c r="BB25" s="175">
        <v>-0.2</v>
      </c>
      <c r="BC25" s="176">
        <v>-0.03</v>
      </c>
      <c r="BD25" s="175">
        <v>0.2</v>
      </c>
      <c r="BE25" s="175">
        <v>0.15</v>
      </c>
      <c r="BF25" s="175">
        <v>0.05</v>
      </c>
      <c r="BG25" s="176">
        <v>0.05</v>
      </c>
      <c r="BH25" s="175">
        <v>0.05</v>
      </c>
      <c r="BI25" s="175">
        <v>-0.05</v>
      </c>
      <c r="BJ25" s="175">
        <v>-0.05</v>
      </c>
      <c r="BK25" s="176">
        <v>-0.05</v>
      </c>
      <c r="BL25" s="36"/>
      <c r="BM25" s="81"/>
      <c r="BN25" s="81"/>
      <c r="BO25" s="81"/>
      <c r="BP25" s="81"/>
      <c r="BQ25" s="81"/>
      <c r="BR25" s="81"/>
      <c r="BS25" s="81"/>
      <c r="BT25" s="81"/>
      <c r="BU25" s="115"/>
      <c r="BV25" s="80"/>
      <c r="BW25" s="81"/>
      <c r="BX25" s="81"/>
      <c r="BY25" s="81"/>
      <c r="BZ25" s="81"/>
      <c r="CA25" s="115"/>
      <c r="CB25" s="109"/>
      <c r="CC25" s="684"/>
      <c r="CD25" s="684"/>
      <c r="CE25" s="684"/>
      <c r="CF25" s="684"/>
      <c r="CG25" s="684"/>
      <c r="CH25" s="817"/>
      <c r="CI25" s="796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06"/>
    </row>
    <row r="26" spans="1:101" ht="14.25" hidden="1" customHeight="1" outlineLevel="1">
      <c r="A26" s="684"/>
      <c r="B26" s="144" t="s">
        <v>187</v>
      </c>
      <c r="C26" s="79"/>
      <c r="D26" s="80"/>
      <c r="E26" s="80"/>
      <c r="F26" s="80"/>
      <c r="G26" s="41"/>
      <c r="H26" s="80"/>
      <c r="I26" s="80"/>
      <c r="J26" s="80"/>
      <c r="K26" s="41"/>
      <c r="L26" s="80"/>
      <c r="M26" s="80"/>
      <c r="N26" s="80"/>
      <c r="O26" s="41"/>
      <c r="P26" s="80"/>
      <c r="Q26" s="80"/>
      <c r="R26" s="80"/>
      <c r="S26" s="41"/>
      <c r="T26" s="80"/>
      <c r="U26" s="80"/>
      <c r="V26" s="80"/>
      <c r="W26" s="41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41"/>
      <c r="AR26" s="80"/>
      <c r="AS26" s="80"/>
      <c r="AT26" s="80"/>
      <c r="AU26" s="41"/>
      <c r="AV26" s="80">
        <f t="shared" ref="AV26:AW26" si="116">AV24/AR24-1</f>
        <v>-0.17098667580652083</v>
      </c>
      <c r="AW26" s="80">
        <f t="shared" si="116"/>
        <v>0.32545683679899207</v>
      </c>
      <c r="AX26" s="80">
        <f t="shared" ref="AX26" si="117">AX24/AT24-1</f>
        <v>3.1049577522141991E-2</v>
      </c>
      <c r="AY26" s="41">
        <f t="shared" ref="AY26:AZ26" si="118">AY24/AU24-1</f>
        <v>6.6729352766024208E-2</v>
      </c>
      <c r="AZ26" s="80">
        <f t="shared" si="118"/>
        <v>0.91271317829457366</v>
      </c>
      <c r="BA26" s="80">
        <f t="shared" ref="BA26:BG26" si="119">BA24/AW24-1</f>
        <v>0.53955906821963362</v>
      </c>
      <c r="BB26" s="80">
        <f t="shared" si="119"/>
        <v>2.3210900473933815E-2</v>
      </c>
      <c r="BC26" s="41">
        <f t="shared" si="119"/>
        <v>-0.4092855614973262</v>
      </c>
      <c r="BD26" s="80">
        <f t="shared" si="119"/>
        <v>-0.34816000000000003</v>
      </c>
      <c r="BE26" s="80">
        <f t="shared" si="119"/>
        <v>7.0880000000000054E-2</v>
      </c>
      <c r="BF26" s="80">
        <f t="shared" si="119"/>
        <v>0.40552999999999995</v>
      </c>
      <c r="BG26" s="41">
        <f t="shared" si="119"/>
        <v>0.52144999999999997</v>
      </c>
      <c r="BH26" s="80">
        <f t="shared" ref="BH26" si="120">BH24/BD24-1</f>
        <v>0.33126875</v>
      </c>
      <c r="BI26" s="80">
        <f t="shared" ref="BI26" si="121">BI24/BE24-1</f>
        <v>9.9743749999999798E-2</v>
      </c>
      <c r="BJ26" s="80">
        <f t="shared" ref="BJ26" si="122">BJ24/BF24-1</f>
        <v>-4.9937500000002411E-3</v>
      </c>
      <c r="BK26" s="41">
        <f t="shared" ref="BK26" si="123">BK24/BG24-1</f>
        <v>-9.9756250000000213E-2</v>
      </c>
      <c r="BL26" s="36"/>
      <c r="BM26" s="81"/>
      <c r="BN26" s="81"/>
      <c r="BO26" s="81"/>
      <c r="BP26" s="81"/>
      <c r="BQ26" s="81"/>
      <c r="BR26" s="83"/>
      <c r="BS26" s="83"/>
      <c r="BT26" s="83"/>
      <c r="BU26" s="117"/>
      <c r="BV26" s="80"/>
      <c r="BW26" s="83">
        <f>BW24/BV24-1</f>
        <v>9.8213278164378526E-2</v>
      </c>
      <c r="BX26" s="83">
        <f>BX24/BW24-1</f>
        <v>3.2881216605014307E-2</v>
      </c>
      <c r="BY26" s="83">
        <f>BY24/BX24-1</f>
        <v>0.14680588937524863</v>
      </c>
      <c r="BZ26" s="83">
        <f>BZ24/BY24-1</f>
        <v>7.5558090753424567E-2</v>
      </c>
      <c r="CA26" s="117">
        <f>CA24/BZ24-1</f>
        <v>6.7770862666540532E-2</v>
      </c>
      <c r="CB26" s="109"/>
      <c r="CC26" s="684"/>
      <c r="CD26" s="684"/>
      <c r="CE26" s="684"/>
      <c r="CF26" s="684"/>
      <c r="CG26" s="684"/>
      <c r="CH26" s="817"/>
      <c r="CI26" s="796"/>
      <c r="CJ26" s="81"/>
      <c r="CK26" s="81"/>
      <c r="CL26" s="81"/>
      <c r="CM26" s="81"/>
      <c r="CN26" s="81" t="e">
        <f>CN24/CM24-1</f>
        <v>#DIV/0!</v>
      </c>
      <c r="CO26" s="81">
        <f>CO24/CN24-1</f>
        <v>2.581551775845079</v>
      </c>
      <c r="CP26" s="83">
        <f>CP24/CO24-1</f>
        <v>0.29345550677655896</v>
      </c>
      <c r="CQ26" s="83">
        <f>CQ24/CP24-1</f>
        <v>-0.15967515245678765</v>
      </c>
      <c r="CR26" s="81"/>
      <c r="CS26" s="81"/>
      <c r="CT26" s="806"/>
    </row>
    <row r="27" spans="1:101" ht="14.25" hidden="1" customHeight="1" outlineLevel="1">
      <c r="A27" s="684"/>
      <c r="B27" s="144" t="s">
        <v>444</v>
      </c>
      <c r="C27" s="79"/>
      <c r="D27" s="80"/>
      <c r="E27" s="80"/>
      <c r="F27" s="80"/>
      <c r="G27" s="41"/>
      <c r="H27" s="80"/>
      <c r="I27" s="80"/>
      <c r="J27" s="80"/>
      <c r="K27" s="41"/>
      <c r="L27" s="80"/>
      <c r="M27" s="80"/>
      <c r="N27" s="80"/>
      <c r="O27" s="41"/>
      <c r="P27" s="80"/>
      <c r="Q27" s="80"/>
      <c r="R27" s="80"/>
      <c r="S27" s="41"/>
      <c r="T27" s="80"/>
      <c r="U27" s="80"/>
      <c r="V27" s="80"/>
      <c r="W27" s="41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639"/>
      <c r="AO27" s="639"/>
      <c r="AP27" s="80"/>
      <c r="AQ27" s="41"/>
      <c r="AR27" s="690">
        <v>0.17</v>
      </c>
      <c r="AS27" s="690">
        <v>0.08</v>
      </c>
      <c r="AT27" s="690">
        <v>0.11</v>
      </c>
      <c r="AU27" s="691">
        <v>0.15</v>
      </c>
      <c r="AV27" s="690">
        <v>0.09</v>
      </c>
      <c r="AW27" s="690">
        <v>7.0000000000000007E-2</v>
      </c>
      <c r="AX27" s="690">
        <v>0.08</v>
      </c>
      <c r="AY27" s="691">
        <v>0.14000000000000001</v>
      </c>
      <c r="AZ27" s="690">
        <v>0.13</v>
      </c>
      <c r="BA27" s="80"/>
      <c r="BB27" s="80"/>
      <c r="BC27" s="41"/>
      <c r="BD27" s="80"/>
      <c r="BE27" s="80"/>
      <c r="BF27" s="80"/>
      <c r="BG27" s="41"/>
      <c r="BH27" s="80"/>
      <c r="BI27" s="80"/>
      <c r="BJ27" s="80"/>
      <c r="BK27" s="41"/>
      <c r="BL27" s="36"/>
      <c r="BM27" s="81"/>
      <c r="BN27" s="81"/>
      <c r="BO27" s="81"/>
      <c r="BP27" s="81"/>
      <c r="BQ27" s="81"/>
      <c r="BR27" s="83"/>
      <c r="BS27" s="83"/>
      <c r="BT27" s="83"/>
      <c r="BU27" s="117"/>
      <c r="BV27" s="690">
        <v>0.13</v>
      </c>
      <c r="BW27" s="83"/>
      <c r="BX27" s="83"/>
      <c r="BY27" s="83"/>
      <c r="BZ27" s="83"/>
      <c r="CA27" s="115"/>
      <c r="CB27" s="109"/>
      <c r="CC27" s="684"/>
      <c r="CD27" s="684"/>
      <c r="CE27" s="684"/>
      <c r="CF27" s="684"/>
      <c r="CG27" s="684"/>
      <c r="CH27" s="817"/>
      <c r="CI27" s="796"/>
      <c r="CJ27" s="81"/>
      <c r="CK27" s="81"/>
      <c r="CL27" s="81"/>
      <c r="CM27" s="81"/>
      <c r="CN27" s="81"/>
      <c r="CO27" s="81"/>
      <c r="CP27" s="83"/>
      <c r="CQ27" s="83"/>
      <c r="CR27" s="81"/>
      <c r="CS27" s="81"/>
      <c r="CT27" s="806"/>
    </row>
    <row r="28" spans="1:101" ht="7.5" hidden="1" customHeight="1" outlineLevel="1">
      <c r="A28" s="684"/>
      <c r="B28" s="144"/>
      <c r="C28" s="79"/>
      <c r="D28" s="80"/>
      <c r="E28" s="80"/>
      <c r="F28" s="80"/>
      <c r="G28" s="41"/>
      <c r="H28" s="80"/>
      <c r="I28" s="80"/>
      <c r="J28" s="80"/>
      <c r="K28" s="41"/>
      <c r="L28" s="80"/>
      <c r="M28" s="80"/>
      <c r="N28" s="80"/>
      <c r="O28" s="41"/>
      <c r="P28" s="80"/>
      <c r="Q28" s="80"/>
      <c r="R28" s="80"/>
      <c r="S28" s="41"/>
      <c r="T28" s="80"/>
      <c r="U28" s="80"/>
      <c r="V28" s="80"/>
      <c r="W28" s="41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41"/>
      <c r="AR28" s="80"/>
      <c r="AS28" s="80"/>
      <c r="AT28" s="80"/>
      <c r="AU28" s="41"/>
      <c r="AV28" s="80"/>
      <c r="AW28" s="80"/>
      <c r="AX28" s="80"/>
      <c r="AY28" s="41"/>
      <c r="AZ28" s="80"/>
      <c r="BA28" s="80"/>
      <c r="BB28" s="80"/>
      <c r="BC28" s="41"/>
      <c r="BD28" s="80"/>
      <c r="BE28" s="80"/>
      <c r="BF28" s="80"/>
      <c r="BG28" s="41"/>
      <c r="BH28" s="80"/>
      <c r="BI28" s="80"/>
      <c r="BJ28" s="80"/>
      <c r="BK28" s="41"/>
      <c r="BL28" s="36"/>
      <c r="BM28" s="81"/>
      <c r="BN28" s="81"/>
      <c r="BO28" s="81"/>
      <c r="BP28" s="81"/>
      <c r="BQ28" s="81"/>
      <c r="BR28" s="83"/>
      <c r="BS28" s="83"/>
      <c r="BT28" s="83"/>
      <c r="BU28" s="117"/>
      <c r="BV28" s="83"/>
      <c r="BW28" s="83"/>
      <c r="BX28" s="83"/>
      <c r="BY28" s="83"/>
      <c r="BZ28" s="83"/>
      <c r="CA28" s="115"/>
      <c r="CB28" s="109"/>
      <c r="CC28" s="684"/>
      <c r="CD28" s="684"/>
      <c r="CE28" s="684"/>
      <c r="CF28" s="684"/>
      <c r="CG28" s="684"/>
      <c r="CH28" s="817"/>
      <c r="CI28" s="796"/>
      <c r="CJ28" s="81"/>
      <c r="CK28" s="81"/>
      <c r="CL28" s="81"/>
      <c r="CM28" s="81"/>
      <c r="CN28" s="81"/>
      <c r="CO28" s="81"/>
      <c r="CP28" s="83"/>
      <c r="CQ28" s="83"/>
      <c r="CR28" s="81"/>
      <c r="CS28" s="81"/>
      <c r="CT28" s="806"/>
    </row>
    <row r="29" spans="1:101" ht="14.25" hidden="1" customHeight="1" outlineLevel="1">
      <c r="A29" s="18"/>
      <c r="B29" s="179" t="s">
        <v>424</v>
      </c>
      <c r="C29" s="79"/>
      <c r="D29" s="80"/>
      <c r="E29" s="80"/>
      <c r="F29" s="80"/>
      <c r="G29" s="41"/>
      <c r="H29" s="80"/>
      <c r="I29" s="80"/>
      <c r="J29" s="80"/>
      <c r="K29" s="41"/>
      <c r="L29" s="153"/>
      <c r="M29" s="153"/>
      <c r="N29" s="153"/>
      <c r="O29" s="154"/>
      <c r="P29" s="153"/>
      <c r="Q29" s="153"/>
      <c r="R29" s="153"/>
      <c r="S29" s="154"/>
      <c r="T29" s="153"/>
      <c r="U29" s="153"/>
      <c r="V29" s="153"/>
      <c r="W29" s="154"/>
      <c r="X29" s="153"/>
      <c r="Y29" s="153"/>
      <c r="Z29" s="153"/>
      <c r="AA29" s="154"/>
      <c r="AB29" s="153"/>
      <c r="AC29" s="153"/>
      <c r="AD29" s="153"/>
      <c r="AE29" s="154"/>
      <c r="AF29" s="153"/>
      <c r="AG29" s="153"/>
      <c r="AH29" s="153"/>
      <c r="AI29" s="154"/>
      <c r="AJ29" s="153"/>
      <c r="AK29" s="153"/>
      <c r="AL29" s="153"/>
      <c r="AM29" s="154"/>
      <c r="AN29" s="153">
        <f t="shared" ref="AN29:AV29" si="124">AN30/AN8</f>
        <v>0.9861687413554634</v>
      </c>
      <c r="AO29" s="153">
        <f t="shared" si="124"/>
        <v>1.0923076923076922</v>
      </c>
      <c r="AP29" s="153">
        <f t="shared" si="124"/>
        <v>1.2275229357798165</v>
      </c>
      <c r="AQ29" s="154">
        <f t="shared" si="124"/>
        <v>0.96653279785809909</v>
      </c>
      <c r="AR29" s="153">
        <f t="shared" si="124"/>
        <v>0.92862345229424614</v>
      </c>
      <c r="AS29" s="153">
        <f t="shared" si="124"/>
        <v>1.2388153749212349</v>
      </c>
      <c r="AT29" s="153">
        <f t="shared" si="124"/>
        <v>1.2402015677491602</v>
      </c>
      <c r="AU29" s="154">
        <f t="shared" si="124"/>
        <v>0.8617771509167842</v>
      </c>
      <c r="AV29" s="153">
        <f t="shared" si="124"/>
        <v>1.2823255813953489</v>
      </c>
      <c r="AW29" s="80"/>
      <c r="AX29" s="80"/>
      <c r="AY29" s="41"/>
      <c r="AZ29" s="80"/>
      <c r="BA29" s="80"/>
      <c r="BB29" s="80"/>
      <c r="BC29" s="41"/>
      <c r="BD29" s="80"/>
      <c r="BE29" s="80"/>
      <c r="BF29" s="80"/>
      <c r="BG29" s="41"/>
      <c r="BH29" s="80"/>
      <c r="BI29" s="80"/>
      <c r="BJ29" s="80"/>
      <c r="BK29" s="41"/>
      <c r="BL29" s="36"/>
      <c r="BM29" s="83"/>
      <c r="BN29" s="83"/>
      <c r="BO29" s="83"/>
      <c r="BP29" s="83"/>
      <c r="BQ29" s="83"/>
      <c r="BR29" s="83"/>
      <c r="BS29" s="83"/>
      <c r="BT29" s="83"/>
      <c r="BU29" s="117"/>
      <c r="BV29" s="83"/>
      <c r="BW29" s="83"/>
      <c r="BX29" s="83"/>
      <c r="BY29" s="83"/>
      <c r="BZ29" s="83"/>
      <c r="CA29" s="117"/>
      <c r="CB29" s="109"/>
      <c r="CC29" s="18"/>
      <c r="CD29" s="18"/>
      <c r="CE29" s="18"/>
      <c r="CF29" s="18"/>
      <c r="CG29" s="18"/>
      <c r="CH29" s="817"/>
      <c r="CI29" s="798"/>
      <c r="CJ29" s="83"/>
      <c r="CK29" s="156"/>
      <c r="CL29" s="156"/>
      <c r="CM29" s="156"/>
      <c r="CN29" s="156"/>
      <c r="CO29" s="156"/>
      <c r="CP29" s="156"/>
      <c r="CQ29" s="156"/>
      <c r="CR29" s="83"/>
      <c r="CS29" s="83"/>
      <c r="CT29" s="806"/>
    </row>
    <row r="30" spans="1:101" ht="14.25" hidden="1" customHeight="1" outlineLevel="1">
      <c r="A30" s="18"/>
      <c r="B30" s="143" t="str">
        <f>B8&amp;" orders"</f>
        <v>Semiconductor Systems orders</v>
      </c>
      <c r="C30" s="26"/>
      <c r="D30" s="28"/>
      <c r="E30" s="28"/>
      <c r="F30" s="28"/>
      <c r="G30" s="35"/>
      <c r="H30" s="149"/>
      <c r="I30" s="149"/>
      <c r="J30" s="149"/>
      <c r="K30" s="150"/>
      <c r="L30" s="161"/>
      <c r="M30" s="161"/>
      <c r="N30" s="161"/>
      <c r="O30" s="162"/>
      <c r="P30" s="161"/>
      <c r="Q30" s="161"/>
      <c r="R30" s="161"/>
      <c r="S30" s="162"/>
      <c r="T30" s="161"/>
      <c r="U30" s="161"/>
      <c r="V30" s="161"/>
      <c r="W30" s="162"/>
      <c r="X30" s="161"/>
      <c r="Y30" s="161"/>
      <c r="Z30" s="161"/>
      <c r="AA30" s="162"/>
      <c r="AB30" s="161"/>
      <c r="AC30" s="161"/>
      <c r="AD30" s="161"/>
      <c r="AE30" s="162"/>
      <c r="AF30" s="161"/>
      <c r="AG30" s="161"/>
      <c r="AH30" s="161"/>
      <c r="AI30" s="162"/>
      <c r="AJ30" s="161"/>
      <c r="AK30" s="161"/>
      <c r="AL30" s="161"/>
      <c r="AM30" s="162"/>
      <c r="AN30" s="161">
        <v>1426</v>
      </c>
      <c r="AO30" s="161">
        <v>1704</v>
      </c>
      <c r="AP30" s="161">
        <v>2007</v>
      </c>
      <c r="AQ30" s="162">
        <v>1444</v>
      </c>
      <c r="AR30" s="161">
        <v>1275</v>
      </c>
      <c r="AS30" s="161">
        <v>1966</v>
      </c>
      <c r="AT30" s="161">
        <v>2215</v>
      </c>
      <c r="AU30" s="162">
        <v>1833</v>
      </c>
      <c r="AV30" s="161">
        <v>2757</v>
      </c>
      <c r="AW30" s="80"/>
      <c r="AX30" s="80"/>
      <c r="AY30" s="41"/>
      <c r="AZ30" s="80"/>
      <c r="BA30" s="80"/>
      <c r="BB30" s="80"/>
      <c r="BC30" s="41"/>
      <c r="BD30" s="80"/>
      <c r="BE30" s="80"/>
      <c r="BF30" s="80"/>
      <c r="BG30" s="41"/>
      <c r="BH30" s="80"/>
      <c r="BI30" s="80"/>
      <c r="BJ30" s="80"/>
      <c r="BK30" s="41"/>
      <c r="BL30" s="36"/>
      <c r="BM30" s="34"/>
      <c r="BN30" s="34"/>
      <c r="BO30" s="34"/>
      <c r="BP30" s="34"/>
      <c r="BQ30" s="34"/>
      <c r="BR30" s="34"/>
      <c r="BS30" s="34"/>
      <c r="BT30" s="34"/>
      <c r="BU30" s="114">
        <v>6132</v>
      </c>
      <c r="BV30" s="34">
        <f>SUM(AN30:AQ30)</f>
        <v>6581</v>
      </c>
      <c r="BW30" s="34">
        <f>SUM(AR30:AU30)</f>
        <v>7289</v>
      </c>
      <c r="BX30" s="34"/>
      <c r="BY30" s="34"/>
      <c r="BZ30" s="34"/>
      <c r="CA30" s="114"/>
      <c r="CB30" s="109"/>
      <c r="CC30" s="18"/>
      <c r="CD30" s="18"/>
      <c r="CE30" s="18"/>
      <c r="CF30" s="18"/>
      <c r="CG30" s="18"/>
      <c r="CH30" s="817"/>
      <c r="CI30" s="795">
        <f>SUM(U30:X30)</f>
        <v>0</v>
      </c>
      <c r="CJ30" s="34">
        <f>SUM(Y30:AB30)</f>
        <v>0</v>
      </c>
      <c r="CK30" s="34">
        <f>SUM(AC30:AF30)</f>
        <v>0</v>
      </c>
      <c r="CL30" s="34">
        <f>SUM(AG30:AJ30)</f>
        <v>0</v>
      </c>
      <c r="CM30" s="34">
        <f>SUM(AK30:AN30)</f>
        <v>1426</v>
      </c>
      <c r="CN30" s="34">
        <f>SUM(AO30:AR30)</f>
        <v>6430</v>
      </c>
      <c r="CO30" s="34">
        <f>SUM(AS30:AV30)</f>
        <v>8771</v>
      </c>
      <c r="CP30" s="34">
        <f>SUM(AW30:AZ30)</f>
        <v>0</v>
      </c>
      <c r="CQ30" s="34">
        <f>SUM(BA30:BD30)</f>
        <v>0</v>
      </c>
      <c r="CR30" s="34"/>
      <c r="CS30" s="34"/>
      <c r="CT30" s="806"/>
    </row>
    <row r="31" spans="1:101" ht="14.25" hidden="1" customHeight="1" outlineLevel="1">
      <c r="A31" s="18"/>
      <c r="B31" s="179" t="s">
        <v>186</v>
      </c>
      <c r="C31" s="79"/>
      <c r="D31" s="80"/>
      <c r="E31" s="80"/>
      <c r="F31" s="80"/>
      <c r="G31" s="41"/>
      <c r="H31" s="80"/>
      <c r="I31" s="80"/>
      <c r="J31" s="80"/>
      <c r="K31" s="41"/>
      <c r="L31" s="80"/>
      <c r="M31" s="80"/>
      <c r="N31" s="80"/>
      <c r="O31" s="41"/>
      <c r="P31" s="80"/>
      <c r="Q31" s="80"/>
      <c r="R31" s="80"/>
      <c r="S31" s="41"/>
      <c r="T31" s="80"/>
      <c r="U31" s="80"/>
      <c r="V31" s="80"/>
      <c r="W31" s="41"/>
      <c r="X31" s="80"/>
      <c r="Y31" s="80"/>
      <c r="Z31" s="80"/>
      <c r="AA31" s="41"/>
      <c r="AB31" s="80"/>
      <c r="AC31" s="80"/>
      <c r="AD31" s="80"/>
      <c r="AE31" s="41"/>
      <c r="AF31" s="80"/>
      <c r="AG31" s="80"/>
      <c r="AH31" s="80"/>
      <c r="AI31" s="41"/>
      <c r="AJ31" s="80"/>
      <c r="AK31" s="80"/>
      <c r="AL31" s="80"/>
      <c r="AM31" s="41"/>
      <c r="AN31" s="80"/>
      <c r="AO31" s="80">
        <f t="shared" ref="AO31:AV31" si="125">AO30/AN30-1</f>
        <v>0.19495091164095379</v>
      </c>
      <c r="AP31" s="80">
        <f t="shared" si="125"/>
        <v>0.17781690140845074</v>
      </c>
      <c r="AQ31" s="41">
        <f t="shared" si="125"/>
        <v>-0.28051818634778281</v>
      </c>
      <c r="AR31" s="80">
        <f t="shared" si="125"/>
        <v>-0.11703601108033246</v>
      </c>
      <c r="AS31" s="80">
        <f t="shared" si="125"/>
        <v>0.54196078431372552</v>
      </c>
      <c r="AT31" s="80">
        <f t="shared" si="125"/>
        <v>0.12665310274669372</v>
      </c>
      <c r="AU31" s="41">
        <f t="shared" si="125"/>
        <v>-0.17246049661399554</v>
      </c>
      <c r="AV31" s="80">
        <f t="shared" si="125"/>
        <v>0.50409165302782322</v>
      </c>
      <c r="AW31" s="80"/>
      <c r="AX31" s="80"/>
      <c r="AY31" s="41"/>
      <c r="AZ31" s="80"/>
      <c r="BA31" s="80"/>
      <c r="BB31" s="80"/>
      <c r="BC31" s="41"/>
      <c r="BD31" s="80"/>
      <c r="BE31" s="80"/>
      <c r="BF31" s="80"/>
      <c r="BG31" s="41"/>
      <c r="BH31" s="80"/>
      <c r="BI31" s="80"/>
      <c r="BJ31" s="80"/>
      <c r="BK31" s="41"/>
      <c r="BL31" s="36"/>
      <c r="BM31" s="81"/>
      <c r="BN31" s="81"/>
      <c r="BO31" s="81"/>
      <c r="BP31" s="81"/>
      <c r="BQ31" s="81"/>
      <c r="BR31" s="81"/>
      <c r="BS31" s="81"/>
      <c r="BT31" s="81"/>
      <c r="BU31" s="115"/>
      <c r="BV31" s="81"/>
      <c r="BW31" s="83">
        <f>BW30/BV30-1</f>
        <v>0.10758243428050451</v>
      </c>
      <c r="BX31" s="83"/>
      <c r="BY31" s="83"/>
      <c r="BZ31" s="83"/>
      <c r="CA31" s="115"/>
      <c r="CB31" s="109"/>
      <c r="CC31" s="18"/>
      <c r="CD31" s="18"/>
      <c r="CE31" s="18"/>
      <c r="CF31" s="18"/>
      <c r="CG31" s="18"/>
      <c r="CH31" s="817"/>
      <c r="CI31" s="796"/>
      <c r="CJ31" s="81"/>
      <c r="CK31" s="81"/>
      <c r="CL31" s="81"/>
      <c r="CM31" s="81"/>
      <c r="CN31" s="81"/>
      <c r="CO31" s="81"/>
      <c r="CP31" s="81"/>
      <c r="CQ31" s="81"/>
      <c r="CR31" s="81"/>
      <c r="CS31" s="81"/>
      <c r="CT31" s="806"/>
    </row>
    <row r="32" spans="1:101" ht="14.25" hidden="1" customHeight="1" outlineLevel="1">
      <c r="A32" s="18"/>
      <c r="B32" s="144" t="s">
        <v>227</v>
      </c>
      <c r="C32" s="26"/>
      <c r="D32" s="28"/>
      <c r="E32" s="28"/>
      <c r="F32" s="28"/>
      <c r="G32" s="35"/>
      <c r="H32" s="149"/>
      <c r="I32" s="149"/>
      <c r="J32" s="149"/>
      <c r="K32" s="150"/>
      <c r="L32" s="149"/>
      <c r="M32" s="149"/>
      <c r="N32" s="149"/>
      <c r="O32" s="150"/>
      <c r="P32" s="149"/>
      <c r="Q32" s="149"/>
      <c r="R32" s="149"/>
      <c r="S32" s="150"/>
      <c r="T32" s="161"/>
      <c r="U32" s="161"/>
      <c r="V32" s="161"/>
      <c r="W32" s="162"/>
      <c r="X32" s="161"/>
      <c r="Y32" s="161"/>
      <c r="Z32" s="161"/>
      <c r="AA32" s="162"/>
      <c r="AB32" s="161"/>
      <c r="AC32" s="161"/>
      <c r="AD32" s="161"/>
      <c r="AE32" s="162"/>
      <c r="AF32" s="161"/>
      <c r="AG32" s="161"/>
      <c r="AH32" s="161"/>
      <c r="AI32" s="162"/>
      <c r="AJ32" s="161"/>
      <c r="AK32" s="161"/>
      <c r="AL32" s="161"/>
      <c r="AM32" s="162"/>
      <c r="AN32" s="161">
        <v>484.84000000000003</v>
      </c>
      <c r="AO32" s="161">
        <v>613.43999999999994</v>
      </c>
      <c r="AP32" s="161">
        <v>642.24</v>
      </c>
      <c r="AQ32" s="162">
        <v>505.4</v>
      </c>
      <c r="AR32" s="161">
        <v>484.5</v>
      </c>
      <c r="AS32" s="161">
        <v>452.18</v>
      </c>
      <c r="AT32" s="161">
        <f>2215*0.57</f>
        <v>1262.55</v>
      </c>
      <c r="AU32" s="162">
        <f>AU30*0.64</f>
        <v>1173.1200000000001</v>
      </c>
      <c r="AV32" s="161">
        <f>41%*AV30</f>
        <v>1130.3699999999999</v>
      </c>
      <c r="AW32" s="80"/>
      <c r="AX32" s="80"/>
      <c r="AY32" s="41"/>
      <c r="AZ32" s="80"/>
      <c r="BA32" s="80"/>
      <c r="BB32" s="80"/>
      <c r="BC32" s="41"/>
      <c r="BD32" s="80"/>
      <c r="BE32" s="80"/>
      <c r="BF32" s="80"/>
      <c r="BG32" s="41"/>
      <c r="BH32" s="80"/>
      <c r="BI32" s="80"/>
      <c r="BJ32" s="80"/>
      <c r="BK32" s="41"/>
      <c r="BL32" s="36"/>
      <c r="BM32" s="34"/>
      <c r="BN32" s="34"/>
      <c r="BO32" s="34"/>
      <c r="BP32" s="34"/>
      <c r="BQ32" s="34"/>
      <c r="BR32" s="34"/>
      <c r="BS32" s="34"/>
      <c r="BT32" s="34"/>
      <c r="BU32" s="114"/>
      <c r="BV32" s="34">
        <f>SUM(AN32:AQ32)</f>
        <v>2245.92</v>
      </c>
      <c r="BW32" s="34">
        <f>SUM(AR32:AU32)</f>
        <v>3372.3500000000004</v>
      </c>
      <c r="BX32" s="34"/>
      <c r="BY32" s="34"/>
      <c r="BZ32" s="34"/>
      <c r="CA32" s="114"/>
      <c r="CB32" s="109"/>
      <c r="CC32" s="18"/>
      <c r="CD32" s="18"/>
      <c r="CE32" s="18"/>
      <c r="CF32" s="18"/>
      <c r="CG32" s="18"/>
      <c r="CH32" s="817"/>
      <c r="CI32" s="795">
        <f>SUM(U32:X32)</f>
        <v>0</v>
      </c>
      <c r="CJ32" s="34">
        <f>SUM(Y32:AB32)</f>
        <v>0</v>
      </c>
      <c r="CK32" s="34">
        <f>SUM(AC32:AF32)</f>
        <v>0</v>
      </c>
      <c r="CL32" s="34">
        <f>SUM(AG32:AJ32)</f>
        <v>0</v>
      </c>
      <c r="CM32" s="34">
        <f>SUM(AK32:AN32)</f>
        <v>484.84000000000003</v>
      </c>
      <c r="CN32" s="34">
        <f>SUM(AO32:AR32)</f>
        <v>2245.58</v>
      </c>
      <c r="CO32" s="34">
        <f>SUM(AS32:AV32)</f>
        <v>4018.2200000000003</v>
      </c>
      <c r="CP32" s="34">
        <f>SUM(AW32:AZ32)</f>
        <v>0</v>
      </c>
      <c r="CQ32" s="34">
        <f>SUM(BA32:BD32)</f>
        <v>0</v>
      </c>
      <c r="CR32" s="34"/>
      <c r="CS32" s="34"/>
      <c r="CT32" s="806"/>
    </row>
    <row r="33" spans="1:99" ht="14.25" hidden="1" customHeight="1" outlineLevel="1">
      <c r="A33" s="18"/>
      <c r="B33" s="144" t="s">
        <v>186</v>
      </c>
      <c r="C33" s="79"/>
      <c r="D33" s="80"/>
      <c r="E33" s="80"/>
      <c r="F33" s="80"/>
      <c r="G33" s="41"/>
      <c r="H33" s="80"/>
      <c r="I33" s="80"/>
      <c r="J33" s="80"/>
      <c r="K33" s="41"/>
      <c r="L33" s="80"/>
      <c r="M33" s="80"/>
      <c r="N33" s="80"/>
      <c r="O33" s="41"/>
      <c r="P33" s="80"/>
      <c r="Q33" s="80"/>
      <c r="R33" s="80"/>
      <c r="S33" s="41"/>
      <c r="T33" s="80"/>
      <c r="U33" s="80"/>
      <c r="V33" s="80"/>
      <c r="W33" s="41"/>
      <c r="X33" s="80"/>
      <c r="Y33" s="80"/>
      <c r="Z33" s="80"/>
      <c r="AA33" s="41"/>
      <c r="AB33" s="80"/>
      <c r="AC33" s="80"/>
      <c r="AD33" s="80"/>
      <c r="AE33" s="41"/>
      <c r="AF33" s="80"/>
      <c r="AG33" s="80"/>
      <c r="AH33" s="80"/>
      <c r="AI33" s="41"/>
      <c r="AJ33" s="80"/>
      <c r="AK33" s="80"/>
      <c r="AL33" s="80"/>
      <c r="AM33" s="41"/>
      <c r="AN33" s="80"/>
      <c r="AO33" s="80">
        <f t="shared" ref="AO33:AV33" si="126">AO32/AN32-1</f>
        <v>0.26524214173748017</v>
      </c>
      <c r="AP33" s="80">
        <f t="shared" si="126"/>
        <v>4.6948356807511749E-2</v>
      </c>
      <c r="AQ33" s="41">
        <f t="shared" si="126"/>
        <v>-0.21306676631788746</v>
      </c>
      <c r="AR33" s="80">
        <f t="shared" si="126"/>
        <v>-4.1353383458646586E-2</v>
      </c>
      <c r="AS33" s="80">
        <f t="shared" si="126"/>
        <v>-6.6707946336429291E-2</v>
      </c>
      <c r="AT33" s="80">
        <f t="shared" si="126"/>
        <v>1.7921402981113714</v>
      </c>
      <c r="AU33" s="41">
        <f t="shared" si="126"/>
        <v>-7.0832838303433454E-2</v>
      </c>
      <c r="AV33" s="80">
        <f t="shared" si="126"/>
        <v>-3.6441284779050953E-2</v>
      </c>
      <c r="AW33" s="80"/>
      <c r="AX33" s="80"/>
      <c r="AY33" s="41"/>
      <c r="AZ33" s="80"/>
      <c r="BA33" s="80"/>
      <c r="BB33" s="80"/>
      <c r="BC33" s="41"/>
      <c r="BD33" s="80"/>
      <c r="BE33" s="80"/>
      <c r="BF33" s="80"/>
      <c r="BG33" s="41"/>
      <c r="BH33" s="80"/>
      <c r="BI33" s="80"/>
      <c r="BJ33" s="80"/>
      <c r="BK33" s="41"/>
      <c r="BL33" s="36"/>
      <c r="BM33" s="81"/>
      <c r="BN33" s="81"/>
      <c r="BO33" s="81"/>
      <c r="BP33" s="81"/>
      <c r="BQ33" s="81"/>
      <c r="BR33" s="81"/>
      <c r="BS33" s="81"/>
      <c r="BT33" s="81"/>
      <c r="BU33" s="115"/>
      <c r="BV33" s="81"/>
      <c r="BW33" s="81">
        <f>BW32/BW30</f>
        <v>0.46266291672383048</v>
      </c>
      <c r="BX33" s="81"/>
      <c r="BY33" s="81"/>
      <c r="BZ33" s="81"/>
      <c r="CA33" s="115"/>
      <c r="CB33" s="109"/>
      <c r="CC33" s="18"/>
      <c r="CD33" s="18"/>
      <c r="CE33" s="18"/>
      <c r="CF33" s="18"/>
      <c r="CG33" s="18"/>
      <c r="CH33" s="817"/>
      <c r="CI33" s="796"/>
      <c r="CJ33" s="81"/>
      <c r="CK33" s="81"/>
      <c r="CL33" s="81"/>
      <c r="CM33" s="81"/>
      <c r="CN33" s="81"/>
      <c r="CO33" s="81"/>
      <c r="CP33" s="81"/>
      <c r="CQ33" s="81"/>
      <c r="CR33" s="81"/>
      <c r="CS33" s="81"/>
      <c r="CT33" s="806"/>
    </row>
    <row r="34" spans="1:99" ht="14.25" hidden="1" customHeight="1" outlineLevel="1">
      <c r="A34" s="18"/>
      <c r="B34" s="144" t="s">
        <v>187</v>
      </c>
      <c r="C34" s="79"/>
      <c r="D34" s="80"/>
      <c r="E34" s="80"/>
      <c r="F34" s="80"/>
      <c r="G34" s="41"/>
      <c r="H34" s="80"/>
      <c r="I34" s="80"/>
      <c r="J34" s="80"/>
      <c r="K34" s="41"/>
      <c r="L34" s="80"/>
      <c r="M34" s="80"/>
      <c r="N34" s="80"/>
      <c r="O34" s="41"/>
      <c r="P34" s="80"/>
      <c r="Q34" s="80"/>
      <c r="R34" s="80"/>
      <c r="S34" s="41"/>
      <c r="T34" s="80"/>
      <c r="U34" s="80"/>
      <c r="V34" s="80"/>
      <c r="W34" s="41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639">
        <f>AVERAGE(AN32:AS32)</f>
        <v>530.43333333333328</v>
      </c>
      <c r="AO34" s="639">
        <f>AVERAGE(AN32:AT32)</f>
        <v>635.02142857142849</v>
      </c>
      <c r="AP34" s="80"/>
      <c r="AQ34" s="41"/>
      <c r="AR34" s="80">
        <f t="shared" ref="AR34:AV34" si="127">AR32/AN32-1</f>
        <v>-7.0126227208977543E-4</v>
      </c>
      <c r="AS34" s="80">
        <f t="shared" si="127"/>
        <v>-0.2628781950965049</v>
      </c>
      <c r="AT34" s="80">
        <f t="shared" si="127"/>
        <v>0.96585388639760827</v>
      </c>
      <c r="AU34" s="41">
        <f>AU32/AQ32-1</f>
        <v>1.3211713494261974</v>
      </c>
      <c r="AV34" s="80">
        <f t="shared" si="127"/>
        <v>1.333065015479876</v>
      </c>
      <c r="AW34" s="80"/>
      <c r="AX34" s="80"/>
      <c r="AY34" s="41"/>
      <c r="AZ34" s="80"/>
      <c r="BA34" s="80"/>
      <c r="BB34" s="80"/>
      <c r="BC34" s="41"/>
      <c r="BD34" s="80"/>
      <c r="BE34" s="80"/>
      <c r="BF34" s="80"/>
      <c r="BG34" s="41"/>
      <c r="BH34" s="80"/>
      <c r="BI34" s="80"/>
      <c r="BJ34" s="80"/>
      <c r="BK34" s="41"/>
      <c r="BL34" s="36"/>
      <c r="BM34" s="81"/>
      <c r="BN34" s="81"/>
      <c r="BO34" s="81"/>
      <c r="BP34" s="81"/>
      <c r="BQ34" s="81"/>
      <c r="BR34" s="83"/>
      <c r="BS34" s="83"/>
      <c r="BT34" s="83"/>
      <c r="BU34" s="117"/>
      <c r="BV34" s="83"/>
      <c r="BW34" s="83">
        <f>BW32/BV32-1</f>
        <v>0.50154502386549837</v>
      </c>
      <c r="BX34" s="83"/>
      <c r="BY34" s="83"/>
      <c r="BZ34" s="83"/>
      <c r="CA34" s="115"/>
      <c r="CB34" s="109"/>
      <c r="CC34" s="18"/>
      <c r="CD34" s="18"/>
      <c r="CE34" s="18"/>
      <c r="CF34" s="18"/>
      <c r="CG34" s="18"/>
      <c r="CH34" s="817"/>
      <c r="CI34" s="796"/>
      <c r="CJ34" s="81"/>
      <c r="CK34" s="81"/>
      <c r="CL34" s="81"/>
      <c r="CM34" s="81"/>
      <c r="CN34" s="81">
        <f>CN32/CM32-1</f>
        <v>3.6315898028215488</v>
      </c>
      <c r="CO34" s="81">
        <f>CO32/CN32-1</f>
        <v>0.78939071420301232</v>
      </c>
      <c r="CP34" s="83">
        <f>CP32/CO32-1</f>
        <v>-1</v>
      </c>
      <c r="CQ34" s="83" t="e">
        <f>CQ32/CP32-1</f>
        <v>#DIV/0!</v>
      </c>
      <c r="CR34" s="81"/>
      <c r="CS34" s="81"/>
      <c r="CT34" s="806"/>
    </row>
    <row r="35" spans="1:99" ht="14.25" hidden="1" customHeight="1" outlineLevel="1">
      <c r="A35" s="18"/>
      <c r="B35" s="144" t="s">
        <v>228</v>
      </c>
      <c r="C35" s="26"/>
      <c r="D35" s="28"/>
      <c r="E35" s="28"/>
      <c r="F35" s="28"/>
      <c r="G35" s="35"/>
      <c r="H35" s="149"/>
      <c r="I35" s="149"/>
      <c r="J35" s="149"/>
      <c r="K35" s="150"/>
      <c r="L35" s="149"/>
      <c r="M35" s="149"/>
      <c r="N35" s="149"/>
      <c r="O35" s="150"/>
      <c r="P35" s="149"/>
      <c r="Q35" s="149"/>
      <c r="R35" s="149"/>
      <c r="S35" s="150"/>
      <c r="T35" s="161"/>
      <c r="U35" s="161"/>
      <c r="V35" s="161"/>
      <c r="W35" s="162"/>
      <c r="X35" s="161"/>
      <c r="Y35" s="161"/>
      <c r="Z35" s="161"/>
      <c r="AA35" s="162"/>
      <c r="AB35" s="161"/>
      <c r="AC35" s="161"/>
      <c r="AD35" s="161"/>
      <c r="AE35" s="162"/>
      <c r="AF35" s="161"/>
      <c r="AG35" s="161"/>
      <c r="AH35" s="161"/>
      <c r="AI35" s="162"/>
      <c r="AJ35" s="161"/>
      <c r="AK35" s="161"/>
      <c r="AL35" s="161"/>
      <c r="AM35" s="162"/>
      <c r="AN35" s="161">
        <v>484.84000000000003</v>
      </c>
      <c r="AO35" s="161">
        <v>528.24</v>
      </c>
      <c r="AP35" s="161">
        <v>361.26</v>
      </c>
      <c r="AQ35" s="162">
        <v>303.24</v>
      </c>
      <c r="AR35" s="161">
        <v>369.75</v>
      </c>
      <c r="AS35" s="161">
        <v>334.22</v>
      </c>
      <c r="AT35" s="161">
        <f>2215*0.14</f>
        <v>310.10000000000002</v>
      </c>
      <c r="AU35" s="162">
        <f>AU30*0.1</f>
        <v>183.3</v>
      </c>
      <c r="AV35" s="161">
        <f>+AV30*14%</f>
        <v>385.98</v>
      </c>
      <c r="AW35" s="80"/>
      <c r="AX35" s="80"/>
      <c r="AY35" s="41"/>
      <c r="AZ35" s="80"/>
      <c r="BA35" s="80"/>
      <c r="BB35" s="80"/>
      <c r="BC35" s="41"/>
      <c r="BD35" s="80"/>
      <c r="BE35" s="80"/>
      <c r="BF35" s="80"/>
      <c r="BG35" s="41"/>
      <c r="BH35" s="80"/>
      <c r="BI35" s="80"/>
      <c r="BJ35" s="80"/>
      <c r="BK35" s="41"/>
      <c r="BL35" s="36"/>
      <c r="BM35" s="34"/>
      <c r="BN35" s="34"/>
      <c r="BO35" s="34"/>
      <c r="BP35" s="34"/>
      <c r="BQ35" s="34"/>
      <c r="BR35" s="34"/>
      <c r="BS35" s="34"/>
      <c r="BT35" s="34"/>
      <c r="BU35" s="114"/>
      <c r="BV35" s="34">
        <f>SUM(AN35:AQ35)</f>
        <v>1677.5800000000002</v>
      </c>
      <c r="BW35" s="34">
        <f>SUM(AR35:AU35)</f>
        <v>1197.3700000000001</v>
      </c>
      <c r="BX35" s="34"/>
      <c r="BY35" s="34"/>
      <c r="BZ35" s="34"/>
      <c r="CA35" s="114"/>
      <c r="CB35" s="109"/>
      <c r="CC35" s="18"/>
      <c r="CD35" s="18"/>
      <c r="CE35" s="18"/>
      <c r="CF35" s="18"/>
      <c r="CG35" s="18"/>
      <c r="CH35" s="817"/>
      <c r="CI35" s="795">
        <f>SUM(U35:X35)</f>
        <v>0</v>
      </c>
      <c r="CJ35" s="34">
        <f>SUM(Y35:AB35)</f>
        <v>0</v>
      </c>
      <c r="CK35" s="34">
        <f>SUM(AC35:AF35)</f>
        <v>0</v>
      </c>
      <c r="CL35" s="34">
        <f>SUM(AG35:AJ35)</f>
        <v>0</v>
      </c>
      <c r="CM35" s="34">
        <f>SUM(AK35:AN35)</f>
        <v>484.84000000000003</v>
      </c>
      <c r="CN35" s="34">
        <f>SUM(AO35:AR35)</f>
        <v>1562.49</v>
      </c>
      <c r="CO35" s="34">
        <f>SUM(AS35:AV35)</f>
        <v>1213.6000000000001</v>
      </c>
      <c r="CP35" s="34">
        <f>SUM(AW35:AZ35)</f>
        <v>0</v>
      </c>
      <c r="CQ35" s="34">
        <f>SUM(BA35:BD35)</f>
        <v>0</v>
      </c>
      <c r="CR35" s="34"/>
      <c r="CS35" s="34"/>
      <c r="CT35" s="806"/>
    </row>
    <row r="36" spans="1:99" ht="14.25" hidden="1" customHeight="1" outlineLevel="1">
      <c r="A36" s="18"/>
      <c r="B36" s="144" t="s">
        <v>186</v>
      </c>
      <c r="C36" s="79"/>
      <c r="D36" s="80"/>
      <c r="E36" s="80"/>
      <c r="F36" s="80"/>
      <c r="G36" s="41"/>
      <c r="H36" s="80"/>
      <c r="I36" s="80"/>
      <c r="J36" s="80"/>
      <c r="K36" s="41"/>
      <c r="L36" s="80"/>
      <c r="M36" s="80"/>
      <c r="N36" s="80"/>
      <c r="O36" s="41"/>
      <c r="P36" s="80"/>
      <c r="Q36" s="80"/>
      <c r="R36" s="80"/>
      <c r="S36" s="41"/>
      <c r="T36" s="80"/>
      <c r="U36" s="80"/>
      <c r="V36" s="80"/>
      <c r="W36" s="41"/>
      <c r="X36" s="80"/>
      <c r="Y36" s="80"/>
      <c r="Z36" s="80"/>
      <c r="AA36" s="41"/>
      <c r="AB36" s="80"/>
      <c r="AC36" s="80"/>
      <c r="AD36" s="80"/>
      <c r="AE36" s="41"/>
      <c r="AF36" s="80"/>
      <c r="AG36" s="80"/>
      <c r="AH36" s="80"/>
      <c r="AI36" s="41"/>
      <c r="AJ36" s="80"/>
      <c r="AK36" s="80"/>
      <c r="AL36" s="80"/>
      <c r="AM36" s="41"/>
      <c r="AN36" s="80"/>
      <c r="AO36" s="80">
        <f t="shared" ref="AO36:AV36" si="128">AO35/AN35-1</f>
        <v>8.9514066496163558E-2</v>
      </c>
      <c r="AP36" s="80">
        <f t="shared" si="128"/>
        <v>-0.31610631531122224</v>
      </c>
      <c r="AQ36" s="41">
        <f t="shared" si="128"/>
        <v>-0.16060455073907987</v>
      </c>
      <c r="AR36" s="80">
        <f t="shared" si="128"/>
        <v>0.21933122279382666</v>
      </c>
      <c r="AS36" s="80">
        <f t="shared" si="128"/>
        <v>-9.6091954022988424E-2</v>
      </c>
      <c r="AT36" s="80">
        <f t="shared" si="128"/>
        <v>-7.2168033032134482E-2</v>
      </c>
      <c r="AU36" s="41">
        <f t="shared" si="128"/>
        <v>-0.40890035472428254</v>
      </c>
      <c r="AV36" s="80">
        <f t="shared" si="128"/>
        <v>1.1057283142389527</v>
      </c>
      <c r="AW36" s="80"/>
      <c r="AX36" s="80"/>
      <c r="AY36" s="41"/>
      <c r="AZ36" s="80"/>
      <c r="BA36" s="80"/>
      <c r="BB36" s="80"/>
      <c r="BC36" s="41"/>
      <c r="BD36" s="80"/>
      <c r="BE36" s="80"/>
      <c r="BF36" s="80"/>
      <c r="BG36" s="41"/>
      <c r="BH36" s="80"/>
      <c r="BI36" s="80"/>
      <c r="BJ36" s="80"/>
      <c r="BK36" s="41"/>
      <c r="BL36" s="36"/>
      <c r="BM36" s="81"/>
      <c r="BN36" s="81"/>
      <c r="BO36" s="81"/>
      <c r="BP36" s="81"/>
      <c r="BQ36" s="81"/>
      <c r="BR36" s="81"/>
      <c r="BS36" s="81"/>
      <c r="BT36" s="81"/>
      <c r="BU36" s="115"/>
      <c r="BV36" s="81"/>
      <c r="BW36" s="81">
        <f>BW35/BW30</f>
        <v>0.16427081904239266</v>
      </c>
      <c r="BX36" s="81"/>
      <c r="BY36" s="81"/>
      <c r="BZ36" s="81"/>
      <c r="CA36" s="115"/>
      <c r="CB36" s="109"/>
      <c r="CC36" s="18"/>
      <c r="CD36" s="18"/>
      <c r="CE36" s="18"/>
      <c r="CF36" s="18"/>
      <c r="CG36" s="18"/>
      <c r="CH36" s="817"/>
      <c r="CI36" s="796"/>
      <c r="CJ36" s="81"/>
      <c r="CK36" s="81"/>
      <c r="CL36" s="81"/>
      <c r="CM36" s="81"/>
      <c r="CN36" s="81"/>
      <c r="CO36" s="81"/>
      <c r="CP36" s="81"/>
      <c r="CQ36" s="81"/>
      <c r="CR36" s="81"/>
      <c r="CS36" s="81"/>
      <c r="CT36" s="806"/>
    </row>
    <row r="37" spans="1:99" ht="14.25" hidden="1" customHeight="1" outlineLevel="1">
      <c r="A37" s="18"/>
      <c r="B37" s="144" t="s">
        <v>187</v>
      </c>
      <c r="C37" s="79"/>
      <c r="D37" s="80"/>
      <c r="E37" s="80"/>
      <c r="F37" s="80"/>
      <c r="G37" s="41"/>
      <c r="H37" s="80"/>
      <c r="I37" s="80"/>
      <c r="J37" s="80"/>
      <c r="K37" s="41"/>
      <c r="L37" s="80"/>
      <c r="M37" s="80"/>
      <c r="N37" s="80"/>
      <c r="O37" s="41"/>
      <c r="P37" s="80"/>
      <c r="Q37" s="80"/>
      <c r="R37" s="80"/>
      <c r="S37" s="41"/>
      <c r="T37" s="80"/>
      <c r="U37" s="80"/>
      <c r="V37" s="80"/>
      <c r="W37" s="41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41"/>
      <c r="AR37" s="80">
        <f t="shared" ref="AR37:AV37" si="129">AR35/AN35-1</f>
        <v>-0.23737727910238438</v>
      </c>
      <c r="AS37" s="80">
        <f t="shared" si="129"/>
        <v>-0.36729516886263813</v>
      </c>
      <c r="AT37" s="80">
        <f t="shared" si="129"/>
        <v>-0.14161545701157052</v>
      </c>
      <c r="AU37" s="41">
        <f>AU35/AQ35-1</f>
        <v>-0.39552829442026116</v>
      </c>
      <c r="AV37" s="80">
        <f t="shared" si="129"/>
        <v>4.3894523326571955E-2</v>
      </c>
      <c r="AW37" s="80"/>
      <c r="AX37" s="80"/>
      <c r="AY37" s="41"/>
      <c r="AZ37" s="80"/>
      <c r="BA37" s="80"/>
      <c r="BB37" s="80"/>
      <c r="BC37" s="41"/>
      <c r="BD37" s="80"/>
      <c r="BE37" s="80"/>
      <c r="BF37" s="80"/>
      <c r="BG37" s="41"/>
      <c r="BH37" s="80"/>
      <c r="BI37" s="80"/>
      <c r="BJ37" s="80"/>
      <c r="BK37" s="41"/>
      <c r="BL37" s="36"/>
      <c r="BM37" s="81"/>
      <c r="BN37" s="81"/>
      <c r="BO37" s="81"/>
      <c r="BP37" s="81"/>
      <c r="BQ37" s="81"/>
      <c r="BR37" s="83"/>
      <c r="BS37" s="83"/>
      <c r="BT37" s="83"/>
      <c r="BU37" s="117"/>
      <c r="BV37" s="83"/>
      <c r="BW37" s="83">
        <f>BW35/BV35-1</f>
        <v>-0.28625162436366669</v>
      </c>
      <c r="BX37" s="83"/>
      <c r="BY37" s="83"/>
      <c r="BZ37" s="83"/>
      <c r="CA37" s="115"/>
      <c r="CB37" s="109"/>
      <c r="CC37" s="18"/>
      <c r="CD37" s="18"/>
      <c r="CE37" s="18"/>
      <c r="CF37" s="18"/>
      <c r="CG37" s="18"/>
      <c r="CH37" s="817"/>
      <c r="CI37" s="796"/>
      <c r="CJ37" s="81"/>
      <c r="CK37" s="81"/>
      <c r="CL37" s="81"/>
      <c r="CM37" s="81"/>
      <c r="CN37" s="81">
        <f>CN35/CM35-1</f>
        <v>2.2226920221103867</v>
      </c>
      <c r="CO37" s="81">
        <f>CO35/CN35-1</f>
        <v>-0.22329102906258591</v>
      </c>
      <c r="CP37" s="83">
        <f>CP35/CO35-1</f>
        <v>-1</v>
      </c>
      <c r="CQ37" s="83" t="e">
        <f>CQ35/CP35-1</f>
        <v>#DIV/0!</v>
      </c>
      <c r="CR37" s="81"/>
      <c r="CS37" s="81"/>
      <c r="CT37" s="806"/>
    </row>
    <row r="38" spans="1:99" ht="14.25" hidden="1" customHeight="1" outlineLevel="1">
      <c r="A38" s="18"/>
      <c r="B38" s="144" t="s">
        <v>230</v>
      </c>
      <c r="C38" s="26"/>
      <c r="D38" s="28"/>
      <c r="E38" s="28"/>
      <c r="F38" s="28"/>
      <c r="G38" s="35"/>
      <c r="H38" s="149"/>
      <c r="I38" s="149"/>
      <c r="J38" s="149"/>
      <c r="K38" s="150"/>
      <c r="L38" s="149"/>
      <c r="M38" s="149"/>
      <c r="N38" s="149"/>
      <c r="O38" s="150"/>
      <c r="P38" s="149"/>
      <c r="Q38" s="149"/>
      <c r="R38" s="149"/>
      <c r="S38" s="150"/>
      <c r="T38" s="161"/>
      <c r="U38" s="161"/>
      <c r="V38" s="161"/>
      <c r="W38" s="162"/>
      <c r="X38" s="161"/>
      <c r="Y38" s="161"/>
      <c r="Z38" s="161"/>
      <c r="AA38" s="162"/>
      <c r="AB38" s="161"/>
      <c r="AC38" s="161"/>
      <c r="AD38" s="161"/>
      <c r="AE38" s="162"/>
      <c r="AF38" s="161"/>
      <c r="AG38" s="161"/>
      <c r="AH38" s="161"/>
      <c r="AI38" s="162"/>
      <c r="AJ38" s="161"/>
      <c r="AK38" s="161"/>
      <c r="AL38" s="161"/>
      <c r="AM38" s="162"/>
      <c r="AN38" s="161">
        <v>256.68</v>
      </c>
      <c r="AO38" s="161">
        <v>357.84</v>
      </c>
      <c r="AP38" s="161">
        <v>782.73</v>
      </c>
      <c r="AQ38" s="162">
        <v>447.64</v>
      </c>
      <c r="AR38" s="161">
        <v>280.5</v>
      </c>
      <c r="AS38" s="161">
        <v>963.34</v>
      </c>
      <c r="AT38" s="161">
        <f>2215*0.15</f>
        <v>332.25</v>
      </c>
      <c r="AU38" s="162">
        <f>AU30*0.16</f>
        <v>293.28000000000003</v>
      </c>
      <c r="AV38" s="161">
        <f>+AV30*37%</f>
        <v>1020.09</v>
      </c>
      <c r="AW38" s="80"/>
      <c r="AX38" s="80"/>
      <c r="AY38" s="41"/>
      <c r="AZ38" s="80"/>
      <c r="BA38" s="80"/>
      <c r="BB38" s="80"/>
      <c r="BC38" s="41"/>
      <c r="BD38" s="80"/>
      <c r="BE38" s="80"/>
      <c r="BF38" s="80"/>
      <c r="BG38" s="41"/>
      <c r="BH38" s="80"/>
      <c r="BI38" s="80"/>
      <c r="BJ38" s="80"/>
      <c r="BK38" s="41"/>
      <c r="BL38" s="36"/>
      <c r="BM38" s="34"/>
      <c r="BN38" s="34"/>
      <c r="BO38" s="34"/>
      <c r="BP38" s="34"/>
      <c r="BQ38" s="34"/>
      <c r="BR38" s="34"/>
      <c r="BS38" s="34"/>
      <c r="BT38" s="34"/>
      <c r="BU38" s="114"/>
      <c r="BV38" s="34">
        <f>SUM(AN38:AQ38)</f>
        <v>1844.8899999999999</v>
      </c>
      <c r="BW38" s="34">
        <f>SUM(AR38:AU38)</f>
        <v>1869.3700000000001</v>
      </c>
      <c r="BX38" s="34"/>
      <c r="BY38" s="34"/>
      <c r="BZ38" s="34"/>
      <c r="CA38" s="114"/>
      <c r="CB38" s="109"/>
      <c r="CC38" s="18"/>
      <c r="CD38" s="18"/>
      <c r="CE38" s="18"/>
      <c r="CF38" s="18"/>
      <c r="CG38" s="18"/>
      <c r="CH38" s="817"/>
      <c r="CI38" s="795">
        <f>SUM(U38:X38)</f>
        <v>0</v>
      </c>
      <c r="CJ38" s="34">
        <f>SUM(Y38:AB38)</f>
        <v>0</v>
      </c>
      <c r="CK38" s="34">
        <f>SUM(AC38:AF38)</f>
        <v>0</v>
      </c>
      <c r="CL38" s="34">
        <f>SUM(AG38:AJ38)</f>
        <v>0</v>
      </c>
      <c r="CM38" s="34">
        <f>SUM(AK38:AN38)</f>
        <v>256.68</v>
      </c>
      <c r="CN38" s="34">
        <f>SUM(AO38:AR38)</f>
        <v>1868.71</v>
      </c>
      <c r="CO38" s="34">
        <f>SUM(AS38:AV38)</f>
        <v>2608.96</v>
      </c>
      <c r="CP38" s="34">
        <f>SUM(AW38:AZ38)</f>
        <v>0</v>
      </c>
      <c r="CQ38" s="34">
        <f>SUM(BA38:BD38)</f>
        <v>0</v>
      </c>
      <c r="CR38" s="34"/>
      <c r="CS38" s="34"/>
      <c r="CT38" s="806"/>
    </row>
    <row r="39" spans="1:99" ht="14.25" hidden="1" customHeight="1" outlineLevel="1">
      <c r="A39" s="18"/>
      <c r="B39" s="144" t="s">
        <v>186</v>
      </c>
      <c r="C39" s="79"/>
      <c r="D39" s="80"/>
      <c r="E39" s="80"/>
      <c r="F39" s="80"/>
      <c r="G39" s="41"/>
      <c r="H39" s="80"/>
      <c r="I39" s="80"/>
      <c r="J39" s="80"/>
      <c r="K39" s="41"/>
      <c r="L39" s="80"/>
      <c r="M39" s="80"/>
      <c r="N39" s="80"/>
      <c r="O39" s="41"/>
      <c r="P39" s="80"/>
      <c r="Q39" s="80"/>
      <c r="R39" s="80"/>
      <c r="S39" s="41"/>
      <c r="T39" s="80"/>
      <c r="U39" s="80"/>
      <c r="V39" s="80"/>
      <c r="W39" s="41"/>
      <c r="X39" s="80"/>
      <c r="Y39" s="80"/>
      <c r="Z39" s="80"/>
      <c r="AA39" s="41"/>
      <c r="AB39" s="80"/>
      <c r="AC39" s="80"/>
      <c r="AD39" s="80"/>
      <c r="AE39" s="41"/>
      <c r="AF39" s="80"/>
      <c r="AG39" s="80"/>
      <c r="AH39" s="80"/>
      <c r="AI39" s="41"/>
      <c r="AJ39" s="80"/>
      <c r="AK39" s="80"/>
      <c r="AL39" s="80"/>
      <c r="AM39" s="41"/>
      <c r="AN39" s="80"/>
      <c r="AO39" s="80">
        <f t="shared" ref="AO39:AV39" si="130">AO38/AN38-1</f>
        <v>0.3941093969144458</v>
      </c>
      <c r="AP39" s="80">
        <f t="shared" si="130"/>
        <v>1.1873742454728373</v>
      </c>
      <c r="AQ39" s="41">
        <f t="shared" si="130"/>
        <v>-0.42810419940464783</v>
      </c>
      <c r="AR39" s="80">
        <f t="shared" si="130"/>
        <v>-0.3733803949602359</v>
      </c>
      <c r="AS39" s="80">
        <f t="shared" si="130"/>
        <v>2.4343672014260251</v>
      </c>
      <c r="AT39" s="80">
        <f t="shared" si="130"/>
        <v>-0.65510619303672635</v>
      </c>
      <c r="AU39" s="41">
        <f t="shared" si="130"/>
        <v>-0.1172911963882618</v>
      </c>
      <c r="AV39" s="80">
        <f t="shared" si="130"/>
        <v>2.4782119476268409</v>
      </c>
      <c r="AW39" s="80"/>
      <c r="AX39" s="80"/>
      <c r="AY39" s="41"/>
      <c r="AZ39" s="80"/>
      <c r="BA39" s="80"/>
      <c r="BB39" s="80"/>
      <c r="BC39" s="41"/>
      <c r="BD39" s="80"/>
      <c r="BE39" s="80"/>
      <c r="BF39" s="80"/>
      <c r="BG39" s="41"/>
      <c r="BH39" s="80"/>
      <c r="BI39" s="80"/>
      <c r="BJ39" s="80"/>
      <c r="BK39" s="41"/>
      <c r="BL39" s="36"/>
      <c r="BM39" s="81"/>
      <c r="BN39" s="81"/>
      <c r="BO39" s="81"/>
      <c r="BP39" s="81"/>
      <c r="BQ39" s="81"/>
      <c r="BR39" s="81"/>
      <c r="BS39" s="81"/>
      <c r="BT39" s="81"/>
      <c r="BU39" s="115"/>
      <c r="BV39" s="81" t="s">
        <v>160</v>
      </c>
      <c r="BW39" s="81">
        <f>BW38/BW30</f>
        <v>0.25646453560159144</v>
      </c>
      <c r="BX39" s="81"/>
      <c r="BY39" s="81"/>
      <c r="BZ39" s="81"/>
      <c r="CA39" s="115"/>
      <c r="CB39" s="109"/>
      <c r="CC39" s="18"/>
      <c r="CD39" s="18"/>
      <c r="CE39" s="18"/>
      <c r="CF39" s="18"/>
      <c r="CG39" s="18"/>
      <c r="CH39" s="817"/>
      <c r="CI39" s="796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06"/>
    </row>
    <row r="40" spans="1:99" ht="14.25" hidden="1" customHeight="1" outlineLevel="1">
      <c r="A40" s="18"/>
      <c r="B40" s="144" t="s">
        <v>187</v>
      </c>
      <c r="C40" s="79"/>
      <c r="D40" s="80"/>
      <c r="E40" s="80"/>
      <c r="F40" s="80"/>
      <c r="G40" s="41"/>
      <c r="H40" s="80"/>
      <c r="I40" s="80"/>
      <c r="J40" s="80"/>
      <c r="K40" s="41"/>
      <c r="L40" s="80"/>
      <c r="M40" s="80"/>
      <c r="N40" s="80"/>
      <c r="O40" s="41"/>
      <c r="P40" s="80"/>
      <c r="Q40" s="80"/>
      <c r="R40" s="80"/>
      <c r="S40" s="41"/>
      <c r="T40" s="80"/>
      <c r="U40" s="80"/>
      <c r="V40" s="80"/>
      <c r="W40" s="41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41"/>
      <c r="AR40" s="80">
        <f t="shared" ref="AR40:AV40" si="131">AR38/AN38-1</f>
        <v>9.2800374006545061E-2</v>
      </c>
      <c r="AS40" s="80">
        <f t="shared" si="131"/>
        <v>1.6920970266040691</v>
      </c>
      <c r="AT40" s="80">
        <f t="shared" si="131"/>
        <v>-0.57552412709363376</v>
      </c>
      <c r="AU40" s="41">
        <f>AU38/AQ38-1</f>
        <v>-0.34483066750067004</v>
      </c>
      <c r="AV40" s="80">
        <f t="shared" si="131"/>
        <v>2.6366844919786097</v>
      </c>
      <c r="AW40" s="80"/>
      <c r="AX40" s="80"/>
      <c r="AY40" s="41"/>
      <c r="AZ40" s="80"/>
      <c r="BA40" s="80"/>
      <c r="BB40" s="80"/>
      <c r="BC40" s="41"/>
      <c r="BD40" s="80"/>
      <c r="BE40" s="80"/>
      <c r="BF40" s="80"/>
      <c r="BG40" s="41"/>
      <c r="BH40" s="80"/>
      <c r="BI40" s="80"/>
      <c r="BJ40" s="80"/>
      <c r="BK40" s="41"/>
      <c r="BL40" s="36"/>
      <c r="BM40" s="81"/>
      <c r="BN40" s="81"/>
      <c r="BO40" s="81"/>
      <c r="BP40" s="81"/>
      <c r="BQ40" s="81"/>
      <c r="BR40" s="83"/>
      <c r="BS40" s="83"/>
      <c r="BT40" s="83"/>
      <c r="BU40" s="117"/>
      <c r="BV40" s="83"/>
      <c r="BW40" s="83">
        <f>BW38/BV38-1</f>
        <v>1.3269083793613801E-2</v>
      </c>
      <c r="BX40" s="83"/>
      <c r="BY40" s="83"/>
      <c r="BZ40" s="83"/>
      <c r="CA40" s="115"/>
      <c r="CB40" s="109"/>
      <c r="CC40" s="18"/>
      <c r="CD40" s="18"/>
      <c r="CE40" s="18"/>
      <c r="CF40" s="18"/>
      <c r="CG40" s="18"/>
      <c r="CH40" s="817"/>
      <c r="CI40" s="796"/>
      <c r="CJ40" s="81"/>
      <c r="CK40" s="81"/>
      <c r="CL40" s="81"/>
      <c r="CM40" s="81"/>
      <c r="CN40" s="81">
        <f>CN38/CM38-1</f>
        <v>6.2803101137603239</v>
      </c>
      <c r="CO40" s="81">
        <f>CO38/CN38-1</f>
        <v>0.39612888035061622</v>
      </c>
      <c r="CP40" s="83">
        <f>CP38/CO38-1</f>
        <v>-1</v>
      </c>
      <c r="CQ40" s="83" t="e">
        <f>CQ38/CP38-1</f>
        <v>#DIV/0!</v>
      </c>
      <c r="CR40" s="81"/>
      <c r="CS40" s="81"/>
      <c r="CT40" s="806"/>
    </row>
    <row r="41" spans="1:99" ht="14.25" hidden="1" customHeight="1" outlineLevel="1">
      <c r="A41" s="18"/>
      <c r="B41" s="144" t="s">
        <v>229</v>
      </c>
      <c r="C41" s="26"/>
      <c r="D41" s="28"/>
      <c r="E41" s="28"/>
      <c r="F41" s="28"/>
      <c r="G41" s="35"/>
      <c r="H41" s="149"/>
      <c r="I41" s="149"/>
      <c r="J41" s="149"/>
      <c r="K41" s="150"/>
      <c r="L41" s="149"/>
      <c r="M41" s="149"/>
      <c r="N41" s="149"/>
      <c r="O41" s="150"/>
      <c r="P41" s="149"/>
      <c r="Q41" s="149"/>
      <c r="R41" s="149"/>
      <c r="S41" s="150"/>
      <c r="T41" s="161"/>
      <c r="U41" s="161"/>
      <c r="V41" s="161"/>
      <c r="W41" s="162"/>
      <c r="X41" s="161"/>
      <c r="Y41" s="161"/>
      <c r="Z41" s="161"/>
      <c r="AA41" s="162"/>
      <c r="AB41" s="161"/>
      <c r="AC41" s="161"/>
      <c r="AD41" s="161"/>
      <c r="AE41" s="162"/>
      <c r="AF41" s="161"/>
      <c r="AG41" s="161"/>
      <c r="AH41" s="161"/>
      <c r="AI41" s="162"/>
      <c r="AJ41" s="161"/>
      <c r="AK41" s="161"/>
      <c r="AL41" s="161"/>
      <c r="AM41" s="162"/>
      <c r="AN41" s="161">
        <v>199.64000000000001</v>
      </c>
      <c r="AO41" s="161">
        <v>204.48000000000008</v>
      </c>
      <c r="AP41" s="161">
        <v>220.76999999999998</v>
      </c>
      <c r="AQ41" s="162">
        <v>187.72</v>
      </c>
      <c r="AR41" s="161">
        <v>140.25</v>
      </c>
      <c r="AS41" s="161">
        <v>216.26</v>
      </c>
      <c r="AT41" s="161">
        <f>2215*0.14</f>
        <v>310.10000000000002</v>
      </c>
      <c r="AU41" s="162">
        <f>AU30*0.1</f>
        <v>183.3</v>
      </c>
      <c r="AV41" s="161">
        <f>+AV30*8%</f>
        <v>220.56</v>
      </c>
      <c r="AW41" s="80"/>
      <c r="AX41" s="80"/>
      <c r="AY41" s="41"/>
      <c r="AZ41" s="80"/>
      <c r="BA41" s="80"/>
      <c r="BB41" s="80"/>
      <c r="BC41" s="41"/>
      <c r="BD41" s="80"/>
      <c r="BE41" s="80"/>
      <c r="BF41" s="80"/>
      <c r="BG41" s="41"/>
      <c r="BH41" s="80"/>
      <c r="BI41" s="80"/>
      <c r="BJ41" s="80"/>
      <c r="BK41" s="41"/>
      <c r="BL41" s="36"/>
      <c r="BM41" s="34"/>
      <c r="BN41" s="34"/>
      <c r="BO41" s="34"/>
      <c r="BP41" s="34"/>
      <c r="BQ41" s="34"/>
      <c r="BR41" s="34"/>
      <c r="BS41" s="34"/>
      <c r="BT41" s="34"/>
      <c r="BU41" s="114"/>
      <c r="BV41" s="34">
        <f>SUM(AN41:AQ41)</f>
        <v>812.61000000000013</v>
      </c>
      <c r="BW41" s="34">
        <f>SUM(AR41:AU41)</f>
        <v>849.91000000000008</v>
      </c>
      <c r="BX41" s="34"/>
      <c r="BY41" s="34"/>
      <c r="BZ41" s="34"/>
      <c r="CA41" s="114"/>
      <c r="CB41" s="109"/>
      <c r="CC41" s="18"/>
      <c r="CD41" s="18"/>
      <c r="CE41" s="18"/>
      <c r="CF41" s="18"/>
      <c r="CG41" s="18"/>
      <c r="CH41" s="817"/>
      <c r="CI41" s="795">
        <f>SUM(U41:X41)</f>
        <v>0</v>
      </c>
      <c r="CJ41" s="34">
        <f>SUM(Y41:AB41)</f>
        <v>0</v>
      </c>
      <c r="CK41" s="34">
        <f>SUM(AC41:AF41)</f>
        <v>0</v>
      </c>
      <c r="CL41" s="34">
        <f>SUM(AG41:AJ41)</f>
        <v>0</v>
      </c>
      <c r="CM41" s="34">
        <f>SUM(AK41:AN41)</f>
        <v>199.64000000000001</v>
      </c>
      <c r="CN41" s="34">
        <f>SUM(AO41:AR41)</f>
        <v>753.22</v>
      </c>
      <c r="CO41" s="34">
        <f>SUM(AS41:AV41)</f>
        <v>930.22</v>
      </c>
      <c r="CP41" s="34">
        <f>SUM(AW41:AZ41)</f>
        <v>0</v>
      </c>
      <c r="CQ41" s="34">
        <f>SUM(BA41:BD41)</f>
        <v>0</v>
      </c>
      <c r="CR41" s="34"/>
      <c r="CS41" s="34"/>
      <c r="CT41" s="806"/>
    </row>
    <row r="42" spans="1:99" ht="14.25" hidden="1" customHeight="1" outlineLevel="1">
      <c r="A42" s="18"/>
      <c r="B42" s="144" t="s">
        <v>186</v>
      </c>
      <c r="C42" s="79"/>
      <c r="D42" s="80"/>
      <c r="E42" s="80"/>
      <c r="F42" s="80"/>
      <c r="G42" s="41"/>
      <c r="H42" s="80"/>
      <c r="I42" s="80"/>
      <c r="J42" s="80"/>
      <c r="K42" s="41"/>
      <c r="L42" s="80"/>
      <c r="M42" s="80"/>
      <c r="N42" s="80"/>
      <c r="O42" s="41"/>
      <c r="P42" s="80"/>
      <c r="Q42" s="80"/>
      <c r="R42" s="80"/>
      <c r="S42" s="41"/>
      <c r="T42" s="80"/>
      <c r="U42" s="80"/>
      <c r="V42" s="80"/>
      <c r="W42" s="41"/>
      <c r="X42" s="80"/>
      <c r="Y42" s="80"/>
      <c r="Z42" s="80"/>
      <c r="AA42" s="41"/>
      <c r="AB42" s="80"/>
      <c r="AC42" s="80"/>
      <c r="AD42" s="80"/>
      <c r="AE42" s="41"/>
      <c r="AF42" s="80"/>
      <c r="AG42" s="80"/>
      <c r="AH42" s="80"/>
      <c r="AI42" s="41"/>
      <c r="AJ42" s="80"/>
      <c r="AK42" s="80"/>
      <c r="AL42" s="80"/>
      <c r="AM42" s="41"/>
      <c r="AN42" s="80"/>
      <c r="AO42" s="80">
        <f t="shared" ref="AO42:AV42" si="132">AO41/AN41-1</f>
        <v>2.4243638549389157E-2</v>
      </c>
      <c r="AP42" s="80">
        <f t="shared" si="132"/>
        <v>7.9665492957746054E-2</v>
      </c>
      <c r="AQ42" s="41">
        <f t="shared" si="132"/>
        <v>-0.14970331113828861</v>
      </c>
      <c r="AR42" s="80">
        <f t="shared" si="132"/>
        <v>-0.25287662476028128</v>
      </c>
      <c r="AS42" s="80">
        <f t="shared" si="132"/>
        <v>0.54196078431372552</v>
      </c>
      <c r="AT42" s="80">
        <f t="shared" si="132"/>
        <v>0.43392213076851949</v>
      </c>
      <c r="AU42" s="41">
        <f t="shared" si="132"/>
        <v>-0.40890035472428254</v>
      </c>
      <c r="AV42" s="80">
        <f t="shared" si="132"/>
        <v>0.20327332242225848</v>
      </c>
      <c r="AW42" s="80"/>
      <c r="AX42" s="80"/>
      <c r="AY42" s="41"/>
      <c r="AZ42" s="80"/>
      <c r="BA42" s="80"/>
      <c r="BB42" s="80"/>
      <c r="BC42" s="41"/>
      <c r="BD42" s="80"/>
      <c r="BE42" s="80"/>
      <c r="BF42" s="80"/>
      <c r="BG42" s="41"/>
      <c r="BH42" s="80"/>
      <c r="BI42" s="80"/>
      <c r="BJ42" s="80"/>
      <c r="BK42" s="41"/>
      <c r="BL42" s="36"/>
      <c r="BM42" s="81"/>
      <c r="BN42" s="81"/>
      <c r="BO42" s="81"/>
      <c r="BP42" s="81"/>
      <c r="BQ42" s="81"/>
      <c r="BR42" s="81"/>
      <c r="BS42" s="81"/>
      <c r="BT42" s="81"/>
      <c r="BU42" s="115"/>
      <c r="BV42" s="81"/>
      <c r="BW42" s="81"/>
      <c r="BX42" s="81"/>
      <c r="BY42" s="81"/>
      <c r="BZ42" s="81"/>
      <c r="CA42" s="115"/>
      <c r="CB42" s="109"/>
      <c r="CC42" s="18"/>
      <c r="CD42" s="18"/>
      <c r="CE42" s="18"/>
      <c r="CF42" s="18"/>
      <c r="CG42" s="18"/>
      <c r="CH42" s="817"/>
      <c r="CI42" s="796"/>
      <c r="CJ42" s="81"/>
      <c r="CK42" s="81"/>
      <c r="CL42" s="81"/>
      <c r="CM42" s="81"/>
      <c r="CN42" s="81"/>
      <c r="CO42" s="81"/>
      <c r="CP42" s="81"/>
      <c r="CQ42" s="81"/>
      <c r="CR42" s="81"/>
      <c r="CS42" s="81"/>
      <c r="CT42" s="806"/>
    </row>
    <row r="43" spans="1:99" ht="14.25" hidden="1" customHeight="1" outlineLevel="1">
      <c r="A43" s="18"/>
      <c r="B43" s="144" t="s">
        <v>187</v>
      </c>
      <c r="C43" s="79"/>
      <c r="D43" s="80"/>
      <c r="E43" s="80"/>
      <c r="F43" s="80"/>
      <c r="G43" s="41"/>
      <c r="H43" s="80"/>
      <c r="I43" s="80"/>
      <c r="J43" s="80"/>
      <c r="K43" s="41"/>
      <c r="L43" s="80"/>
      <c r="M43" s="80"/>
      <c r="N43" s="80"/>
      <c r="O43" s="41"/>
      <c r="P43" s="80"/>
      <c r="Q43" s="80"/>
      <c r="R43" s="80"/>
      <c r="S43" s="41"/>
      <c r="T43" s="80"/>
      <c r="U43" s="80"/>
      <c r="V43" s="80"/>
      <c r="W43" s="41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41"/>
      <c r="AR43" s="80">
        <f t="shared" ref="AR43:AV43" si="133">AR41/AN41-1</f>
        <v>-0.29748547385293533</v>
      </c>
      <c r="AS43" s="80">
        <f t="shared" si="133"/>
        <v>5.7609546165883652E-2</v>
      </c>
      <c r="AT43" s="80">
        <f t="shared" si="133"/>
        <v>0.4046292521628847</v>
      </c>
      <c r="AU43" s="41">
        <f>AU41/AQ41-1</f>
        <v>-2.3545706371191022E-2</v>
      </c>
      <c r="AV43" s="80">
        <f t="shared" si="133"/>
        <v>0.57262032085561509</v>
      </c>
      <c r="AW43" s="80"/>
      <c r="AX43" s="80"/>
      <c r="AY43" s="41"/>
      <c r="AZ43" s="80"/>
      <c r="BA43" s="80"/>
      <c r="BB43" s="80"/>
      <c r="BC43" s="41"/>
      <c r="BD43" s="80"/>
      <c r="BE43" s="80"/>
      <c r="BF43" s="80"/>
      <c r="BG43" s="41"/>
      <c r="BH43" s="80"/>
      <c r="BI43" s="80"/>
      <c r="BJ43" s="80"/>
      <c r="BK43" s="41"/>
      <c r="BL43" s="36"/>
      <c r="BM43" s="81"/>
      <c r="BN43" s="81"/>
      <c r="BO43" s="81"/>
      <c r="BP43" s="81"/>
      <c r="BQ43" s="81"/>
      <c r="BR43" s="83"/>
      <c r="BS43" s="83"/>
      <c r="BT43" s="83"/>
      <c r="BU43" s="117"/>
      <c r="BV43" s="83"/>
      <c r="BW43" s="83">
        <f>BW41/BV41-1</f>
        <v>4.5901477953753878E-2</v>
      </c>
      <c r="BX43" s="83"/>
      <c r="BY43" s="83"/>
      <c r="BZ43" s="83"/>
      <c r="CA43" s="115"/>
      <c r="CB43" s="109"/>
      <c r="CC43" s="18"/>
      <c r="CD43" s="18"/>
      <c r="CE43" s="18"/>
      <c r="CF43" s="18"/>
      <c r="CG43" s="18"/>
      <c r="CH43" s="817"/>
      <c r="CI43" s="796"/>
      <c r="CJ43" s="81"/>
      <c r="CK43" s="81"/>
      <c r="CL43" s="81"/>
      <c r="CM43" s="81"/>
      <c r="CN43" s="81">
        <f>CN41/CM41-1</f>
        <v>2.7728912041675016</v>
      </c>
      <c r="CO43" s="81">
        <f>CO41/CN41-1</f>
        <v>0.23499110485648278</v>
      </c>
      <c r="CP43" s="83">
        <f>CP41/CO41-1</f>
        <v>-1</v>
      </c>
      <c r="CQ43" s="83" t="e">
        <f>CQ41/CP41-1</f>
        <v>#DIV/0!</v>
      </c>
      <c r="CR43" s="81"/>
      <c r="CS43" s="81"/>
      <c r="CT43" s="806"/>
    </row>
    <row r="44" spans="1:99" ht="14.25" customHeight="1" collapsed="1">
      <c r="A44" s="18"/>
      <c r="B44" s="9"/>
      <c r="C44" s="79"/>
      <c r="D44" s="80"/>
      <c r="E44" s="80"/>
      <c r="F44" s="80"/>
      <c r="G44" s="41"/>
      <c r="H44" s="80"/>
      <c r="I44" s="80"/>
      <c r="J44" s="80"/>
      <c r="K44" s="41"/>
      <c r="L44" s="80"/>
      <c r="M44" s="80"/>
      <c r="N44" s="80"/>
      <c r="O44" s="41"/>
      <c r="P44" s="80"/>
      <c r="Q44" s="80"/>
      <c r="R44" s="80"/>
      <c r="S44" s="41"/>
      <c r="T44" s="80"/>
      <c r="U44" s="80"/>
      <c r="V44" s="80"/>
      <c r="W44" s="41"/>
      <c r="X44" s="80"/>
      <c r="Y44" s="80"/>
      <c r="Z44" s="80"/>
      <c r="AA44" s="41"/>
      <c r="AB44" s="80"/>
      <c r="AC44" s="80"/>
      <c r="AD44" s="80"/>
      <c r="AE44" s="41"/>
      <c r="AF44" s="80"/>
      <c r="AG44" s="80"/>
      <c r="AH44" s="80"/>
      <c r="AI44" s="41"/>
      <c r="AJ44" s="80"/>
      <c r="AK44" s="80"/>
      <c r="AL44" s="86"/>
      <c r="AM44" s="41"/>
      <c r="AN44" s="80"/>
      <c r="AO44" s="80"/>
      <c r="AP44" s="80"/>
      <c r="AQ44" s="41"/>
      <c r="AR44" s="80"/>
      <c r="AS44" s="80"/>
      <c r="AT44" s="80"/>
      <c r="AU44" s="41"/>
      <c r="AV44" s="80"/>
      <c r="AW44" s="86"/>
      <c r="AX44" s="86"/>
      <c r="AY44" s="85"/>
      <c r="AZ44" s="86"/>
      <c r="BA44" s="86"/>
      <c r="BB44" s="86"/>
      <c r="BC44" s="85"/>
      <c r="BD44" s="86"/>
      <c r="BE44" s="86"/>
      <c r="BF44" s="86"/>
      <c r="BG44" s="85"/>
      <c r="BH44" s="86"/>
      <c r="BI44" s="86"/>
      <c r="BJ44" s="86"/>
      <c r="BK44" s="85"/>
      <c r="BL44" s="36"/>
      <c r="BM44" s="83"/>
      <c r="BN44" s="83"/>
      <c r="BO44" s="83"/>
      <c r="BP44" s="83"/>
      <c r="BQ44" s="83"/>
      <c r="BR44" s="83"/>
      <c r="BS44" s="83"/>
      <c r="BT44" s="83"/>
      <c r="BU44" s="117"/>
      <c r="BV44" s="83"/>
      <c r="BW44" s="83"/>
      <c r="BX44" s="83"/>
      <c r="BY44" s="83"/>
      <c r="BZ44" s="83"/>
      <c r="CA44" s="117"/>
      <c r="CB44" s="109"/>
      <c r="CC44" s="18"/>
      <c r="CD44" s="18"/>
      <c r="CE44" s="18"/>
      <c r="CF44" s="18"/>
      <c r="CG44" s="18"/>
      <c r="CH44" s="817"/>
      <c r="CI44" s="798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06"/>
    </row>
    <row r="45" spans="1:99" ht="14.25" customHeight="1">
      <c r="A45" s="18"/>
      <c r="B45" s="9" t="s">
        <v>189</v>
      </c>
      <c r="C45" s="26"/>
      <c r="D45" s="28"/>
      <c r="E45" s="28"/>
      <c r="F45" s="28"/>
      <c r="G45" s="35"/>
      <c r="H45" s="161"/>
      <c r="I45" s="161"/>
      <c r="J45" s="161"/>
      <c r="K45" s="162"/>
      <c r="L45" s="161"/>
      <c r="M45" s="161"/>
      <c r="N45" s="161"/>
      <c r="O45" s="162"/>
      <c r="P45" s="161"/>
      <c r="Q45" s="161"/>
      <c r="R45" s="161"/>
      <c r="S45" s="162"/>
      <c r="T45" s="161"/>
      <c r="U45" s="161"/>
      <c r="V45" s="161"/>
      <c r="W45" s="162"/>
      <c r="X45" s="161"/>
      <c r="Y45" s="161"/>
      <c r="Z45" s="161"/>
      <c r="AA45" s="162"/>
      <c r="AB45" s="161"/>
      <c r="AC45" s="161"/>
      <c r="AD45" s="161"/>
      <c r="AE45" s="162"/>
      <c r="AF45" s="161"/>
      <c r="AG45" s="161"/>
      <c r="AH45" s="161"/>
      <c r="AI45" s="162"/>
      <c r="AJ45" s="161"/>
      <c r="AK45" s="161"/>
      <c r="AL45" s="161"/>
      <c r="AM45" s="162"/>
      <c r="AN45" s="161">
        <v>563</v>
      </c>
      <c r="AO45" s="161">
        <v>627</v>
      </c>
      <c r="AP45" s="161">
        <v>646</v>
      </c>
      <c r="AQ45" s="162">
        <v>611</v>
      </c>
      <c r="AR45" s="161">
        <v>606</v>
      </c>
      <c r="AS45" s="161">
        <v>633</v>
      </c>
      <c r="AT45" s="161">
        <v>657</v>
      </c>
      <c r="AU45" s="162">
        <v>693</v>
      </c>
      <c r="AV45" s="161">
        <v>676</v>
      </c>
      <c r="AW45" s="161">
        <v>724</v>
      </c>
      <c r="AX45" s="161">
        <v>786</v>
      </c>
      <c r="AY45" s="162">
        <v>831</v>
      </c>
      <c r="AZ45" s="161">
        <v>880</v>
      </c>
      <c r="BA45" s="32">
        <f t="shared" ref="BA45:BC45" si="134">AZ45*(1+BA46)</f>
        <v>888.8</v>
      </c>
      <c r="BB45" s="32">
        <f t="shared" si="134"/>
        <v>888.8</v>
      </c>
      <c r="BC45" s="31">
        <f t="shared" si="134"/>
        <v>888.8</v>
      </c>
      <c r="BD45" s="32">
        <f t="shared" ref="BD45" si="135">BC45*(1+BD46)</f>
        <v>933.24</v>
      </c>
      <c r="BE45" s="32">
        <f t="shared" ref="BE45" si="136">BD45*(1+BE46)</f>
        <v>989.23440000000005</v>
      </c>
      <c r="BF45" s="32">
        <f t="shared" ref="BF45" si="137">BE45*(1+BF46)</f>
        <v>1048.5884640000002</v>
      </c>
      <c r="BG45" s="31">
        <f t="shared" ref="BG45" si="138">BF45*(1+BG46)</f>
        <v>1111.5037718400001</v>
      </c>
      <c r="BH45" s="32">
        <f t="shared" ref="BH45" si="139">BG45*(1+BH46)</f>
        <v>1111.5037718400001</v>
      </c>
      <c r="BI45" s="32">
        <f t="shared" ref="BI45" si="140">BH45*(1+BI46)</f>
        <v>1144.8488849952003</v>
      </c>
      <c r="BJ45" s="32">
        <f t="shared" ref="BJ45" si="141">BI45*(1+BJ46)</f>
        <v>1179.1943515450562</v>
      </c>
      <c r="BK45" s="31">
        <f t="shared" ref="BK45" si="142">BJ45*(1+BK46)</f>
        <v>1214.5701820914078</v>
      </c>
      <c r="BL45" s="36"/>
      <c r="BM45" s="34"/>
      <c r="BN45" s="34"/>
      <c r="BO45" s="34"/>
      <c r="BP45" s="34"/>
      <c r="BQ45" s="34"/>
      <c r="BR45" s="34"/>
      <c r="BS45" s="34"/>
      <c r="BT45" s="34"/>
      <c r="BU45" s="114">
        <v>2114</v>
      </c>
      <c r="BV45" s="34">
        <f>SUM(AN45:AQ45)</f>
        <v>2447</v>
      </c>
      <c r="BW45" s="34">
        <f>SUM(AR45:AU45)</f>
        <v>2589</v>
      </c>
      <c r="BX45" s="34">
        <f>SUM(AV45:AY45)</f>
        <v>3017</v>
      </c>
      <c r="BY45" s="34">
        <f>SUM(AZ45:BC45)</f>
        <v>3546.3999999999996</v>
      </c>
      <c r="BZ45" s="34">
        <f>SUM(BD45:BG45)</f>
        <v>4082.5666358400003</v>
      </c>
      <c r="CA45" s="785">
        <f>SUM(BH45:BK45)</f>
        <v>4650.1171904716648</v>
      </c>
      <c r="CB45" s="109"/>
      <c r="CC45" s="18"/>
      <c r="CD45" s="18"/>
      <c r="CE45" s="18"/>
      <c r="CF45" s="18"/>
      <c r="CG45" s="18"/>
      <c r="CH45" s="817"/>
      <c r="CI45" s="795"/>
      <c r="CJ45" s="34"/>
      <c r="CK45" s="34">
        <f>SUM(AC45:AF45)</f>
        <v>0</v>
      </c>
      <c r="CL45" s="34">
        <f>SUM(AG45:AJ45)</f>
        <v>0</v>
      </c>
      <c r="CM45" s="34">
        <f>SUM(AK45:AN45)</f>
        <v>563</v>
      </c>
      <c r="CN45" s="34">
        <f>SUM(AO45:AR45)</f>
        <v>2490</v>
      </c>
      <c r="CO45" s="34">
        <f>SUM(AS45:AV45)</f>
        <v>2659</v>
      </c>
      <c r="CP45" s="34">
        <f>SUM(AW45:AZ45)</f>
        <v>3221</v>
      </c>
      <c r="CQ45" s="34">
        <f>SUM(BA45:BD45)</f>
        <v>3599.6399999999994</v>
      </c>
      <c r="CR45" s="34"/>
      <c r="CS45" s="34"/>
      <c r="CT45" s="806"/>
      <c r="CU45" s="34"/>
    </row>
    <row r="46" spans="1:99" ht="14.25" customHeight="1">
      <c r="A46" s="18"/>
      <c r="B46" s="9" t="s">
        <v>186</v>
      </c>
      <c r="C46" s="79"/>
      <c r="D46" s="80"/>
      <c r="E46" s="80"/>
      <c r="F46" s="80"/>
      <c r="G46" s="41"/>
      <c r="H46" s="80"/>
      <c r="I46" s="80"/>
      <c r="J46" s="80"/>
      <c r="K46" s="41"/>
      <c r="L46" s="80"/>
      <c r="M46" s="80"/>
      <c r="N46" s="80"/>
      <c r="O46" s="41"/>
      <c r="P46" s="80"/>
      <c r="Q46" s="80"/>
      <c r="R46" s="80"/>
      <c r="S46" s="41"/>
      <c r="T46" s="80"/>
      <c r="U46" s="80"/>
      <c r="V46" s="80"/>
      <c r="W46" s="41"/>
      <c r="X46" s="80"/>
      <c r="Y46" s="80"/>
      <c r="Z46" s="80"/>
      <c r="AA46" s="41"/>
      <c r="AB46" s="80"/>
      <c r="AC46" s="80"/>
      <c r="AD46" s="80"/>
      <c r="AE46" s="41"/>
      <c r="AF46" s="80"/>
      <c r="AG46" s="80"/>
      <c r="AH46" s="80"/>
      <c r="AI46" s="41"/>
      <c r="AJ46" s="80"/>
      <c r="AK46" s="80"/>
      <c r="AL46" s="80"/>
      <c r="AM46" s="41"/>
      <c r="AN46" s="80"/>
      <c r="AO46" s="80">
        <f t="shared" ref="AO46:AZ46" si="143">AO45/AN45-1</f>
        <v>0.11367673179396087</v>
      </c>
      <c r="AP46" s="80">
        <f t="shared" si="143"/>
        <v>3.0303030303030276E-2</v>
      </c>
      <c r="AQ46" s="41">
        <f t="shared" si="143"/>
        <v>-5.4179566563467452E-2</v>
      </c>
      <c r="AR46" s="80">
        <f t="shared" si="143"/>
        <v>-8.1833060556464332E-3</v>
      </c>
      <c r="AS46" s="80">
        <f t="shared" si="143"/>
        <v>4.4554455445544594E-2</v>
      </c>
      <c r="AT46" s="80">
        <f t="shared" si="143"/>
        <v>3.7914691943127909E-2</v>
      </c>
      <c r="AU46" s="41">
        <f t="shared" si="143"/>
        <v>5.4794520547945202E-2</v>
      </c>
      <c r="AV46" s="80">
        <f t="shared" si="143"/>
        <v>-2.4531024531024515E-2</v>
      </c>
      <c r="AW46" s="80">
        <f t="shared" si="143"/>
        <v>7.1005917159763232E-2</v>
      </c>
      <c r="AX46" s="80">
        <f t="shared" si="143"/>
        <v>8.5635359116022158E-2</v>
      </c>
      <c r="AY46" s="41">
        <f t="shared" si="143"/>
        <v>5.7251908396946494E-2</v>
      </c>
      <c r="AZ46" s="80">
        <f t="shared" si="143"/>
        <v>5.8965102286401949E-2</v>
      </c>
      <c r="BA46" s="173">
        <v>0.01</v>
      </c>
      <c r="BB46" s="173">
        <v>0</v>
      </c>
      <c r="BC46" s="174">
        <v>0</v>
      </c>
      <c r="BD46" s="173">
        <v>0.05</v>
      </c>
      <c r="BE46" s="173">
        <v>0.06</v>
      </c>
      <c r="BF46" s="173">
        <v>0.06</v>
      </c>
      <c r="BG46" s="174">
        <v>0.06</v>
      </c>
      <c r="BH46" s="173">
        <v>0</v>
      </c>
      <c r="BI46" s="173">
        <v>0.03</v>
      </c>
      <c r="BJ46" s="173">
        <v>0.03</v>
      </c>
      <c r="BK46" s="174">
        <v>0.03</v>
      </c>
      <c r="BL46" s="36"/>
      <c r="BM46" s="81"/>
      <c r="BN46" s="81"/>
      <c r="BO46" s="81"/>
      <c r="BP46" s="81"/>
      <c r="BQ46" s="81"/>
      <c r="BR46" s="81"/>
      <c r="BS46" s="81"/>
      <c r="BT46" s="81"/>
      <c r="BU46" s="115"/>
      <c r="BV46" s="81"/>
      <c r="BW46" s="81"/>
      <c r="BX46" s="81"/>
      <c r="BY46" s="81"/>
      <c r="BZ46" s="81"/>
      <c r="CA46" s="786"/>
      <c r="CB46" s="109"/>
      <c r="CC46" s="18"/>
      <c r="CD46" s="18"/>
      <c r="CE46" s="18"/>
      <c r="CF46" s="18"/>
      <c r="CG46" s="18"/>
      <c r="CH46" s="817"/>
      <c r="CI46" s="796"/>
      <c r="CJ46" s="81"/>
      <c r="CK46" s="81"/>
      <c r="CL46" s="81"/>
      <c r="CM46" s="81"/>
      <c r="CN46" s="81"/>
      <c r="CO46" s="81"/>
      <c r="CP46" s="81"/>
      <c r="CQ46" s="81"/>
      <c r="CR46" s="81"/>
      <c r="CS46" s="81"/>
      <c r="CT46" s="806"/>
      <c r="CU46" s="790"/>
    </row>
    <row r="47" spans="1:99" ht="14.25" customHeight="1">
      <c r="A47" s="18"/>
      <c r="B47" s="9" t="s">
        <v>187</v>
      </c>
      <c r="C47" s="82"/>
      <c r="D47" s="80"/>
      <c r="E47" s="80"/>
      <c r="F47" s="80"/>
      <c r="G47" s="41"/>
      <c r="H47" s="80"/>
      <c r="I47" s="80"/>
      <c r="J47" s="80"/>
      <c r="K47" s="41"/>
      <c r="L47" s="80"/>
      <c r="M47" s="80"/>
      <c r="N47" s="80"/>
      <c r="O47" s="41"/>
      <c r="P47" s="80"/>
      <c r="Q47" s="80"/>
      <c r="R47" s="80"/>
      <c r="S47" s="41"/>
      <c r="T47" s="80"/>
      <c r="U47" s="80"/>
      <c r="V47" s="80"/>
      <c r="W47" s="41"/>
      <c r="X47" s="80"/>
      <c r="Y47" s="80"/>
      <c r="Z47" s="80"/>
      <c r="AA47" s="41"/>
      <c r="AB47" s="80"/>
      <c r="AC47" s="80"/>
      <c r="AD47" s="80"/>
      <c r="AE47" s="41"/>
      <c r="AF47" s="80"/>
      <c r="AG47" s="80"/>
      <c r="AH47" s="80"/>
      <c r="AI47" s="41"/>
      <c r="AJ47" s="80"/>
      <c r="AK47" s="80"/>
      <c r="AL47" s="80"/>
      <c r="AM47" s="41"/>
      <c r="AN47" s="80"/>
      <c r="AO47" s="80"/>
      <c r="AP47" s="80"/>
      <c r="AQ47" s="41"/>
      <c r="AR47" s="80">
        <f t="shared" ref="AR47:AZ47" si="144">AR45/AN45-1</f>
        <v>7.6376554174067524E-2</v>
      </c>
      <c r="AS47" s="80">
        <f t="shared" si="144"/>
        <v>9.5693779904306719E-3</v>
      </c>
      <c r="AT47" s="80">
        <f t="shared" si="144"/>
        <v>1.7027863777089758E-2</v>
      </c>
      <c r="AU47" s="41">
        <f t="shared" si="144"/>
        <v>0.13420621931260235</v>
      </c>
      <c r="AV47" s="80">
        <f t="shared" si="144"/>
        <v>0.11551155115511547</v>
      </c>
      <c r="AW47" s="80">
        <f t="shared" si="144"/>
        <v>0.14375987361769349</v>
      </c>
      <c r="AX47" s="80">
        <f t="shared" si="144"/>
        <v>0.19634703196347036</v>
      </c>
      <c r="AY47" s="41">
        <f t="shared" si="144"/>
        <v>0.19913419913419905</v>
      </c>
      <c r="AZ47" s="80">
        <f t="shared" si="144"/>
        <v>0.30177514792899407</v>
      </c>
      <c r="BA47" s="80">
        <f t="shared" ref="BA47:BG47" si="145">BA45/AW45-1</f>
        <v>0.22762430939226519</v>
      </c>
      <c r="BB47" s="80">
        <f t="shared" si="145"/>
        <v>0.13078880407124682</v>
      </c>
      <c r="BC47" s="41">
        <f t="shared" si="145"/>
        <v>6.9554753309265971E-2</v>
      </c>
      <c r="BD47" s="80">
        <f t="shared" si="145"/>
        <v>6.0499999999999998E-2</v>
      </c>
      <c r="BE47" s="80">
        <f t="shared" si="145"/>
        <v>0.11300000000000021</v>
      </c>
      <c r="BF47" s="80">
        <f t="shared" si="145"/>
        <v>0.17978000000000027</v>
      </c>
      <c r="BG47" s="41">
        <f t="shared" si="145"/>
        <v>0.25056680000000031</v>
      </c>
      <c r="BH47" s="80">
        <f t="shared" ref="BH47" si="146">BH45/BD45-1</f>
        <v>0.19101600000000007</v>
      </c>
      <c r="BI47" s="80">
        <f t="shared" ref="BI47" si="147">BI45/BE45-1</f>
        <v>0.15730800000000023</v>
      </c>
      <c r="BJ47" s="80">
        <f t="shared" ref="BJ47" si="148">BJ45/BF45-1</f>
        <v>0.12455400000000005</v>
      </c>
      <c r="BK47" s="41">
        <f t="shared" ref="BK47" si="149">BK45/BG45-1</f>
        <v>9.2727000000000004E-2</v>
      </c>
      <c r="BL47" s="36"/>
      <c r="BM47" s="80"/>
      <c r="BN47" s="83"/>
      <c r="BO47" s="83"/>
      <c r="BP47" s="83"/>
      <c r="BQ47" s="83"/>
      <c r="BR47" s="83"/>
      <c r="BS47" s="83"/>
      <c r="BT47" s="83"/>
      <c r="BU47" s="117"/>
      <c r="BV47" s="83">
        <f t="shared" ref="BV47:CA47" si="150">BV45/BU45-1</f>
        <v>0.15752128666035947</v>
      </c>
      <c r="BW47" s="83">
        <f t="shared" si="150"/>
        <v>5.8030241111565184E-2</v>
      </c>
      <c r="BX47" s="83">
        <f t="shared" si="150"/>
        <v>0.16531479335650823</v>
      </c>
      <c r="BY47" s="83">
        <f t="shared" si="150"/>
        <v>0.17547232350016562</v>
      </c>
      <c r="BZ47" s="83">
        <f t="shared" si="150"/>
        <v>0.15118617071960316</v>
      </c>
      <c r="CA47" s="787">
        <f t="shared" si="150"/>
        <v>0.13901807496520857</v>
      </c>
      <c r="CB47" s="109"/>
      <c r="CC47" s="18"/>
      <c r="CD47" s="18"/>
      <c r="CE47" s="18"/>
      <c r="CF47" s="18"/>
      <c r="CG47" s="18"/>
      <c r="CH47" s="817"/>
      <c r="CI47" s="797"/>
      <c r="CJ47" s="83"/>
      <c r="CK47" s="83"/>
      <c r="CL47" s="83"/>
      <c r="CM47" s="83"/>
      <c r="CN47" s="83">
        <f>CN45/CM45-1</f>
        <v>3.4227353463587926</v>
      </c>
      <c r="CO47" s="83">
        <f>CO45/CN45-1</f>
        <v>6.7871485943775012E-2</v>
      </c>
      <c r="CP47" s="83">
        <f>CP45/CO45-1</f>
        <v>0.21135765325310274</v>
      </c>
      <c r="CQ47" s="83">
        <f>CQ45/CP45-1</f>
        <v>0.11755355479664686</v>
      </c>
      <c r="CR47" s="84"/>
      <c r="CS47" s="84"/>
      <c r="CT47" s="806"/>
      <c r="CU47" s="791"/>
    </row>
    <row r="48" spans="1:99" ht="14.25" hidden="1" customHeight="1" outlineLevel="1">
      <c r="A48" s="18"/>
      <c r="B48" s="9" t="s">
        <v>188</v>
      </c>
      <c r="C48" s="79"/>
      <c r="D48" s="80"/>
      <c r="E48" s="80"/>
      <c r="F48" s="80"/>
      <c r="G48" s="41"/>
      <c r="H48" s="80"/>
      <c r="I48" s="80"/>
      <c r="J48" s="80"/>
      <c r="K48" s="41"/>
      <c r="L48" s="80"/>
      <c r="M48" s="80"/>
      <c r="N48" s="80"/>
      <c r="O48" s="41"/>
      <c r="P48" s="80"/>
      <c r="Q48" s="80"/>
      <c r="R48" s="80"/>
      <c r="S48" s="41"/>
      <c r="T48" s="80"/>
      <c r="U48" s="80"/>
      <c r="V48" s="80"/>
      <c r="W48" s="41"/>
      <c r="X48" s="80"/>
      <c r="Y48" s="80"/>
      <c r="Z48" s="80"/>
      <c r="AA48" s="41"/>
      <c r="AB48" s="80"/>
      <c r="AC48" s="80"/>
      <c r="AD48" s="80"/>
      <c r="AE48" s="41"/>
      <c r="AF48" s="80"/>
      <c r="AG48" s="80"/>
      <c r="AH48" s="80"/>
      <c r="AI48" s="41"/>
      <c r="AJ48" s="80"/>
      <c r="AK48" s="80"/>
      <c r="AL48" s="80"/>
      <c r="AM48" s="41"/>
      <c r="AN48" s="80">
        <f t="shared" ref="AN48:AQ48" si="151">AN45/AN$73</f>
        <v>0.23866044934294192</v>
      </c>
      <c r="AO48" s="80">
        <f t="shared" si="151"/>
        <v>0.25675675675675674</v>
      </c>
      <c r="AP48" s="80">
        <f t="shared" si="151"/>
        <v>0.25943775100401606</v>
      </c>
      <c r="AQ48" s="41">
        <f t="shared" si="151"/>
        <v>0.25802364864864863</v>
      </c>
      <c r="AR48" s="80">
        <f t="shared" ref="AR48:AW48" si="152">AR45/AR$73</f>
        <v>0.26849800620292424</v>
      </c>
      <c r="AS48" s="80">
        <f t="shared" si="152"/>
        <v>0.2583673469387755</v>
      </c>
      <c r="AT48" s="80">
        <f t="shared" si="152"/>
        <v>0.23289613612194257</v>
      </c>
      <c r="AU48" s="41">
        <f t="shared" si="152"/>
        <v>0.21019108280254778</v>
      </c>
      <c r="AV48" s="80">
        <f t="shared" si="152"/>
        <v>0.20622330689444784</v>
      </c>
      <c r="AW48" s="80">
        <f t="shared" si="152"/>
        <v>0.20417371686407221</v>
      </c>
      <c r="AX48" s="80">
        <f t="shared" ref="AX48:AZ48" si="153">AX45/AX$73</f>
        <v>0.20993589743589744</v>
      </c>
      <c r="AY48" s="85">
        <f t="shared" si="153"/>
        <v>0.20937263794406652</v>
      </c>
      <c r="AZ48" s="80">
        <f t="shared" si="153"/>
        <v>0.20932445290199811</v>
      </c>
      <c r="BA48" s="86">
        <f t="shared" ref="BA48:BG48" si="154">BA45/BA$73</f>
        <v>0.19929260989458208</v>
      </c>
      <c r="BB48" s="86">
        <f t="shared" si="154"/>
        <v>0.20465812177944595</v>
      </c>
      <c r="BC48" s="85">
        <f t="shared" si="154"/>
        <v>0.20335181070544739</v>
      </c>
      <c r="BD48" s="86">
        <f t="shared" si="154"/>
        <v>0.22017068861288203</v>
      </c>
      <c r="BE48" s="86">
        <f t="shared" si="154"/>
        <v>0.23129926480254001</v>
      </c>
      <c r="BF48" s="86">
        <f t="shared" si="154"/>
        <v>0.24379030774613011</v>
      </c>
      <c r="BG48" s="85">
        <f t="shared" si="154"/>
        <v>0.25494940781018799</v>
      </c>
      <c r="BH48" s="86">
        <f t="shared" ref="BH48:BK48" si="155">BH45/BH$73</f>
        <v>0.25687270647071841</v>
      </c>
      <c r="BI48" s="86">
        <f t="shared" si="155"/>
        <v>0.26227247996113118</v>
      </c>
      <c r="BJ48" s="86">
        <f t="shared" si="155"/>
        <v>0.26737694022473535</v>
      </c>
      <c r="BK48" s="85">
        <f t="shared" si="155"/>
        <v>0.27511595980972536</v>
      </c>
      <c r="BL48" s="36"/>
      <c r="BM48" s="83"/>
      <c r="BN48" s="83"/>
      <c r="BO48" s="83"/>
      <c r="BP48" s="83"/>
      <c r="BQ48" s="83"/>
      <c r="BR48" s="83"/>
      <c r="BS48" s="83"/>
      <c r="BT48" s="83"/>
      <c r="BU48" s="117">
        <f t="shared" ref="BU48:BX48" si="156">BU45/BU$73</f>
        <v>0.2330246913580247</v>
      </c>
      <c r="BV48" s="83">
        <f t="shared" si="156"/>
        <v>0.25333885495392899</v>
      </c>
      <c r="BW48" s="83">
        <f t="shared" si="156"/>
        <v>0.23916859122401848</v>
      </c>
      <c r="BX48" s="83">
        <f t="shared" si="156"/>
        <v>0.20753938226594207</v>
      </c>
      <c r="BY48" s="83">
        <f>BY45/BY$73</f>
        <v>0.20408143669396081</v>
      </c>
      <c r="BZ48" s="83">
        <f>BZ45/BZ$73</f>
        <v>0.23768376479442996</v>
      </c>
      <c r="CA48" s="787">
        <f>CA45/CA$73</f>
        <v>0.26546064203748548</v>
      </c>
      <c r="CB48" s="109"/>
      <c r="CC48" s="18"/>
      <c r="CD48" s="18"/>
      <c r="CE48" s="18"/>
      <c r="CF48" s="18"/>
      <c r="CG48" s="18"/>
      <c r="CH48" s="817"/>
      <c r="CI48" s="798"/>
      <c r="CJ48" s="83"/>
      <c r="CK48" s="83"/>
      <c r="CL48" s="83"/>
      <c r="CM48" s="83"/>
      <c r="CN48" s="83"/>
      <c r="CO48" s="83"/>
      <c r="CP48" s="83"/>
      <c r="CQ48" s="83"/>
      <c r="CR48" s="83"/>
      <c r="CS48" s="83"/>
      <c r="CT48" s="806"/>
      <c r="CU48" s="791"/>
    </row>
    <row r="49" spans="1:99" ht="14.25" hidden="1" customHeight="1" outlineLevel="1">
      <c r="A49" s="18"/>
      <c r="B49" s="143" t="str">
        <f>B45&amp;" orders"</f>
        <v>Applied Global Services orders</v>
      </c>
      <c r="C49" s="26"/>
      <c r="D49" s="28"/>
      <c r="E49" s="28"/>
      <c r="F49" s="28"/>
      <c r="G49" s="35"/>
      <c r="H49" s="149"/>
      <c r="I49" s="149"/>
      <c r="J49" s="149"/>
      <c r="K49" s="150"/>
      <c r="L49" s="161"/>
      <c r="M49" s="161"/>
      <c r="N49" s="161"/>
      <c r="O49" s="162"/>
      <c r="P49" s="161"/>
      <c r="Q49" s="161"/>
      <c r="R49" s="161"/>
      <c r="S49" s="162"/>
      <c r="T49" s="161"/>
      <c r="U49" s="161"/>
      <c r="V49" s="161"/>
      <c r="W49" s="162"/>
      <c r="X49" s="161"/>
      <c r="Y49" s="161"/>
      <c r="Z49" s="161"/>
      <c r="AA49" s="162"/>
      <c r="AB49" s="161"/>
      <c r="AC49" s="161"/>
      <c r="AD49" s="161"/>
      <c r="AE49" s="162"/>
      <c r="AF49" s="161"/>
      <c r="AG49" s="161"/>
      <c r="AH49" s="161"/>
      <c r="AI49" s="162"/>
      <c r="AJ49" s="161"/>
      <c r="AK49" s="161"/>
      <c r="AL49" s="161"/>
      <c r="AM49" s="162"/>
      <c r="AN49" s="161">
        <v>676</v>
      </c>
      <c r="AO49" s="161">
        <v>620</v>
      </c>
      <c r="AP49" s="161">
        <v>543</v>
      </c>
      <c r="AQ49" s="162">
        <v>743</v>
      </c>
      <c r="AR49" s="161">
        <v>755</v>
      </c>
      <c r="AS49" s="161">
        <v>636</v>
      </c>
      <c r="AT49" s="161">
        <v>590</v>
      </c>
      <c r="AU49" s="162">
        <v>794</v>
      </c>
      <c r="AV49" s="161">
        <v>826</v>
      </c>
      <c r="AW49" s="161"/>
      <c r="AX49" s="32"/>
      <c r="AY49" s="31"/>
      <c r="AZ49" s="161"/>
      <c r="BA49" s="32"/>
      <c r="BB49" s="32"/>
      <c r="BC49" s="31"/>
      <c r="BD49" s="32"/>
      <c r="BE49" s="32"/>
      <c r="BF49" s="32"/>
      <c r="BG49" s="31"/>
      <c r="BH49" s="32"/>
      <c r="BI49" s="32"/>
      <c r="BJ49" s="32"/>
      <c r="BK49" s="31"/>
      <c r="BL49" s="36"/>
      <c r="BM49" s="34"/>
      <c r="BN49" s="34"/>
      <c r="BO49" s="34"/>
      <c r="BP49" s="34"/>
      <c r="BQ49" s="34"/>
      <c r="BR49" s="34"/>
      <c r="BS49" s="34"/>
      <c r="BT49" s="34"/>
      <c r="BU49" s="114">
        <v>2345</v>
      </c>
      <c r="BV49" s="34">
        <f>SUM(AN49:AQ49)</f>
        <v>2582</v>
      </c>
      <c r="BW49" s="34"/>
      <c r="BX49" s="34"/>
      <c r="BY49" s="34"/>
      <c r="BZ49" s="34"/>
      <c r="CA49" s="785"/>
      <c r="CB49" s="109"/>
      <c r="CC49" s="18"/>
      <c r="CD49" s="18"/>
      <c r="CE49" s="18"/>
      <c r="CF49" s="18"/>
      <c r="CG49" s="18"/>
      <c r="CH49" s="817"/>
      <c r="CI49" s="795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806"/>
      <c r="CU49" s="34"/>
    </row>
    <row r="50" spans="1:99" ht="14.25" hidden="1" customHeight="1" outlineLevel="1" collapsed="1">
      <c r="A50" s="18"/>
      <c r="B50" s="143" t="s">
        <v>186</v>
      </c>
      <c r="C50" s="79"/>
      <c r="D50" s="80"/>
      <c r="E50" s="80"/>
      <c r="F50" s="80"/>
      <c r="G50" s="41"/>
      <c r="H50" s="80"/>
      <c r="I50" s="80"/>
      <c r="J50" s="80"/>
      <c r="K50" s="41"/>
      <c r="L50" s="80"/>
      <c r="M50" s="80"/>
      <c r="N50" s="80"/>
      <c r="O50" s="41"/>
      <c r="P50" s="80"/>
      <c r="Q50" s="80"/>
      <c r="R50" s="80"/>
      <c r="S50" s="41"/>
      <c r="T50" s="80"/>
      <c r="U50" s="80"/>
      <c r="V50" s="80"/>
      <c r="W50" s="41"/>
      <c r="X50" s="80"/>
      <c r="Y50" s="80"/>
      <c r="Z50" s="80"/>
      <c r="AA50" s="41"/>
      <c r="AB50" s="80"/>
      <c r="AC50" s="80"/>
      <c r="AD50" s="80"/>
      <c r="AE50" s="41"/>
      <c r="AF50" s="80"/>
      <c r="AG50" s="80"/>
      <c r="AH50" s="80"/>
      <c r="AI50" s="41"/>
      <c r="AJ50" s="80"/>
      <c r="AK50" s="80"/>
      <c r="AL50" s="80"/>
      <c r="AM50" s="41"/>
      <c r="AN50" s="80"/>
      <c r="AO50" s="80">
        <f t="shared" ref="AO50:AV50" si="157">AO49/AN49-1</f>
        <v>-8.2840236686390512E-2</v>
      </c>
      <c r="AP50" s="80">
        <f t="shared" si="157"/>
        <v>-0.12419354838709673</v>
      </c>
      <c r="AQ50" s="41">
        <f t="shared" si="157"/>
        <v>0.36832412523020253</v>
      </c>
      <c r="AR50" s="80">
        <f t="shared" si="157"/>
        <v>1.6150740242261152E-2</v>
      </c>
      <c r="AS50" s="80">
        <f t="shared" si="157"/>
        <v>-0.15761589403973508</v>
      </c>
      <c r="AT50" s="80">
        <f t="shared" si="157"/>
        <v>-7.2327044025157217E-2</v>
      </c>
      <c r="AU50" s="41">
        <f t="shared" si="157"/>
        <v>0.34576271186440688</v>
      </c>
      <c r="AV50" s="80">
        <f t="shared" si="157"/>
        <v>4.0302267002518821E-2</v>
      </c>
      <c r="AW50" s="80"/>
      <c r="AX50" s="180"/>
      <c r="AY50" s="181"/>
      <c r="AZ50" s="80"/>
      <c r="BA50" s="180"/>
      <c r="BB50" s="180"/>
      <c r="BC50" s="181"/>
      <c r="BD50" s="180"/>
      <c r="BE50" s="180"/>
      <c r="BF50" s="180"/>
      <c r="BG50" s="181"/>
      <c r="BH50" s="180"/>
      <c r="BI50" s="180"/>
      <c r="BJ50" s="180"/>
      <c r="BK50" s="181"/>
      <c r="BL50" s="36"/>
      <c r="BM50" s="81"/>
      <c r="BN50" s="81"/>
      <c r="BO50" s="81"/>
      <c r="BP50" s="81"/>
      <c r="BQ50" s="81"/>
      <c r="BR50" s="81"/>
      <c r="BS50" s="81"/>
      <c r="BT50" s="81"/>
      <c r="BU50" s="115"/>
      <c r="BV50" s="81"/>
      <c r="BW50" s="81"/>
      <c r="BX50" s="81"/>
      <c r="BY50" s="81"/>
      <c r="BZ50" s="81"/>
      <c r="CA50" s="786"/>
      <c r="CB50" s="109"/>
      <c r="CC50" s="18"/>
      <c r="CD50" s="18"/>
      <c r="CE50" s="18"/>
      <c r="CF50" s="18"/>
      <c r="CG50" s="18"/>
      <c r="CH50" s="817"/>
      <c r="CI50" s="796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06"/>
      <c r="CU50" s="790"/>
    </row>
    <row r="51" spans="1:99" ht="14.25" customHeight="1" collapsed="1">
      <c r="A51" s="18"/>
      <c r="B51" s="9"/>
      <c r="C51" s="79"/>
      <c r="D51" s="80"/>
      <c r="E51" s="80"/>
      <c r="F51" s="80"/>
      <c r="G51" s="41"/>
      <c r="H51" s="80"/>
      <c r="I51" s="80"/>
      <c r="J51" s="80"/>
      <c r="K51" s="41"/>
      <c r="L51" s="80"/>
      <c r="M51" s="80"/>
      <c r="N51" s="80"/>
      <c r="O51" s="41"/>
      <c r="P51" s="80"/>
      <c r="Q51" s="80"/>
      <c r="R51" s="80"/>
      <c r="S51" s="41"/>
      <c r="T51" s="80"/>
      <c r="U51" s="80"/>
      <c r="V51" s="80"/>
      <c r="W51" s="41"/>
      <c r="X51" s="80"/>
      <c r="Y51" s="80"/>
      <c r="Z51" s="80"/>
      <c r="AA51" s="41"/>
      <c r="AB51" s="80"/>
      <c r="AC51" s="80"/>
      <c r="AD51" s="80"/>
      <c r="AE51" s="41"/>
      <c r="AF51" s="80"/>
      <c r="AG51" s="80"/>
      <c r="AH51" s="80"/>
      <c r="AI51" s="41"/>
      <c r="AJ51" s="80"/>
      <c r="AK51" s="80"/>
      <c r="AL51" s="86"/>
      <c r="AM51" s="85"/>
      <c r="AN51" s="80"/>
      <c r="AO51" s="80"/>
      <c r="AP51" s="80"/>
      <c r="AQ51" s="85"/>
      <c r="AR51" s="80"/>
      <c r="AS51" s="80"/>
      <c r="AT51" s="80"/>
      <c r="AU51" s="85"/>
      <c r="AV51" s="80"/>
      <c r="AW51" s="80"/>
      <c r="AX51" s="86"/>
      <c r="AY51" s="85"/>
      <c r="AZ51" s="80"/>
      <c r="BA51" s="86"/>
      <c r="BB51" s="86"/>
      <c r="BC51" s="85"/>
      <c r="BD51" s="86"/>
      <c r="BE51" s="86"/>
      <c r="BF51" s="86"/>
      <c r="BG51" s="85"/>
      <c r="BH51" s="86"/>
      <c r="BI51" s="86"/>
      <c r="BJ51" s="86"/>
      <c r="BK51" s="85"/>
      <c r="BL51" s="36"/>
      <c r="BM51" s="83"/>
      <c r="BN51" s="83"/>
      <c r="BO51" s="83"/>
      <c r="BP51" s="83"/>
      <c r="BQ51" s="83"/>
      <c r="BR51" s="83"/>
      <c r="BS51" s="83"/>
      <c r="BT51" s="83"/>
      <c r="BU51" s="117"/>
      <c r="BV51" s="83"/>
      <c r="BW51" s="83"/>
      <c r="BX51" s="83"/>
      <c r="BY51" s="83"/>
      <c r="BZ51" s="83"/>
      <c r="CA51" s="787"/>
      <c r="CB51" s="109"/>
      <c r="CC51" s="18"/>
      <c r="CD51" s="18"/>
      <c r="CE51" s="18"/>
      <c r="CF51" s="18"/>
      <c r="CG51" s="18"/>
      <c r="CH51" s="817"/>
      <c r="CI51" s="798"/>
      <c r="CJ51" s="83"/>
      <c r="CK51" s="83"/>
      <c r="CL51" s="83"/>
      <c r="CM51" s="83"/>
      <c r="CN51" s="83"/>
      <c r="CO51" s="83"/>
      <c r="CP51" s="83"/>
      <c r="CQ51" s="83"/>
      <c r="CR51" s="83"/>
      <c r="CS51" s="83"/>
      <c r="CT51" s="806"/>
      <c r="CU51" s="791"/>
    </row>
    <row r="52" spans="1:99" ht="14.25" customHeight="1">
      <c r="A52" s="18"/>
      <c r="B52" s="9" t="s">
        <v>430</v>
      </c>
      <c r="C52" s="26"/>
      <c r="D52" s="28"/>
      <c r="E52" s="28"/>
      <c r="F52" s="28"/>
      <c r="G52" s="35"/>
      <c r="H52" s="161"/>
      <c r="I52" s="161"/>
      <c r="J52" s="161"/>
      <c r="K52" s="162"/>
      <c r="L52" s="161"/>
      <c r="M52" s="161"/>
      <c r="N52" s="161"/>
      <c r="O52" s="162"/>
      <c r="P52" s="161"/>
      <c r="Q52" s="161"/>
      <c r="R52" s="161"/>
      <c r="S52" s="162"/>
      <c r="T52" s="161"/>
      <c r="U52" s="161"/>
      <c r="V52" s="161"/>
      <c r="W52" s="162"/>
      <c r="X52" s="161"/>
      <c r="Y52" s="161"/>
      <c r="Z52" s="161"/>
      <c r="AA52" s="162"/>
      <c r="AB52" s="161"/>
      <c r="AC52" s="161"/>
      <c r="AD52" s="161"/>
      <c r="AE52" s="162"/>
      <c r="AF52" s="161"/>
      <c r="AG52" s="161"/>
      <c r="AH52" s="161"/>
      <c r="AI52" s="162"/>
      <c r="AJ52" s="161"/>
      <c r="AK52" s="161"/>
      <c r="AL52" s="161"/>
      <c r="AM52" s="162"/>
      <c r="AN52" s="161">
        <v>316</v>
      </c>
      <c r="AO52" s="161">
        <v>208</v>
      </c>
      <c r="AP52" s="161">
        <v>185</v>
      </c>
      <c r="AQ52" s="162">
        <v>235</v>
      </c>
      <c r="AR52" s="161">
        <v>254</v>
      </c>
      <c r="AS52" s="161">
        <v>187</v>
      </c>
      <c r="AT52" s="161">
        <v>313</v>
      </c>
      <c r="AU52" s="162">
        <v>452</v>
      </c>
      <c r="AV52" s="161">
        <v>422</v>
      </c>
      <c r="AW52" s="161">
        <v>391</v>
      </c>
      <c r="AX52" s="161">
        <v>410</v>
      </c>
      <c r="AY52" s="162">
        <v>677</v>
      </c>
      <c r="AZ52" s="161">
        <v>455</v>
      </c>
      <c r="BA52" s="32">
        <f t="shared" ref="BA52:BC52" si="158">AZ52*(1+BA53)</f>
        <v>582.4</v>
      </c>
      <c r="BB52" s="32">
        <f t="shared" si="158"/>
        <v>640.64</v>
      </c>
      <c r="BC52" s="31">
        <f t="shared" si="158"/>
        <v>832.83199999999999</v>
      </c>
      <c r="BD52" s="32">
        <f t="shared" ref="BD52" si="159">BC52*(1+BD53)</f>
        <v>682.9222400000001</v>
      </c>
      <c r="BE52" s="32">
        <f t="shared" ref="BE52" si="160">BD52*(1+BE53)</f>
        <v>717.06835200000012</v>
      </c>
      <c r="BF52" s="32">
        <f t="shared" ref="BF52" si="161">BE52*(1+BF53)</f>
        <v>752.92176960000018</v>
      </c>
      <c r="BG52" s="31">
        <f t="shared" ref="BG52" si="162">BF52*(1+BG53)</f>
        <v>843.27238195200027</v>
      </c>
      <c r="BH52" s="32">
        <f t="shared" ref="BH52" si="163">BG52*(1+BH53)</f>
        <v>691.48335320064029</v>
      </c>
      <c r="BI52" s="32">
        <f t="shared" ref="BI52" si="164">BH52*(1+BI53)</f>
        <v>726.0575208606723</v>
      </c>
      <c r="BJ52" s="32">
        <f t="shared" ref="BJ52" si="165">BI52*(1+BJ53)</f>
        <v>762.36039690370592</v>
      </c>
      <c r="BK52" s="31">
        <f t="shared" ref="BK52" si="166">BJ52*(1+BK53)</f>
        <v>853.84364453215073</v>
      </c>
      <c r="BL52" s="36"/>
      <c r="BM52" s="34"/>
      <c r="BN52" s="34"/>
      <c r="BO52" s="34"/>
      <c r="BP52" s="34"/>
      <c r="BQ52" s="34"/>
      <c r="BR52" s="34"/>
      <c r="BS52" s="34"/>
      <c r="BT52" s="34"/>
      <c r="BU52" s="114">
        <v>848</v>
      </c>
      <c r="BV52" s="34">
        <f>SUM(AN52:AQ52)</f>
        <v>944</v>
      </c>
      <c r="BW52" s="34">
        <f>SUM(AR52:AU52)</f>
        <v>1206</v>
      </c>
      <c r="BX52" s="34">
        <f>SUM(AV52:AY52)</f>
        <v>1900</v>
      </c>
      <c r="BY52" s="34">
        <f>SUM(AZ52:BC52)</f>
        <v>2510.8719999999998</v>
      </c>
      <c r="BZ52" s="34">
        <f>SUM(BD52:BG52)</f>
        <v>2996.1847435520003</v>
      </c>
      <c r="CA52" s="785">
        <f>SUM(BH52:BK52)</f>
        <v>3033.7449154971691</v>
      </c>
      <c r="CB52" s="109"/>
      <c r="CC52" s="18"/>
      <c r="CD52" s="18"/>
      <c r="CE52" s="18"/>
      <c r="CF52" s="18"/>
      <c r="CG52" s="18"/>
      <c r="CH52" s="817"/>
      <c r="CI52" s="795"/>
      <c r="CJ52" s="34"/>
      <c r="CK52" s="34">
        <f>SUM(AC52:AF52)</f>
        <v>0</v>
      </c>
      <c r="CL52" s="34">
        <f>SUM(AG52:AJ52)</f>
        <v>0</v>
      </c>
      <c r="CM52" s="34">
        <f>SUM(AK52:AN52)</f>
        <v>316</v>
      </c>
      <c r="CN52" s="34">
        <f>SUM(AO52:AR52)</f>
        <v>882</v>
      </c>
      <c r="CO52" s="34">
        <f>SUM(AS52:AV52)</f>
        <v>1374</v>
      </c>
      <c r="CP52" s="34">
        <f>SUM(AW52:AZ52)</f>
        <v>1933</v>
      </c>
      <c r="CQ52" s="34">
        <f>SUM(BA52:BD52)</f>
        <v>2738.7942400000002</v>
      </c>
      <c r="CR52" s="34"/>
      <c r="CS52" s="34"/>
      <c r="CT52" s="806"/>
      <c r="CU52" s="34"/>
    </row>
    <row r="53" spans="1:99" ht="14.25" customHeight="1">
      <c r="A53" s="18"/>
      <c r="B53" s="9" t="s">
        <v>186</v>
      </c>
      <c r="C53" s="79"/>
      <c r="D53" s="80"/>
      <c r="E53" s="80"/>
      <c r="F53" s="80"/>
      <c r="G53" s="41"/>
      <c r="H53" s="80"/>
      <c r="I53" s="80"/>
      <c r="J53" s="80"/>
      <c r="K53" s="41"/>
      <c r="L53" s="80"/>
      <c r="M53" s="80"/>
      <c r="N53" s="80"/>
      <c r="O53" s="41"/>
      <c r="P53" s="80"/>
      <c r="Q53" s="80"/>
      <c r="R53" s="80"/>
      <c r="S53" s="41"/>
      <c r="T53" s="80"/>
      <c r="U53" s="80"/>
      <c r="V53" s="80"/>
      <c r="W53" s="41"/>
      <c r="X53" s="80"/>
      <c r="Y53" s="80"/>
      <c r="Z53" s="80"/>
      <c r="AA53" s="41"/>
      <c r="AB53" s="80"/>
      <c r="AC53" s="80"/>
      <c r="AD53" s="80"/>
      <c r="AE53" s="41"/>
      <c r="AF53" s="80"/>
      <c r="AG53" s="80"/>
      <c r="AH53" s="80"/>
      <c r="AI53" s="41"/>
      <c r="AJ53" s="80"/>
      <c r="AK53" s="80"/>
      <c r="AL53" s="80"/>
      <c r="AM53" s="41"/>
      <c r="AN53" s="80" t="e">
        <f t="shared" ref="AN53:AZ53" si="167">AN52/AM52-1</f>
        <v>#DIV/0!</v>
      </c>
      <c r="AO53" s="80">
        <f t="shared" si="167"/>
        <v>-0.34177215189873422</v>
      </c>
      <c r="AP53" s="80">
        <f t="shared" si="167"/>
        <v>-0.11057692307692313</v>
      </c>
      <c r="AQ53" s="41">
        <f t="shared" si="167"/>
        <v>0.27027027027027017</v>
      </c>
      <c r="AR53" s="80">
        <f t="shared" si="167"/>
        <v>8.085106382978724E-2</v>
      </c>
      <c r="AS53" s="80">
        <f t="shared" si="167"/>
        <v>-0.26377952755905509</v>
      </c>
      <c r="AT53" s="80">
        <f t="shared" si="167"/>
        <v>0.6737967914438503</v>
      </c>
      <c r="AU53" s="41">
        <f t="shared" si="167"/>
        <v>0.44408945686900969</v>
      </c>
      <c r="AV53" s="80">
        <f t="shared" si="167"/>
        <v>-6.6371681415929196E-2</v>
      </c>
      <c r="AW53" s="80">
        <f t="shared" si="167"/>
        <v>-7.3459715639810463E-2</v>
      </c>
      <c r="AX53" s="80">
        <f t="shared" si="167"/>
        <v>4.8593350383631773E-2</v>
      </c>
      <c r="AY53" s="41">
        <f t="shared" si="167"/>
        <v>0.65121951219512186</v>
      </c>
      <c r="AZ53" s="80">
        <f t="shared" si="167"/>
        <v>-0.32791728212703097</v>
      </c>
      <c r="BA53" s="173">
        <v>0.28000000000000003</v>
      </c>
      <c r="BB53" s="173">
        <v>0.1</v>
      </c>
      <c r="BC53" s="174">
        <v>0.3</v>
      </c>
      <c r="BD53" s="173">
        <v>-0.18</v>
      </c>
      <c r="BE53" s="173">
        <v>0.05</v>
      </c>
      <c r="BF53" s="173">
        <v>0.05</v>
      </c>
      <c r="BG53" s="174">
        <v>0.12</v>
      </c>
      <c r="BH53" s="173">
        <v>-0.18</v>
      </c>
      <c r="BI53" s="173">
        <v>0.05</v>
      </c>
      <c r="BJ53" s="173">
        <v>0.05</v>
      </c>
      <c r="BK53" s="174">
        <v>0.12</v>
      </c>
      <c r="BL53" s="36"/>
      <c r="BM53" s="81"/>
      <c r="BN53" s="81"/>
      <c r="BO53" s="81"/>
      <c r="BP53" s="81"/>
      <c r="BQ53" s="81"/>
      <c r="BR53" s="81"/>
      <c r="BS53" s="81"/>
      <c r="BT53" s="81"/>
      <c r="BU53" s="115"/>
      <c r="BV53" s="81"/>
      <c r="BW53" s="81"/>
      <c r="BX53" s="81"/>
      <c r="BY53" s="81"/>
      <c r="BZ53" s="81"/>
      <c r="CA53" s="786"/>
      <c r="CB53" s="109"/>
      <c r="CC53" s="18"/>
      <c r="CD53" s="18"/>
      <c r="CE53" s="18"/>
      <c r="CF53" s="18"/>
      <c r="CG53" s="18"/>
      <c r="CH53" s="817"/>
      <c r="CI53" s="796"/>
      <c r="CJ53" s="81"/>
      <c r="CK53" s="81"/>
      <c r="CL53" s="81"/>
      <c r="CM53" s="81"/>
      <c r="CN53" s="81"/>
      <c r="CO53" s="81"/>
      <c r="CP53" s="81"/>
      <c r="CQ53" s="81"/>
      <c r="CR53" s="81"/>
      <c r="CS53" s="81"/>
      <c r="CT53" s="806"/>
    </row>
    <row r="54" spans="1:99" ht="14.25" customHeight="1">
      <c r="A54" s="18"/>
      <c r="B54" s="9" t="s">
        <v>187</v>
      </c>
      <c r="C54" s="82"/>
      <c r="D54" s="80"/>
      <c r="E54" s="80"/>
      <c r="F54" s="80"/>
      <c r="G54" s="41"/>
      <c r="H54" s="80"/>
      <c r="I54" s="80"/>
      <c r="J54" s="80"/>
      <c r="K54" s="41"/>
      <c r="L54" s="80"/>
      <c r="M54" s="80"/>
      <c r="N54" s="80"/>
      <c r="O54" s="41"/>
      <c r="P54" s="80"/>
      <c r="Q54" s="80"/>
      <c r="R54" s="80"/>
      <c r="S54" s="41"/>
      <c r="T54" s="80"/>
      <c r="U54" s="80"/>
      <c r="V54" s="80"/>
      <c r="W54" s="41"/>
      <c r="X54" s="80"/>
      <c r="Y54" s="80"/>
      <c r="Z54" s="80"/>
      <c r="AA54" s="41"/>
      <c r="AB54" s="80"/>
      <c r="AC54" s="80"/>
      <c r="AD54" s="80"/>
      <c r="AE54" s="41"/>
      <c r="AF54" s="80"/>
      <c r="AG54" s="80"/>
      <c r="AH54" s="80"/>
      <c r="AI54" s="41"/>
      <c r="AJ54" s="80"/>
      <c r="AK54" s="80"/>
      <c r="AL54" s="80"/>
      <c r="AM54" s="41"/>
      <c r="AN54" s="80" t="e">
        <f t="shared" ref="AN54:AZ54" si="168">AN52/AJ52-1</f>
        <v>#DIV/0!</v>
      </c>
      <c r="AO54" s="80" t="e">
        <f t="shared" si="168"/>
        <v>#DIV/0!</v>
      </c>
      <c r="AP54" s="80" t="e">
        <f t="shared" si="168"/>
        <v>#DIV/0!</v>
      </c>
      <c r="AQ54" s="41" t="e">
        <f t="shared" si="168"/>
        <v>#DIV/0!</v>
      </c>
      <c r="AR54" s="80">
        <f t="shared" si="168"/>
        <v>-0.19620253164556967</v>
      </c>
      <c r="AS54" s="80">
        <f t="shared" si="168"/>
        <v>-0.10096153846153844</v>
      </c>
      <c r="AT54" s="80">
        <f t="shared" si="168"/>
        <v>0.69189189189189193</v>
      </c>
      <c r="AU54" s="41">
        <f>AU52/AQ52-1</f>
        <v>0.92340425531914883</v>
      </c>
      <c r="AV54" s="80">
        <f t="shared" si="168"/>
        <v>0.6614173228346456</v>
      </c>
      <c r="AW54" s="80">
        <f t="shared" si="168"/>
        <v>1.0909090909090908</v>
      </c>
      <c r="AX54" s="80">
        <f t="shared" si="168"/>
        <v>0.30990415335463251</v>
      </c>
      <c r="AY54" s="41">
        <f>AY52/AU52-1</f>
        <v>0.49778761061946897</v>
      </c>
      <c r="AZ54" s="80">
        <f t="shared" si="168"/>
        <v>7.8199052132701397E-2</v>
      </c>
      <c r="BA54" s="80">
        <f t="shared" ref="BA54:BG54" si="169">BA52/AW52-1</f>
        <v>0.48951406649616369</v>
      </c>
      <c r="BB54" s="80">
        <f t="shared" si="169"/>
        <v>0.56253658536585371</v>
      </c>
      <c r="BC54" s="41">
        <f t="shared" si="169"/>
        <v>0.23018020679468232</v>
      </c>
      <c r="BD54" s="80">
        <f t="shared" si="169"/>
        <v>0.50092800000000026</v>
      </c>
      <c r="BE54" s="80">
        <f t="shared" si="169"/>
        <v>0.23123000000000027</v>
      </c>
      <c r="BF54" s="80">
        <f t="shared" si="169"/>
        <v>0.17526500000000023</v>
      </c>
      <c r="BG54" s="41">
        <f t="shared" si="169"/>
        <v>1.2536000000000325E-2</v>
      </c>
      <c r="BH54" s="80">
        <f t="shared" ref="BH54" si="170">BH52/BD52-1</f>
        <v>1.2536000000000325E-2</v>
      </c>
      <c r="BI54" s="80">
        <f t="shared" ref="BI54" si="171">BI52/BE52-1</f>
        <v>1.2536000000000325E-2</v>
      </c>
      <c r="BJ54" s="80">
        <f t="shared" ref="BJ54" si="172">BJ52/BF52-1</f>
        <v>1.2536000000000103E-2</v>
      </c>
      <c r="BK54" s="41">
        <f t="shared" ref="BK54" si="173">BK52/BG52-1</f>
        <v>1.2536000000000325E-2</v>
      </c>
      <c r="BL54" s="36"/>
      <c r="BM54" s="80"/>
      <c r="BN54" s="83"/>
      <c r="BO54" s="83"/>
      <c r="BP54" s="83"/>
      <c r="BQ54" s="83"/>
      <c r="BR54" s="83"/>
      <c r="BS54" s="83"/>
      <c r="BT54" s="83"/>
      <c r="BU54" s="117"/>
      <c r="BV54" s="83">
        <f t="shared" ref="BV54:CA54" si="174">BV52/BU52-1</f>
        <v>0.1132075471698113</v>
      </c>
      <c r="BW54" s="83">
        <f t="shared" si="174"/>
        <v>0.27754237288135597</v>
      </c>
      <c r="BX54" s="83">
        <f t="shared" si="174"/>
        <v>0.5754560530679933</v>
      </c>
      <c r="BY54" s="83">
        <f>BY52/BX52-1</f>
        <v>0.32151157894736837</v>
      </c>
      <c r="BZ54" s="83">
        <f t="shared" si="174"/>
        <v>0.19328454160626296</v>
      </c>
      <c r="CA54" s="787">
        <f t="shared" si="174"/>
        <v>1.2536000000000325E-2</v>
      </c>
      <c r="CB54" s="109"/>
      <c r="CC54" s="18"/>
      <c r="CD54" s="18"/>
      <c r="CE54" s="18"/>
      <c r="CF54" s="18"/>
      <c r="CG54" s="18"/>
      <c r="CH54" s="817"/>
      <c r="CI54" s="797"/>
      <c r="CJ54" s="83"/>
      <c r="CK54" s="83"/>
      <c r="CL54" s="83"/>
      <c r="CM54" s="83"/>
      <c r="CN54" s="83">
        <f>CN52/CM52-1</f>
        <v>1.7911392405063293</v>
      </c>
      <c r="CO54" s="83">
        <f>CO52/CN52-1</f>
        <v>0.55782312925170063</v>
      </c>
      <c r="CP54" s="83">
        <f>CP52/CO52-1</f>
        <v>0.40684133915574971</v>
      </c>
      <c r="CQ54" s="83">
        <f>CQ52/CP52-1</f>
        <v>0.41686199689601655</v>
      </c>
      <c r="CR54" s="84"/>
      <c r="CS54" s="84"/>
      <c r="CT54" s="806"/>
    </row>
    <row r="55" spans="1:99" ht="14.25" hidden="1" customHeight="1" outlineLevel="1">
      <c r="A55" s="18"/>
      <c r="B55" s="9" t="s">
        <v>188</v>
      </c>
      <c r="C55" s="79"/>
      <c r="D55" s="80"/>
      <c r="E55" s="80"/>
      <c r="F55" s="80"/>
      <c r="G55" s="41"/>
      <c r="H55" s="80"/>
      <c r="I55" s="80"/>
      <c r="J55" s="80"/>
      <c r="K55" s="41"/>
      <c r="L55" s="80"/>
      <c r="M55" s="80"/>
      <c r="N55" s="80"/>
      <c r="O55" s="41"/>
      <c r="P55" s="80"/>
      <c r="Q55" s="80"/>
      <c r="R55" s="80"/>
      <c r="S55" s="41"/>
      <c r="T55" s="80"/>
      <c r="U55" s="80"/>
      <c r="V55" s="80"/>
      <c r="W55" s="41"/>
      <c r="X55" s="80"/>
      <c r="Y55" s="80"/>
      <c r="Z55" s="80"/>
      <c r="AA55" s="41"/>
      <c r="AB55" s="80"/>
      <c r="AC55" s="80"/>
      <c r="AD55" s="80"/>
      <c r="AE55" s="41"/>
      <c r="AF55" s="80"/>
      <c r="AG55" s="80"/>
      <c r="AH55" s="80"/>
      <c r="AI55" s="41"/>
      <c r="AJ55" s="80"/>
      <c r="AK55" s="80"/>
      <c r="AL55" s="80"/>
      <c r="AM55" s="41"/>
      <c r="AN55" s="80">
        <f t="shared" ref="AN55:AQ55" si="175">AN52/AN$73</f>
        <v>0.13395506570580754</v>
      </c>
      <c r="AO55" s="80">
        <f t="shared" si="175"/>
        <v>8.5176085176085173E-2</v>
      </c>
      <c r="AP55" s="80">
        <f t="shared" si="175"/>
        <v>7.4297188755020074E-2</v>
      </c>
      <c r="AQ55" s="41">
        <f t="shared" si="175"/>
        <v>9.9239864864864871E-2</v>
      </c>
      <c r="AR55" s="80">
        <f t="shared" ref="AR55:AW55" si="176">AR52/AR$73</f>
        <v>0.11253876827647319</v>
      </c>
      <c r="AS55" s="80">
        <f t="shared" si="176"/>
        <v>7.6326530612244897E-2</v>
      </c>
      <c r="AT55" s="80">
        <f t="shared" si="176"/>
        <v>0.1109535625664658</v>
      </c>
      <c r="AU55" s="41">
        <f t="shared" si="176"/>
        <v>0.13709432817713071</v>
      </c>
      <c r="AV55" s="80">
        <f t="shared" si="176"/>
        <v>0.12873703477730322</v>
      </c>
      <c r="AW55" s="80">
        <f t="shared" si="176"/>
        <v>0.11026508742244782</v>
      </c>
      <c r="AX55" s="80">
        <f t="shared" ref="AX55:AZ55" si="177">AX52/AX$73</f>
        <v>0.10950854700854701</v>
      </c>
      <c r="AY55" s="41">
        <f t="shared" si="177"/>
        <v>0.17057193247669439</v>
      </c>
      <c r="AZ55" s="80">
        <f t="shared" si="177"/>
        <v>0.1082302568981922</v>
      </c>
      <c r="BA55" s="86">
        <f t="shared" ref="BA55:BG55" si="178">BA52/BA$73</f>
        <v>0.13058957696062623</v>
      </c>
      <c r="BB55" s="86">
        <f t="shared" si="178"/>
        <v>0.14751595312419472</v>
      </c>
      <c r="BC55" s="85">
        <f t="shared" si="178"/>
        <v>0.19054668678379744</v>
      </c>
      <c r="BD55" s="86">
        <f t="shared" si="178"/>
        <v>0.16111553282098057</v>
      </c>
      <c r="BE55" s="86">
        <f t="shared" si="178"/>
        <v>0.16766236862645392</v>
      </c>
      <c r="BF55" s="86">
        <f t="shared" si="178"/>
        <v>0.17504963693701753</v>
      </c>
      <c r="BG55" s="85">
        <f t="shared" si="178"/>
        <v>0.19342425986143841</v>
      </c>
      <c r="BH55" s="86">
        <f t="shared" ref="BH55:BK55" si="179">BH52/BH$73</f>
        <v>0.15980440635127674</v>
      </c>
      <c r="BI55" s="86">
        <f t="shared" si="179"/>
        <v>0.16633191426950433</v>
      </c>
      <c r="BJ55" s="86">
        <f t="shared" si="179"/>
        <v>0.17286174243079316</v>
      </c>
      <c r="BK55" s="85">
        <f t="shared" si="179"/>
        <v>0.19340670243394609</v>
      </c>
      <c r="BL55" s="36"/>
      <c r="BM55" s="83"/>
      <c r="BN55" s="83"/>
      <c r="BO55" s="83"/>
      <c r="BP55" s="83"/>
      <c r="BQ55" s="83"/>
      <c r="BR55" s="83"/>
      <c r="BS55" s="83"/>
      <c r="BT55" s="83"/>
      <c r="BU55" s="117">
        <f t="shared" ref="BU55:BX55" si="180">BU52/BU$73</f>
        <v>9.3474426807760136E-2</v>
      </c>
      <c r="BV55" s="83">
        <f t="shared" si="180"/>
        <v>9.773268454291334E-2</v>
      </c>
      <c r="BW55" s="83">
        <f t="shared" si="180"/>
        <v>0.11140877598152425</v>
      </c>
      <c r="BX55" s="83">
        <f t="shared" si="180"/>
        <v>0.13070096993877692</v>
      </c>
      <c r="BY55" s="83">
        <f>BY52/BY$73</f>
        <v>0.14449085413789725</v>
      </c>
      <c r="BZ55" s="83">
        <f>BZ52/BZ$73</f>
        <v>0.17443547978257243</v>
      </c>
      <c r="CA55" s="787">
        <f>CA52/CA$73</f>
        <v>0.17318700584493213</v>
      </c>
      <c r="CB55" s="109"/>
      <c r="CC55" s="18"/>
      <c r="CD55" s="18"/>
      <c r="CE55" s="18"/>
      <c r="CF55" s="18"/>
      <c r="CG55" s="18"/>
      <c r="CH55" s="817"/>
      <c r="CI55" s="798"/>
      <c r="CJ55" s="83"/>
      <c r="CK55" s="83"/>
      <c r="CL55" s="83"/>
      <c r="CM55" s="83"/>
      <c r="CN55" s="83"/>
      <c r="CO55" s="83"/>
      <c r="CP55" s="83"/>
      <c r="CQ55" s="83"/>
      <c r="CR55" s="83"/>
      <c r="CS55" s="83"/>
      <c r="CT55" s="806"/>
    </row>
    <row r="56" spans="1:99" ht="14.25" hidden="1" customHeight="1" outlineLevel="1">
      <c r="A56" s="18"/>
      <c r="B56" s="143" t="str">
        <f>B52&amp;" orders"</f>
        <v>Display and Adjacent Market orders</v>
      </c>
      <c r="C56" s="26"/>
      <c r="D56" s="28"/>
      <c r="E56" s="28"/>
      <c r="F56" s="28"/>
      <c r="G56" s="35"/>
      <c r="H56" s="149"/>
      <c r="I56" s="149"/>
      <c r="J56" s="149"/>
      <c r="K56" s="150"/>
      <c r="L56" s="161"/>
      <c r="M56" s="161"/>
      <c r="N56" s="161"/>
      <c r="O56" s="162"/>
      <c r="P56" s="161"/>
      <c r="Q56" s="161"/>
      <c r="R56" s="161"/>
      <c r="S56" s="162"/>
      <c r="T56" s="161"/>
      <c r="U56" s="161"/>
      <c r="V56" s="161"/>
      <c r="W56" s="162"/>
      <c r="X56" s="161"/>
      <c r="Y56" s="161"/>
      <c r="Z56" s="161"/>
      <c r="AA56" s="162"/>
      <c r="AB56" s="161"/>
      <c r="AC56" s="161"/>
      <c r="AD56" s="161"/>
      <c r="AE56" s="162"/>
      <c r="AF56" s="161"/>
      <c r="AG56" s="161"/>
      <c r="AH56" s="161"/>
      <c r="AI56" s="162"/>
      <c r="AJ56" s="161"/>
      <c r="AK56" s="161"/>
      <c r="AL56" s="161"/>
      <c r="AM56" s="162"/>
      <c r="AN56" s="161">
        <v>132</v>
      </c>
      <c r="AO56" s="161">
        <v>159</v>
      </c>
      <c r="AP56" s="161">
        <v>318</v>
      </c>
      <c r="AQ56" s="162">
        <v>219</v>
      </c>
      <c r="AR56" s="161">
        <v>208</v>
      </c>
      <c r="AS56" s="161">
        <v>762</v>
      </c>
      <c r="AT56" s="161">
        <v>803</v>
      </c>
      <c r="AU56" s="162">
        <v>387</v>
      </c>
      <c r="AV56" s="161">
        <v>632</v>
      </c>
      <c r="AW56" s="161"/>
      <c r="AX56" s="32"/>
      <c r="AY56" s="31"/>
      <c r="AZ56" s="161"/>
      <c r="BA56" s="32"/>
      <c r="BB56" s="32"/>
      <c r="BC56" s="31"/>
      <c r="BD56" s="32"/>
      <c r="BE56" s="32"/>
      <c r="BF56" s="32"/>
      <c r="BG56" s="31"/>
      <c r="BH56" s="32"/>
      <c r="BI56" s="32"/>
      <c r="BJ56" s="32"/>
      <c r="BK56" s="31"/>
      <c r="BL56" s="36"/>
      <c r="BM56" s="34"/>
      <c r="BN56" s="34"/>
      <c r="BO56" s="34"/>
      <c r="BP56" s="34"/>
      <c r="BQ56" s="34"/>
      <c r="BR56" s="34"/>
      <c r="BS56" s="34"/>
      <c r="BT56" s="34"/>
      <c r="BU56" s="114">
        <v>1066</v>
      </c>
      <c r="BV56" s="34">
        <f>SUM(AN56:AQ56)</f>
        <v>828</v>
      </c>
      <c r="BW56" s="34">
        <f>SUM(AR56:AU56)</f>
        <v>2160</v>
      </c>
      <c r="BX56" s="34">
        <f>SUM(AV56:AY56)</f>
        <v>632</v>
      </c>
      <c r="BY56" s="34">
        <f>SUM(AZ56:BC56)</f>
        <v>0</v>
      </c>
      <c r="BZ56" s="34">
        <f>SUM(BD56:BG56)</f>
        <v>0</v>
      </c>
      <c r="CA56" s="785">
        <f>SUM(BH56:BK56)</f>
        <v>0</v>
      </c>
      <c r="CB56" s="109"/>
      <c r="CC56" s="18"/>
      <c r="CD56" s="18"/>
      <c r="CE56" s="18"/>
      <c r="CF56" s="18"/>
      <c r="CG56" s="18"/>
      <c r="CH56" s="817"/>
      <c r="CI56" s="795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806"/>
    </row>
    <row r="57" spans="1:99" ht="14.25" hidden="1" customHeight="1" outlineLevel="1" collapsed="1">
      <c r="A57" s="18"/>
      <c r="B57" s="143" t="s">
        <v>186</v>
      </c>
      <c r="C57" s="79"/>
      <c r="D57" s="80"/>
      <c r="E57" s="80"/>
      <c r="F57" s="80"/>
      <c r="G57" s="41"/>
      <c r="H57" s="80"/>
      <c r="I57" s="80"/>
      <c r="J57" s="80"/>
      <c r="K57" s="41"/>
      <c r="L57" s="80"/>
      <c r="M57" s="80"/>
      <c r="N57" s="80"/>
      <c r="O57" s="41"/>
      <c r="P57" s="80"/>
      <c r="Q57" s="80"/>
      <c r="R57" s="80"/>
      <c r="S57" s="41"/>
      <c r="T57" s="80"/>
      <c r="U57" s="80"/>
      <c r="V57" s="80"/>
      <c r="W57" s="41"/>
      <c r="X57" s="80"/>
      <c r="Y57" s="80"/>
      <c r="Z57" s="80"/>
      <c r="AA57" s="41"/>
      <c r="AB57" s="80"/>
      <c r="AC57" s="80"/>
      <c r="AD57" s="80"/>
      <c r="AE57" s="41"/>
      <c r="AF57" s="80"/>
      <c r="AG57" s="80"/>
      <c r="AH57" s="80"/>
      <c r="AI57" s="41"/>
      <c r="AJ57" s="80"/>
      <c r="AK57" s="80"/>
      <c r="AL57" s="80"/>
      <c r="AM57" s="41"/>
      <c r="AN57" s="80" t="e">
        <f t="shared" ref="AN57:AV57" si="181">AN56/AM56-1</f>
        <v>#DIV/0!</v>
      </c>
      <c r="AO57" s="80">
        <f t="shared" si="181"/>
        <v>0.20454545454545459</v>
      </c>
      <c r="AP57" s="80">
        <f t="shared" si="181"/>
        <v>1</v>
      </c>
      <c r="AQ57" s="41">
        <f t="shared" si="181"/>
        <v>-0.31132075471698117</v>
      </c>
      <c r="AR57" s="80">
        <f t="shared" si="181"/>
        <v>-5.0228310502283158E-2</v>
      </c>
      <c r="AS57" s="80">
        <f t="shared" si="181"/>
        <v>2.6634615384615383</v>
      </c>
      <c r="AT57" s="80">
        <f t="shared" si="181"/>
        <v>5.3805774278215202E-2</v>
      </c>
      <c r="AU57" s="41">
        <f t="shared" si="181"/>
        <v>-0.51805728518057292</v>
      </c>
      <c r="AV57" s="80">
        <f t="shared" si="181"/>
        <v>0.63307493540051674</v>
      </c>
      <c r="AW57" s="80"/>
      <c r="AX57" s="180"/>
      <c r="AY57" s="181"/>
      <c r="AZ57" s="80"/>
      <c r="BA57" s="180"/>
      <c r="BB57" s="180"/>
      <c r="BC57" s="181"/>
      <c r="BD57" s="180"/>
      <c r="BE57" s="180"/>
      <c r="BF57" s="180"/>
      <c r="BG57" s="181"/>
      <c r="BH57" s="180"/>
      <c r="BI57" s="180"/>
      <c r="BJ57" s="180"/>
      <c r="BK57" s="181"/>
      <c r="BL57" s="36"/>
      <c r="BM57" s="81"/>
      <c r="BN57" s="81"/>
      <c r="BO57" s="81"/>
      <c r="BP57" s="81"/>
      <c r="BQ57" s="81"/>
      <c r="BR57" s="81"/>
      <c r="BS57" s="81"/>
      <c r="BT57" s="81"/>
      <c r="BU57" s="115"/>
      <c r="BV57" s="81"/>
      <c r="BW57" s="81"/>
      <c r="BX57" s="81"/>
      <c r="BY57" s="81"/>
      <c r="BZ57" s="81"/>
      <c r="CA57" s="786"/>
      <c r="CB57" s="109"/>
      <c r="CC57" s="18"/>
      <c r="CD57" s="18"/>
      <c r="CE57" s="18"/>
      <c r="CF57" s="18"/>
      <c r="CG57" s="18"/>
      <c r="CH57" s="817"/>
      <c r="CI57" s="796"/>
      <c r="CJ57" s="81"/>
      <c r="CK57" s="81"/>
      <c r="CL57" s="81"/>
      <c r="CM57" s="81"/>
      <c r="CN57" s="81"/>
      <c r="CO57" s="81"/>
      <c r="CP57" s="81"/>
      <c r="CQ57" s="81"/>
      <c r="CR57" s="81"/>
      <c r="CS57" s="81"/>
      <c r="CT57" s="806"/>
    </row>
    <row r="58" spans="1:99" ht="14.25" customHeight="1" collapsed="1">
      <c r="A58" s="18"/>
      <c r="B58" s="9"/>
      <c r="C58" s="79"/>
      <c r="D58" s="80"/>
      <c r="E58" s="80"/>
      <c r="F58" s="80"/>
      <c r="G58" s="41"/>
      <c r="H58" s="80"/>
      <c r="I58" s="80"/>
      <c r="J58" s="80"/>
      <c r="K58" s="41"/>
      <c r="L58" s="80"/>
      <c r="M58" s="80"/>
      <c r="N58" s="80"/>
      <c r="O58" s="41"/>
      <c r="P58" s="80"/>
      <c r="Q58" s="80"/>
      <c r="R58" s="80"/>
      <c r="S58" s="41"/>
      <c r="T58" s="80"/>
      <c r="U58" s="80"/>
      <c r="V58" s="80"/>
      <c r="W58" s="41"/>
      <c r="X58" s="80"/>
      <c r="Y58" s="80"/>
      <c r="Z58" s="80"/>
      <c r="AA58" s="41"/>
      <c r="AB58" s="80"/>
      <c r="AC58" s="80"/>
      <c r="AD58" s="80"/>
      <c r="AE58" s="41"/>
      <c r="AF58" s="80"/>
      <c r="AG58" s="80"/>
      <c r="AH58" s="80"/>
      <c r="AI58" s="41"/>
      <c r="AJ58" s="80"/>
      <c r="AK58" s="80"/>
      <c r="AL58" s="86"/>
      <c r="AM58" s="85"/>
      <c r="AN58" s="80"/>
      <c r="AO58" s="80"/>
      <c r="AP58" s="80"/>
      <c r="AQ58" s="85"/>
      <c r="AR58" s="80"/>
      <c r="AS58" s="80"/>
      <c r="AT58" s="80"/>
      <c r="AU58" s="85"/>
      <c r="AV58" s="80"/>
      <c r="AW58" s="80"/>
      <c r="AX58" s="86"/>
      <c r="AY58" s="85"/>
      <c r="AZ58" s="80"/>
      <c r="BA58" s="86"/>
      <c r="BB58" s="86"/>
      <c r="BC58" s="85"/>
      <c r="BD58" s="86"/>
      <c r="BE58" s="86"/>
      <c r="BF58" s="86"/>
      <c r="BG58" s="85"/>
      <c r="BH58" s="86"/>
      <c r="BI58" s="86"/>
      <c r="BJ58" s="86"/>
      <c r="BK58" s="85"/>
      <c r="BL58" s="36"/>
      <c r="BM58" s="83"/>
      <c r="BN58" s="83"/>
      <c r="BO58" s="83"/>
      <c r="BP58" s="83"/>
      <c r="BQ58" s="83"/>
      <c r="BR58" s="83"/>
      <c r="BS58" s="83"/>
      <c r="BT58" s="83"/>
      <c r="BU58" s="117"/>
      <c r="BV58" s="83"/>
      <c r="BW58" s="83"/>
      <c r="BX58" s="83"/>
      <c r="BY58" s="83"/>
      <c r="BZ58" s="83"/>
      <c r="CA58" s="787"/>
      <c r="CB58" s="109"/>
      <c r="CC58" s="18"/>
      <c r="CD58" s="18"/>
      <c r="CE58" s="18"/>
      <c r="CF58" s="18"/>
      <c r="CG58" s="18"/>
      <c r="CH58" s="817"/>
      <c r="CI58" s="798"/>
      <c r="CJ58" s="83"/>
      <c r="CK58" s="83"/>
      <c r="CL58" s="83"/>
      <c r="CM58" s="83"/>
      <c r="CN58" s="83"/>
      <c r="CO58" s="83"/>
      <c r="CP58" s="83"/>
      <c r="CQ58" s="83"/>
      <c r="CR58" s="83"/>
      <c r="CS58" s="83"/>
      <c r="CT58" s="806"/>
    </row>
    <row r="59" spans="1:99" ht="14.25" customHeight="1">
      <c r="A59" s="18"/>
      <c r="B59" s="9" t="s">
        <v>431</v>
      </c>
      <c r="C59" s="26"/>
      <c r="D59" s="28"/>
      <c r="E59" s="28"/>
      <c r="F59" s="28"/>
      <c r="G59" s="35"/>
      <c r="H59" s="161"/>
      <c r="I59" s="161"/>
      <c r="J59" s="161"/>
      <c r="K59" s="162"/>
      <c r="L59" s="161"/>
      <c r="M59" s="161"/>
      <c r="N59" s="161"/>
      <c r="O59" s="162"/>
      <c r="P59" s="161"/>
      <c r="Q59" s="161"/>
      <c r="R59" s="161"/>
      <c r="S59" s="162"/>
      <c r="T59" s="161"/>
      <c r="U59" s="161"/>
      <c r="V59" s="161"/>
      <c r="W59" s="162"/>
      <c r="X59" s="161"/>
      <c r="Y59" s="161"/>
      <c r="Z59" s="161"/>
      <c r="AA59" s="162"/>
      <c r="AB59" s="161"/>
      <c r="AC59" s="161"/>
      <c r="AD59" s="161"/>
      <c r="AE59" s="162"/>
      <c r="AF59" s="161"/>
      <c r="AG59" s="161"/>
      <c r="AH59" s="161"/>
      <c r="AI59" s="162"/>
      <c r="AJ59" s="161"/>
      <c r="AK59" s="161"/>
      <c r="AL59" s="161"/>
      <c r="AM59" s="162"/>
      <c r="AN59" s="161">
        <v>34</v>
      </c>
      <c r="AO59" s="161">
        <v>47</v>
      </c>
      <c r="AP59" s="161">
        <v>24</v>
      </c>
      <c r="AQ59" s="162">
        <v>28</v>
      </c>
      <c r="AR59" s="161">
        <v>24</v>
      </c>
      <c r="AS59" s="161">
        <v>43</v>
      </c>
      <c r="AT59" s="161">
        <f>2821-AT52-AT45-AT8</f>
        <v>65</v>
      </c>
      <c r="AU59" s="162">
        <v>25</v>
      </c>
      <c r="AV59" s="161">
        <v>30</v>
      </c>
      <c r="AW59" s="161">
        <v>27</v>
      </c>
      <c r="AX59" s="161">
        <v>16</v>
      </c>
      <c r="AY59" s="162">
        <v>30</v>
      </c>
      <c r="AZ59" s="161">
        <v>22</v>
      </c>
      <c r="BA59" s="32">
        <f t="shared" ref="BA59:BC59" si="182">AZ59*(1+BA60)</f>
        <v>22</v>
      </c>
      <c r="BB59" s="32">
        <f t="shared" si="182"/>
        <v>22</v>
      </c>
      <c r="BC59" s="31">
        <f t="shared" si="182"/>
        <v>22</v>
      </c>
      <c r="BD59" s="32">
        <f t="shared" ref="BD59" si="183">BC59*(1+BD60)</f>
        <v>22</v>
      </c>
      <c r="BE59" s="32">
        <f t="shared" ref="BE59" si="184">BD59*(1+BE60)</f>
        <v>22</v>
      </c>
      <c r="BF59" s="32">
        <f t="shared" ref="BF59" si="185">BE59*(1+BF60)</f>
        <v>22</v>
      </c>
      <c r="BG59" s="31">
        <f t="shared" ref="BG59" si="186">BF59*(1+BG60)</f>
        <v>22</v>
      </c>
      <c r="BH59" s="32">
        <f t="shared" ref="BH59" si="187">BG59*(1+BH60)</f>
        <v>22</v>
      </c>
      <c r="BI59" s="32">
        <f t="shared" ref="BI59" si="188">BH59*(1+BI60)</f>
        <v>22</v>
      </c>
      <c r="BJ59" s="32">
        <f t="shared" ref="BJ59" si="189">BI59*(1+BJ60)</f>
        <v>22</v>
      </c>
      <c r="BK59" s="31">
        <f t="shared" ref="BK59" si="190">BJ59*(1+BK60)</f>
        <v>22</v>
      </c>
      <c r="BL59" s="36"/>
      <c r="BM59" s="34"/>
      <c r="BN59" s="34"/>
      <c r="BO59" s="34"/>
      <c r="BP59" s="34"/>
      <c r="BQ59" s="34"/>
      <c r="BR59" s="34"/>
      <c r="BS59" s="34"/>
      <c r="BT59" s="34"/>
      <c r="BU59" s="114">
        <v>132</v>
      </c>
      <c r="BV59" s="34">
        <f>SUM(AN59:AQ59)</f>
        <v>133</v>
      </c>
      <c r="BW59" s="34">
        <f>SUM(AR59:AU59)</f>
        <v>157</v>
      </c>
      <c r="BX59" s="34">
        <f>SUM(AV59:AY59)</f>
        <v>103</v>
      </c>
      <c r="BY59" s="34">
        <f>SUM(AZ59:BC59)</f>
        <v>88</v>
      </c>
      <c r="BZ59" s="34">
        <f>SUM(BD59:BG59)</f>
        <v>88</v>
      </c>
      <c r="CA59" s="785">
        <f>SUM(BH59:BK59)</f>
        <v>88</v>
      </c>
      <c r="CB59" s="109"/>
      <c r="CC59" s="18"/>
      <c r="CD59" s="18"/>
      <c r="CE59" s="18"/>
      <c r="CF59" s="18"/>
      <c r="CG59" s="18"/>
      <c r="CH59" s="817"/>
      <c r="CI59" s="795"/>
      <c r="CJ59" s="34"/>
      <c r="CK59" s="34">
        <f>SUM(AC59:AF59)</f>
        <v>0</v>
      </c>
      <c r="CL59" s="34">
        <f>SUM(AG59:AJ59)</f>
        <v>0</v>
      </c>
      <c r="CM59" s="34">
        <f>SUM(AK59:AN59)</f>
        <v>34</v>
      </c>
      <c r="CN59" s="34">
        <f>SUM(AO59:AR59)</f>
        <v>123</v>
      </c>
      <c r="CO59" s="34">
        <f>SUM(AS59:AV59)</f>
        <v>163</v>
      </c>
      <c r="CP59" s="34">
        <f>SUM(AW59:AZ59)</f>
        <v>95</v>
      </c>
      <c r="CQ59" s="34">
        <f>SUM(BA59:BD59)</f>
        <v>88</v>
      </c>
      <c r="CR59" s="34"/>
      <c r="CS59" s="34"/>
      <c r="CT59" s="806"/>
    </row>
    <row r="60" spans="1:99" ht="14.25" customHeight="1">
      <c r="A60" s="18"/>
      <c r="B60" s="9" t="s">
        <v>186</v>
      </c>
      <c r="C60" s="79"/>
      <c r="D60" s="80"/>
      <c r="E60" s="80"/>
      <c r="F60" s="80"/>
      <c r="G60" s="41"/>
      <c r="H60" s="80"/>
      <c r="I60" s="80"/>
      <c r="J60" s="80"/>
      <c r="K60" s="41"/>
      <c r="L60" s="80"/>
      <c r="M60" s="80"/>
      <c r="N60" s="80"/>
      <c r="O60" s="41"/>
      <c r="P60" s="80"/>
      <c r="Q60" s="80"/>
      <c r="R60" s="80"/>
      <c r="S60" s="41"/>
      <c r="T60" s="80"/>
      <c r="U60" s="80"/>
      <c r="V60" s="80"/>
      <c r="W60" s="41"/>
      <c r="X60" s="80"/>
      <c r="Y60" s="80"/>
      <c r="Z60" s="80"/>
      <c r="AA60" s="41"/>
      <c r="AB60" s="80"/>
      <c r="AC60" s="80"/>
      <c r="AD60" s="80"/>
      <c r="AE60" s="41"/>
      <c r="AF60" s="80"/>
      <c r="AG60" s="80"/>
      <c r="AH60" s="80"/>
      <c r="AI60" s="41"/>
      <c r="AJ60" s="80"/>
      <c r="AK60" s="80"/>
      <c r="AL60" s="80"/>
      <c r="AM60" s="41"/>
      <c r="AN60" s="80" t="e">
        <f t="shared" ref="AN60:AZ60" si="191">AN59/AM59-1</f>
        <v>#DIV/0!</v>
      </c>
      <c r="AO60" s="80">
        <f t="shared" si="191"/>
        <v>0.38235294117647056</v>
      </c>
      <c r="AP60" s="80">
        <f t="shared" si="191"/>
        <v>-0.48936170212765961</v>
      </c>
      <c r="AQ60" s="41">
        <f t="shared" si="191"/>
        <v>0.16666666666666674</v>
      </c>
      <c r="AR60" s="80">
        <f t="shared" si="191"/>
        <v>-0.1428571428571429</v>
      </c>
      <c r="AS60" s="80">
        <f t="shared" si="191"/>
        <v>0.79166666666666674</v>
      </c>
      <c r="AT60" s="80">
        <f t="shared" si="191"/>
        <v>0.51162790697674421</v>
      </c>
      <c r="AU60" s="41">
        <f t="shared" si="191"/>
        <v>-0.61538461538461542</v>
      </c>
      <c r="AV60" s="80">
        <f t="shared" si="191"/>
        <v>0.19999999999999996</v>
      </c>
      <c r="AW60" s="80">
        <f t="shared" si="191"/>
        <v>-9.9999999999999978E-2</v>
      </c>
      <c r="AX60" s="80">
        <f t="shared" si="191"/>
        <v>-0.40740740740740744</v>
      </c>
      <c r="AY60" s="41">
        <f t="shared" si="191"/>
        <v>0.875</v>
      </c>
      <c r="AZ60" s="80">
        <f t="shared" si="191"/>
        <v>-0.26666666666666672</v>
      </c>
      <c r="BA60" s="173">
        <v>0</v>
      </c>
      <c r="BB60" s="173">
        <v>0</v>
      </c>
      <c r="BC60" s="174">
        <v>0</v>
      </c>
      <c r="BD60" s="173">
        <v>0</v>
      </c>
      <c r="BE60" s="173">
        <v>0</v>
      </c>
      <c r="BF60" s="173">
        <v>0</v>
      </c>
      <c r="BG60" s="174">
        <v>0</v>
      </c>
      <c r="BH60" s="173">
        <v>0</v>
      </c>
      <c r="BI60" s="173">
        <v>0</v>
      </c>
      <c r="BJ60" s="173">
        <v>0</v>
      </c>
      <c r="BK60" s="174">
        <v>0</v>
      </c>
      <c r="BL60" s="36"/>
      <c r="BM60" s="81"/>
      <c r="BN60" s="81"/>
      <c r="BO60" s="81"/>
      <c r="BP60" s="81"/>
      <c r="BQ60" s="81"/>
      <c r="BR60" s="81"/>
      <c r="BS60" s="81"/>
      <c r="BT60" s="81"/>
      <c r="BU60" s="115"/>
      <c r="BV60" s="81"/>
      <c r="BW60" s="81"/>
      <c r="BX60" s="81"/>
      <c r="BY60" s="81"/>
      <c r="BZ60" s="81"/>
      <c r="CA60" s="786"/>
      <c r="CB60" s="109"/>
      <c r="CC60" s="18"/>
      <c r="CD60" s="18"/>
      <c r="CE60" s="18"/>
      <c r="CF60" s="18"/>
      <c r="CG60" s="18"/>
      <c r="CH60" s="817"/>
      <c r="CI60" s="796"/>
      <c r="CJ60" s="81"/>
      <c r="CK60" s="81"/>
      <c r="CL60" s="81"/>
      <c r="CM60" s="81"/>
      <c r="CN60" s="81"/>
      <c r="CO60" s="81"/>
      <c r="CP60" s="81"/>
      <c r="CQ60" s="81"/>
      <c r="CR60" s="81"/>
      <c r="CS60" s="81"/>
      <c r="CT60" s="806"/>
    </row>
    <row r="61" spans="1:99" ht="14.25" customHeight="1">
      <c r="A61" s="18"/>
      <c r="B61" s="9" t="s">
        <v>187</v>
      </c>
      <c r="C61" s="82"/>
      <c r="D61" s="80"/>
      <c r="E61" s="80"/>
      <c r="F61" s="80"/>
      <c r="G61" s="41"/>
      <c r="H61" s="80"/>
      <c r="I61" s="80"/>
      <c r="J61" s="80"/>
      <c r="K61" s="41"/>
      <c r="L61" s="80"/>
      <c r="M61" s="80"/>
      <c r="N61" s="80"/>
      <c r="O61" s="41"/>
      <c r="P61" s="80"/>
      <c r="Q61" s="80"/>
      <c r="R61" s="80"/>
      <c r="S61" s="41"/>
      <c r="T61" s="80"/>
      <c r="U61" s="80"/>
      <c r="V61" s="80"/>
      <c r="W61" s="41"/>
      <c r="X61" s="80"/>
      <c r="Y61" s="80"/>
      <c r="Z61" s="80"/>
      <c r="AA61" s="41"/>
      <c r="AB61" s="80"/>
      <c r="AC61" s="80"/>
      <c r="AD61" s="80"/>
      <c r="AE61" s="41"/>
      <c r="AF61" s="80"/>
      <c r="AG61" s="80"/>
      <c r="AH61" s="80"/>
      <c r="AI61" s="41"/>
      <c r="AJ61" s="80"/>
      <c r="AK61" s="80"/>
      <c r="AL61" s="80"/>
      <c r="AM61" s="41"/>
      <c r="AN61" s="80" t="e">
        <f t="shared" ref="AN61:AZ61" si="192">AN59/AJ59-1</f>
        <v>#DIV/0!</v>
      </c>
      <c r="AO61" s="80" t="e">
        <f t="shared" si="192"/>
        <v>#DIV/0!</v>
      </c>
      <c r="AP61" s="80" t="e">
        <f t="shared" si="192"/>
        <v>#DIV/0!</v>
      </c>
      <c r="AQ61" s="41" t="e">
        <f t="shared" si="192"/>
        <v>#DIV/0!</v>
      </c>
      <c r="AR61" s="80">
        <f t="shared" si="192"/>
        <v>-0.29411764705882348</v>
      </c>
      <c r="AS61" s="80">
        <f t="shared" si="192"/>
        <v>-8.5106382978723416E-2</v>
      </c>
      <c r="AT61" s="80">
        <f t="shared" si="192"/>
        <v>1.7083333333333335</v>
      </c>
      <c r="AU61" s="41">
        <f t="shared" si="192"/>
        <v>-0.1071428571428571</v>
      </c>
      <c r="AV61" s="80">
        <f t="shared" si="192"/>
        <v>0.25</v>
      </c>
      <c r="AW61" s="80">
        <f t="shared" si="192"/>
        <v>-0.37209302325581395</v>
      </c>
      <c r="AX61" s="80">
        <f t="shared" si="192"/>
        <v>-0.75384615384615383</v>
      </c>
      <c r="AY61" s="41">
        <f t="shared" si="192"/>
        <v>0.19999999999999996</v>
      </c>
      <c r="AZ61" s="80">
        <f t="shared" si="192"/>
        <v>-0.26666666666666672</v>
      </c>
      <c r="BA61" s="80">
        <f t="shared" ref="BA61:BG61" si="193">BA59/AW59-1</f>
        <v>-0.18518518518518523</v>
      </c>
      <c r="BB61" s="80">
        <f t="shared" si="193"/>
        <v>0.375</v>
      </c>
      <c r="BC61" s="41">
        <f t="shared" si="193"/>
        <v>-0.26666666666666672</v>
      </c>
      <c r="BD61" s="80">
        <f t="shared" si="193"/>
        <v>0</v>
      </c>
      <c r="BE61" s="80">
        <f t="shared" si="193"/>
        <v>0</v>
      </c>
      <c r="BF61" s="80">
        <f t="shared" si="193"/>
        <v>0</v>
      </c>
      <c r="BG61" s="41">
        <f t="shared" si="193"/>
        <v>0</v>
      </c>
      <c r="BH61" s="80">
        <f t="shared" ref="BH61" si="194">BH59/BD59-1</f>
        <v>0</v>
      </c>
      <c r="BI61" s="80">
        <f t="shared" ref="BI61" si="195">BI59/BE59-1</f>
        <v>0</v>
      </c>
      <c r="BJ61" s="80">
        <f t="shared" ref="BJ61" si="196">BJ59/BF59-1</f>
        <v>0</v>
      </c>
      <c r="BK61" s="41">
        <f t="shared" ref="BK61" si="197">BK59/BG59-1</f>
        <v>0</v>
      </c>
      <c r="BL61" s="106"/>
      <c r="BM61" s="80"/>
      <c r="BN61" s="83"/>
      <c r="BO61" s="83"/>
      <c r="BP61" s="83"/>
      <c r="BQ61" s="83"/>
      <c r="BR61" s="83"/>
      <c r="BS61" s="83"/>
      <c r="BT61" s="83"/>
      <c r="BU61" s="117"/>
      <c r="BV61" s="83">
        <f t="shared" ref="BV61:CA61" si="198">BV59/BU59-1</f>
        <v>7.575757575757569E-3</v>
      </c>
      <c r="BW61" s="83">
        <f t="shared" si="198"/>
        <v>0.18045112781954886</v>
      </c>
      <c r="BX61" s="83">
        <f t="shared" si="198"/>
        <v>-0.3439490445859873</v>
      </c>
      <c r="BY61" s="83">
        <f t="shared" si="198"/>
        <v>-0.14563106796116509</v>
      </c>
      <c r="BZ61" s="83">
        <f t="shared" si="198"/>
        <v>0</v>
      </c>
      <c r="CA61" s="787">
        <f t="shared" si="198"/>
        <v>0</v>
      </c>
      <c r="CB61" s="109"/>
      <c r="CC61" s="18"/>
      <c r="CD61" s="18"/>
      <c r="CE61" s="18"/>
      <c r="CF61" s="18"/>
      <c r="CG61" s="18"/>
      <c r="CH61" s="817"/>
      <c r="CI61" s="797"/>
      <c r="CJ61" s="83"/>
      <c r="CK61" s="83"/>
      <c r="CL61" s="83"/>
      <c r="CM61" s="83"/>
      <c r="CN61" s="83">
        <f>CN59/CM59-1</f>
        <v>2.6176470588235294</v>
      </c>
      <c r="CO61" s="83">
        <f>CO59/CN59-1</f>
        <v>0.32520325203252032</v>
      </c>
      <c r="CP61" s="83">
        <f>CP59/CO59-1</f>
        <v>-0.41717791411042948</v>
      </c>
      <c r="CQ61" s="83">
        <f>CQ59/CP59-1</f>
        <v>-7.3684210526315796E-2</v>
      </c>
      <c r="CR61" s="84"/>
      <c r="CS61" s="84"/>
      <c r="CT61" s="806"/>
    </row>
    <row r="62" spans="1:99" ht="14.25" hidden="1" customHeight="1" outlineLevel="1">
      <c r="A62" s="18"/>
      <c r="B62" s="9" t="s">
        <v>188</v>
      </c>
      <c r="C62" s="79"/>
      <c r="D62" s="80"/>
      <c r="E62" s="80"/>
      <c r="F62" s="80"/>
      <c r="G62" s="41"/>
      <c r="H62" s="80"/>
      <c r="I62" s="80"/>
      <c r="J62" s="80"/>
      <c r="K62" s="41"/>
      <c r="L62" s="80"/>
      <c r="M62" s="80"/>
      <c r="N62" s="80"/>
      <c r="O62" s="41"/>
      <c r="P62" s="80"/>
      <c r="Q62" s="80"/>
      <c r="R62" s="80"/>
      <c r="S62" s="41"/>
      <c r="T62" s="80"/>
      <c r="U62" s="80"/>
      <c r="V62" s="80"/>
      <c r="W62" s="41"/>
      <c r="X62" s="80"/>
      <c r="Y62" s="80"/>
      <c r="Z62" s="80"/>
      <c r="AA62" s="41"/>
      <c r="AB62" s="80"/>
      <c r="AC62" s="80"/>
      <c r="AD62" s="80"/>
      <c r="AE62" s="41"/>
      <c r="AF62" s="80"/>
      <c r="AG62" s="80"/>
      <c r="AH62" s="80"/>
      <c r="AI62" s="41"/>
      <c r="AJ62" s="80"/>
      <c r="AK62" s="80"/>
      <c r="AL62" s="80"/>
      <c r="AM62" s="41"/>
      <c r="AN62" s="80">
        <f t="shared" ref="AN62:AQ62" si="199">AN59/AN$73</f>
        <v>1.4412886816447647E-2</v>
      </c>
      <c r="AO62" s="80">
        <f t="shared" si="199"/>
        <v>1.9246519246519246E-2</v>
      </c>
      <c r="AP62" s="80">
        <f t="shared" si="199"/>
        <v>9.6385542168674707E-3</v>
      </c>
      <c r="AQ62" s="41">
        <f t="shared" si="199"/>
        <v>1.1824324324324325E-2</v>
      </c>
      <c r="AR62" s="80">
        <f t="shared" ref="AR62:AV62" si="200">AR59/AR$73</f>
        <v>1.0633584404076208E-2</v>
      </c>
      <c r="AS62" s="80">
        <f t="shared" si="200"/>
        <v>1.7551020408163264E-2</v>
      </c>
      <c r="AT62" s="80">
        <f t="shared" si="200"/>
        <v>2.3041474654377881E-2</v>
      </c>
      <c r="AU62" s="41">
        <f t="shared" si="200"/>
        <v>7.5826508947528055E-3</v>
      </c>
      <c r="AV62" s="80">
        <f t="shared" si="200"/>
        <v>9.1519219035997561E-3</v>
      </c>
      <c r="AW62" s="80">
        <f t="shared" ref="AW62:AZ62" si="201">AW59/AW$73</f>
        <v>7.6142131979695434E-3</v>
      </c>
      <c r="AX62" s="80">
        <f t="shared" si="201"/>
        <v>4.2735042735042739E-3</v>
      </c>
      <c r="AY62" s="41">
        <f t="shared" si="201"/>
        <v>7.5585789871504159E-3</v>
      </c>
      <c r="AZ62" s="80">
        <f t="shared" si="201"/>
        <v>5.2331113225499524E-3</v>
      </c>
      <c r="BA62" s="86">
        <f t="shared" ref="BA62:BG62" si="202">BA59/BA$73</f>
        <v>4.9329853934302493E-3</v>
      </c>
      <c r="BB62" s="86">
        <f t="shared" si="202"/>
        <v>5.0657950935506426E-3</v>
      </c>
      <c r="BC62" s="85">
        <f t="shared" si="202"/>
        <v>5.0334606610259259E-3</v>
      </c>
      <c r="BD62" s="86">
        <f t="shared" si="202"/>
        <v>5.1902566858293732E-3</v>
      </c>
      <c r="BE62" s="86">
        <f t="shared" si="202"/>
        <v>5.1439616592951877E-3</v>
      </c>
      <c r="BF62" s="86">
        <f t="shared" si="202"/>
        <v>5.1148634135792488E-3</v>
      </c>
      <c r="BG62" s="85">
        <f t="shared" si="202"/>
        <v>5.0462149692385655E-3</v>
      </c>
      <c r="BH62" s="86">
        <f t="shared" ref="BH62:BK62" si="203">BH59/BH$73</f>
        <v>5.0842828297386015E-3</v>
      </c>
      <c r="BI62" s="86">
        <f t="shared" si="203"/>
        <v>5.0399617231308884E-3</v>
      </c>
      <c r="BJ62" s="86">
        <f t="shared" si="203"/>
        <v>4.9883996452635814E-3</v>
      </c>
      <c r="BK62" s="85">
        <f t="shared" si="203"/>
        <v>4.9832864375048908E-3</v>
      </c>
      <c r="BL62" s="106"/>
      <c r="BM62" s="83"/>
      <c r="BN62" s="83"/>
      <c r="BO62" s="83"/>
      <c r="BP62" s="83"/>
      <c r="BQ62" s="83"/>
      <c r="BR62" s="83"/>
      <c r="BS62" s="83"/>
      <c r="BT62" s="83"/>
      <c r="BU62" s="117">
        <f t="shared" ref="BU62:BX62" si="204">BU59/BU$73</f>
        <v>1.4550264550264549E-2</v>
      </c>
      <c r="BV62" s="83">
        <f t="shared" si="204"/>
        <v>1.3769541360389274E-2</v>
      </c>
      <c r="BW62" s="83">
        <f t="shared" si="204"/>
        <v>1.4503464203233256E-2</v>
      </c>
      <c r="BX62" s="83">
        <f t="shared" si="204"/>
        <v>7.0853683703652748E-3</v>
      </c>
      <c r="BY62" s="83">
        <f>BY59/BY$73</f>
        <v>5.0640555010908394E-3</v>
      </c>
      <c r="BZ62" s="83">
        <f>BZ59/BZ$73</f>
        <v>5.1232896282184682E-3</v>
      </c>
      <c r="CA62" s="787">
        <f>CA59/CA$73</f>
        <v>5.0236446830126541E-3</v>
      </c>
      <c r="CB62" s="109"/>
      <c r="CC62" s="18"/>
      <c r="CD62" s="18"/>
      <c r="CE62" s="18"/>
      <c r="CF62" s="18"/>
      <c r="CG62" s="18"/>
      <c r="CH62" s="817"/>
      <c r="CI62" s="798"/>
      <c r="CJ62" s="83"/>
      <c r="CK62" s="83"/>
      <c r="CL62" s="83"/>
      <c r="CM62" s="83"/>
      <c r="CN62" s="83"/>
      <c r="CO62" s="83"/>
      <c r="CP62" s="83"/>
      <c r="CQ62" s="83"/>
      <c r="CR62" s="83"/>
      <c r="CS62" s="83"/>
      <c r="CT62" s="806"/>
    </row>
    <row r="63" spans="1:99" ht="14.25" hidden="1" customHeight="1" outlineLevel="1">
      <c r="A63" s="18"/>
      <c r="B63" s="143" t="str">
        <f>B59&amp;" orders"</f>
        <v>Corporate and Other orders</v>
      </c>
      <c r="C63" s="26"/>
      <c r="D63" s="28"/>
      <c r="E63" s="28"/>
      <c r="F63" s="28"/>
      <c r="G63" s="35"/>
      <c r="H63" s="149"/>
      <c r="I63" s="149"/>
      <c r="J63" s="149"/>
      <c r="K63" s="150"/>
      <c r="L63" s="161"/>
      <c r="M63" s="161"/>
      <c r="N63" s="161"/>
      <c r="O63" s="162"/>
      <c r="P63" s="161"/>
      <c r="Q63" s="161"/>
      <c r="R63" s="161"/>
      <c r="S63" s="162"/>
      <c r="T63" s="161"/>
      <c r="U63" s="161"/>
      <c r="V63" s="161"/>
      <c r="W63" s="162"/>
      <c r="X63" s="161"/>
      <c r="Y63" s="161"/>
      <c r="Z63" s="161"/>
      <c r="AA63" s="162"/>
      <c r="AB63" s="161"/>
      <c r="AC63" s="161"/>
      <c r="AD63" s="161"/>
      <c r="AE63" s="162"/>
      <c r="AF63" s="161"/>
      <c r="AG63" s="161"/>
      <c r="AH63" s="161"/>
      <c r="AI63" s="162"/>
      <c r="AJ63" s="161"/>
      <c r="AK63" s="161"/>
      <c r="AL63" s="161"/>
      <c r="AM63" s="162"/>
      <c r="AN63" s="161">
        <v>39</v>
      </c>
      <c r="AO63" s="161">
        <v>32</v>
      </c>
      <c r="AP63" s="161">
        <v>24</v>
      </c>
      <c r="AQ63" s="162">
        <v>18</v>
      </c>
      <c r="AR63" s="161">
        <v>37</v>
      </c>
      <c r="AS63" s="161">
        <v>87</v>
      </c>
      <c r="AT63" s="161">
        <f>3658-AT56-AT49-AT30</f>
        <v>50</v>
      </c>
      <c r="AU63" s="162">
        <v>18</v>
      </c>
      <c r="AV63" s="161">
        <v>21</v>
      </c>
      <c r="AW63" s="161"/>
      <c r="AX63" s="32"/>
      <c r="AY63" s="31"/>
      <c r="AZ63" s="161"/>
      <c r="BA63" s="32"/>
      <c r="BB63" s="32"/>
      <c r="BC63" s="31"/>
      <c r="BD63" s="32"/>
      <c r="BE63" s="32"/>
      <c r="BF63" s="32"/>
      <c r="BG63" s="31"/>
      <c r="BH63" s="32"/>
      <c r="BI63" s="32"/>
      <c r="BJ63" s="32"/>
      <c r="BK63" s="31"/>
      <c r="BL63" s="36"/>
      <c r="BM63" s="34"/>
      <c r="BN63" s="34"/>
      <c r="BO63" s="34"/>
      <c r="BP63" s="34"/>
      <c r="BQ63" s="34"/>
      <c r="BR63" s="34"/>
      <c r="BS63" s="34"/>
      <c r="BT63" s="34"/>
      <c r="BU63" s="114">
        <v>105</v>
      </c>
      <c r="BV63" s="34">
        <f>SUM(AN63:AQ63)</f>
        <v>113</v>
      </c>
      <c r="BW63" s="34">
        <f>SUM(AR63:AU63)</f>
        <v>192</v>
      </c>
      <c r="BX63" s="34"/>
      <c r="BY63" s="34"/>
      <c r="BZ63" s="34"/>
      <c r="CA63" s="114"/>
      <c r="CB63" s="109"/>
      <c r="CC63" s="18"/>
      <c r="CD63" s="18"/>
      <c r="CE63" s="18"/>
      <c r="CF63" s="18"/>
      <c r="CG63" s="18"/>
      <c r="CH63" s="817"/>
      <c r="CI63" s="795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806"/>
    </row>
    <row r="64" spans="1:99" ht="14.25" hidden="1" customHeight="1" outlineLevel="1">
      <c r="A64" s="18"/>
      <c r="B64" s="143" t="s">
        <v>186</v>
      </c>
      <c r="C64" s="79"/>
      <c r="D64" s="80"/>
      <c r="E64" s="80"/>
      <c r="F64" s="80"/>
      <c r="G64" s="41"/>
      <c r="H64" s="80"/>
      <c r="I64" s="80"/>
      <c r="J64" s="80"/>
      <c r="K64" s="41"/>
      <c r="L64" s="80"/>
      <c r="M64" s="80"/>
      <c r="N64" s="80"/>
      <c r="O64" s="41"/>
      <c r="P64" s="80"/>
      <c r="Q64" s="80"/>
      <c r="R64" s="80"/>
      <c r="S64" s="41"/>
      <c r="T64" s="80"/>
      <c r="U64" s="80"/>
      <c r="V64" s="80"/>
      <c r="W64" s="41"/>
      <c r="X64" s="80"/>
      <c r="Y64" s="80"/>
      <c r="Z64" s="80"/>
      <c r="AA64" s="41"/>
      <c r="AB64" s="80"/>
      <c r="AC64" s="80"/>
      <c r="AD64" s="80"/>
      <c r="AE64" s="41"/>
      <c r="AF64" s="80"/>
      <c r="AG64" s="80"/>
      <c r="AH64" s="80"/>
      <c r="AI64" s="41"/>
      <c r="AJ64" s="80"/>
      <c r="AK64" s="80"/>
      <c r="AL64" s="80"/>
      <c r="AM64" s="41"/>
      <c r="AN64" s="80" t="e">
        <f t="shared" ref="AN64:AV64" si="205">AN63/AM63-1</f>
        <v>#DIV/0!</v>
      </c>
      <c r="AO64" s="80">
        <f t="shared" si="205"/>
        <v>-0.17948717948717952</v>
      </c>
      <c r="AP64" s="80">
        <f t="shared" si="205"/>
        <v>-0.25</v>
      </c>
      <c r="AQ64" s="41">
        <f t="shared" si="205"/>
        <v>-0.25</v>
      </c>
      <c r="AR64" s="80">
        <f t="shared" si="205"/>
        <v>1.0555555555555554</v>
      </c>
      <c r="AS64" s="80">
        <f t="shared" si="205"/>
        <v>1.3513513513513513</v>
      </c>
      <c r="AT64" s="80">
        <f t="shared" si="205"/>
        <v>-0.42528735632183912</v>
      </c>
      <c r="AU64" s="41">
        <f t="shared" si="205"/>
        <v>-0.64</v>
      </c>
      <c r="AV64" s="80">
        <f t="shared" si="205"/>
        <v>0.16666666666666674</v>
      </c>
      <c r="AW64" s="80"/>
      <c r="AX64" s="180"/>
      <c r="AY64" s="181"/>
      <c r="AZ64" s="80"/>
      <c r="BA64" s="180"/>
      <c r="BB64" s="180"/>
      <c r="BC64" s="181"/>
      <c r="BD64" s="180"/>
      <c r="BE64" s="180"/>
      <c r="BF64" s="180"/>
      <c r="BG64" s="181"/>
      <c r="BH64" s="180"/>
      <c r="BI64" s="180"/>
      <c r="BJ64" s="180"/>
      <c r="BK64" s="181"/>
      <c r="BL64" s="36"/>
      <c r="BM64" s="81"/>
      <c r="BN64" s="81"/>
      <c r="BO64" s="81"/>
      <c r="BP64" s="81"/>
      <c r="BQ64" s="81"/>
      <c r="BR64" s="81"/>
      <c r="BS64" s="81"/>
      <c r="BT64" s="81"/>
      <c r="BU64" s="115"/>
      <c r="BV64" s="81"/>
      <c r="BW64" s="81"/>
      <c r="BX64" s="81"/>
      <c r="BY64" s="81"/>
      <c r="BZ64" s="81"/>
      <c r="CA64" s="115"/>
      <c r="CB64" s="109"/>
      <c r="CC64" s="18"/>
      <c r="CD64" s="18"/>
      <c r="CE64" s="18"/>
      <c r="CF64" s="18"/>
      <c r="CG64" s="18"/>
      <c r="CH64" s="817"/>
      <c r="CI64" s="796"/>
      <c r="CJ64" s="81"/>
      <c r="CK64" s="81"/>
      <c r="CL64" s="81"/>
      <c r="CM64" s="81"/>
      <c r="CN64" s="81"/>
      <c r="CO64" s="81"/>
      <c r="CP64" s="81"/>
      <c r="CQ64" s="81"/>
      <c r="CR64" s="81"/>
      <c r="CS64" s="81"/>
      <c r="CT64" s="806"/>
    </row>
    <row r="65" spans="1:98" ht="14.25" hidden="1" customHeight="1" outlineLevel="1" collapsed="1">
      <c r="A65" s="18"/>
      <c r="B65" s="9"/>
      <c r="C65" s="79"/>
      <c r="D65" s="80"/>
      <c r="E65" s="80"/>
      <c r="F65" s="80"/>
      <c r="G65" s="41"/>
      <c r="H65" s="80"/>
      <c r="I65" s="80"/>
      <c r="J65" s="80"/>
      <c r="K65" s="41"/>
      <c r="L65" s="80"/>
      <c r="M65" s="80"/>
      <c r="N65" s="80"/>
      <c r="O65" s="41"/>
      <c r="P65" s="80"/>
      <c r="Q65" s="80"/>
      <c r="R65" s="80"/>
      <c r="S65" s="41"/>
      <c r="T65" s="80"/>
      <c r="U65" s="80"/>
      <c r="V65" s="80"/>
      <c r="W65" s="41"/>
      <c r="X65" s="80"/>
      <c r="Y65" s="80"/>
      <c r="Z65" s="80"/>
      <c r="AA65" s="41"/>
      <c r="AB65" s="80"/>
      <c r="AC65" s="80"/>
      <c r="AD65" s="80"/>
      <c r="AE65" s="41"/>
      <c r="AF65" s="80"/>
      <c r="AG65" s="80"/>
      <c r="AH65" s="80"/>
      <c r="AI65" s="41"/>
      <c r="AJ65" s="80"/>
      <c r="AK65" s="80"/>
      <c r="AL65" s="80"/>
      <c r="AM65" s="41"/>
      <c r="AN65" s="80"/>
      <c r="AO65" s="80"/>
      <c r="AP65" s="80"/>
      <c r="AQ65" s="41"/>
      <c r="AR65" s="80"/>
      <c r="AS65" s="80"/>
      <c r="AT65" s="80"/>
      <c r="AU65" s="41"/>
      <c r="AV65" s="80"/>
      <c r="AW65" s="80"/>
      <c r="AX65" s="86"/>
      <c r="AY65" s="85"/>
      <c r="AZ65" s="86"/>
      <c r="BA65" s="86"/>
      <c r="BB65" s="86"/>
      <c r="BC65" s="85"/>
      <c r="BD65" s="86"/>
      <c r="BE65" s="86"/>
      <c r="BF65" s="86"/>
      <c r="BG65" s="85"/>
      <c r="BH65" s="86"/>
      <c r="BI65" s="86"/>
      <c r="BJ65" s="86"/>
      <c r="BK65" s="85"/>
      <c r="BL65" s="36"/>
      <c r="BM65" s="83"/>
      <c r="BN65" s="83"/>
      <c r="BO65" s="83"/>
      <c r="BP65" s="83"/>
      <c r="BQ65" s="83"/>
      <c r="BR65" s="83"/>
      <c r="BS65" s="83"/>
      <c r="BT65" s="83"/>
      <c r="BU65" s="117"/>
      <c r="BV65" s="83"/>
      <c r="BW65" s="83"/>
      <c r="BX65" s="83"/>
      <c r="BY65" s="83"/>
      <c r="BZ65" s="83"/>
      <c r="CA65" s="117"/>
      <c r="CB65" s="109"/>
      <c r="CC65" s="18"/>
      <c r="CD65" s="18"/>
      <c r="CE65" s="18"/>
      <c r="CF65" s="18"/>
      <c r="CG65" s="18"/>
      <c r="CH65" s="817"/>
      <c r="CI65" s="798"/>
      <c r="CJ65" s="83"/>
      <c r="CK65" s="83"/>
      <c r="CL65" s="83"/>
      <c r="CM65" s="83"/>
      <c r="CN65" s="83"/>
      <c r="CO65" s="83"/>
      <c r="CP65" s="83"/>
      <c r="CQ65" s="83"/>
      <c r="CR65" s="83"/>
      <c r="CS65" s="83"/>
      <c r="CT65" s="806"/>
    </row>
    <row r="66" spans="1:98" ht="14.25" hidden="1" customHeight="1" outlineLevel="1">
      <c r="A66" s="18"/>
      <c r="B66" s="9" t="s">
        <v>225</v>
      </c>
      <c r="C66" s="26"/>
      <c r="D66" s="28"/>
      <c r="E66" s="28"/>
      <c r="F66" s="28"/>
      <c r="G66" s="35"/>
      <c r="H66" s="149"/>
      <c r="I66" s="149"/>
      <c r="J66" s="149"/>
      <c r="K66" s="150"/>
      <c r="L66" s="149"/>
      <c r="M66" s="149"/>
      <c r="N66" s="149"/>
      <c r="O66" s="162"/>
      <c r="P66" s="161"/>
      <c r="Q66" s="161"/>
      <c r="R66" s="161"/>
      <c r="S66" s="162"/>
      <c r="T66" s="161"/>
      <c r="U66" s="161"/>
      <c r="V66" s="161"/>
      <c r="W66" s="162"/>
      <c r="X66" s="161"/>
      <c r="Y66" s="161"/>
      <c r="Z66" s="161"/>
      <c r="AA66" s="162"/>
      <c r="AB66" s="161"/>
      <c r="AC66" s="161"/>
      <c r="AD66" s="161"/>
      <c r="AE66" s="162"/>
      <c r="AF66" s="161"/>
      <c r="AG66" s="161"/>
      <c r="AH66" s="161"/>
      <c r="AI66" s="162"/>
      <c r="AJ66" s="161"/>
      <c r="AK66" s="161"/>
      <c r="AL66" s="161"/>
      <c r="AM66" s="162"/>
      <c r="AN66" s="161"/>
      <c r="AO66" s="161"/>
      <c r="AP66" s="161"/>
      <c r="AQ66" s="162"/>
      <c r="AR66" s="161"/>
      <c r="AS66" s="161"/>
      <c r="AT66" s="161">
        <v>4950</v>
      </c>
      <c r="AU66" s="162"/>
      <c r="AV66" s="161"/>
      <c r="AW66" s="161"/>
      <c r="AX66" s="32"/>
      <c r="AY66" s="31"/>
      <c r="AZ66" s="32"/>
      <c r="BA66" s="32"/>
      <c r="BB66" s="32"/>
      <c r="BC66" s="31"/>
      <c r="BD66" s="32"/>
      <c r="BE66" s="32"/>
      <c r="BF66" s="32"/>
      <c r="BG66" s="31"/>
      <c r="BH66" s="32"/>
      <c r="BI66" s="32"/>
      <c r="BJ66" s="32"/>
      <c r="BK66" s="31"/>
      <c r="BL66" s="36"/>
      <c r="BM66" s="34"/>
      <c r="BN66" s="34"/>
      <c r="BO66" s="34"/>
      <c r="BP66" s="34"/>
      <c r="BQ66" s="34"/>
      <c r="BR66" s="34"/>
      <c r="BS66" s="34"/>
      <c r="BT66" s="34"/>
      <c r="BU66" s="114"/>
      <c r="BV66" s="34"/>
      <c r="BW66" s="34"/>
      <c r="BX66" s="34"/>
      <c r="BY66" s="34"/>
      <c r="BZ66" s="34"/>
      <c r="CA66" s="114"/>
      <c r="CB66" s="109"/>
      <c r="CC66" s="18"/>
      <c r="CD66" s="18"/>
      <c r="CE66" s="18"/>
      <c r="CF66" s="18"/>
      <c r="CG66" s="18"/>
      <c r="CH66" s="817"/>
      <c r="CI66" s="795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806"/>
    </row>
    <row r="67" spans="1:98" ht="14.25" hidden="1" customHeight="1" outlineLevel="1">
      <c r="A67" s="18"/>
      <c r="B67" s="144" t="str">
        <f>B8</f>
        <v>Semiconductor Systems</v>
      </c>
      <c r="C67" s="79"/>
      <c r="D67" s="80"/>
      <c r="E67" s="80"/>
      <c r="F67" s="80"/>
      <c r="G67" s="41"/>
      <c r="H67" s="147"/>
      <c r="I67" s="147"/>
      <c r="J67" s="147"/>
      <c r="K67" s="148"/>
      <c r="L67" s="147"/>
      <c r="M67" s="147"/>
      <c r="N67" s="147"/>
      <c r="O67" s="177"/>
      <c r="P67" s="178"/>
      <c r="Q67" s="178"/>
      <c r="R67" s="178"/>
      <c r="S67" s="177"/>
      <c r="T67" s="178"/>
      <c r="U67" s="178"/>
      <c r="V67" s="178"/>
      <c r="W67" s="177"/>
      <c r="X67" s="178"/>
      <c r="Y67" s="178"/>
      <c r="Z67" s="178"/>
      <c r="AA67" s="177"/>
      <c r="AB67" s="178"/>
      <c r="AC67" s="178"/>
      <c r="AD67" s="178"/>
      <c r="AE67" s="177"/>
      <c r="AF67" s="178"/>
      <c r="AG67" s="178"/>
      <c r="AH67" s="178"/>
      <c r="AI67" s="177"/>
      <c r="AJ67" s="178"/>
      <c r="AK67" s="178"/>
      <c r="AL67" s="178"/>
      <c r="AM67" s="177"/>
      <c r="AN67" s="178"/>
      <c r="AO67" s="178"/>
      <c r="AP67" s="178"/>
      <c r="AQ67" s="177"/>
      <c r="AR67" s="178"/>
      <c r="AS67" s="178"/>
      <c r="AT67" s="178">
        <v>0.5</v>
      </c>
      <c r="AU67" s="177"/>
      <c r="AV67" s="178"/>
      <c r="AW67" s="178"/>
      <c r="AX67" s="146"/>
      <c r="AY67" s="145"/>
      <c r="AZ67" s="146"/>
      <c r="BA67" s="146"/>
      <c r="BB67" s="146"/>
      <c r="BC67" s="145"/>
      <c r="BD67" s="146"/>
      <c r="BE67" s="146"/>
      <c r="BF67" s="146"/>
      <c r="BG67" s="145"/>
      <c r="BH67" s="146"/>
      <c r="BI67" s="146"/>
      <c r="BJ67" s="146"/>
      <c r="BK67" s="145"/>
      <c r="BL67" s="36"/>
      <c r="BM67" s="83"/>
      <c r="BN67" s="83"/>
      <c r="BO67" s="83"/>
      <c r="BP67" s="83"/>
      <c r="BQ67" s="83"/>
      <c r="BR67" s="83"/>
      <c r="BS67" s="83"/>
      <c r="BT67" s="83"/>
      <c r="BU67" s="117"/>
      <c r="BV67" s="83"/>
      <c r="BW67" s="83"/>
      <c r="BX67" s="83"/>
      <c r="BY67" s="83"/>
      <c r="BZ67" s="83"/>
      <c r="CA67" s="117"/>
      <c r="CB67" s="109"/>
      <c r="CC67" s="18"/>
      <c r="CD67" s="18"/>
      <c r="CE67" s="18"/>
      <c r="CF67" s="18"/>
      <c r="CG67" s="18"/>
      <c r="CH67" s="817"/>
      <c r="CI67" s="798"/>
      <c r="CJ67" s="83"/>
      <c r="CK67" s="83"/>
      <c r="CL67" s="83"/>
      <c r="CM67" s="83"/>
      <c r="CN67" s="83"/>
      <c r="CO67" s="83"/>
      <c r="CP67" s="83"/>
      <c r="CQ67" s="83"/>
      <c r="CR67" s="83"/>
      <c r="CS67" s="83"/>
      <c r="CT67" s="806"/>
    </row>
    <row r="68" spans="1:98" ht="14.25" hidden="1" customHeight="1" outlineLevel="1">
      <c r="A68" s="18"/>
      <c r="B68" s="144" t="str">
        <f>B45</f>
        <v>Applied Global Services</v>
      </c>
      <c r="C68" s="79"/>
      <c r="D68" s="80"/>
      <c r="E68" s="80"/>
      <c r="F68" s="80"/>
      <c r="G68" s="41"/>
      <c r="H68" s="147"/>
      <c r="I68" s="147"/>
      <c r="J68" s="147"/>
      <c r="K68" s="148"/>
      <c r="L68" s="147"/>
      <c r="M68" s="147"/>
      <c r="N68" s="147"/>
      <c r="O68" s="177"/>
      <c r="P68" s="178"/>
      <c r="Q68" s="178"/>
      <c r="R68" s="178"/>
      <c r="S68" s="177"/>
      <c r="T68" s="178"/>
      <c r="U68" s="178"/>
      <c r="V68" s="178"/>
      <c r="W68" s="177"/>
      <c r="X68" s="178"/>
      <c r="Y68" s="178"/>
      <c r="Z68" s="178"/>
      <c r="AA68" s="177"/>
      <c r="AB68" s="178"/>
      <c r="AC68" s="178"/>
      <c r="AD68" s="178"/>
      <c r="AE68" s="177"/>
      <c r="AF68" s="178"/>
      <c r="AG68" s="178"/>
      <c r="AH68" s="178"/>
      <c r="AI68" s="177"/>
      <c r="AJ68" s="178"/>
      <c r="AK68" s="178"/>
      <c r="AL68" s="178"/>
      <c r="AM68" s="177"/>
      <c r="AN68" s="178"/>
      <c r="AO68" s="178"/>
      <c r="AP68" s="178"/>
      <c r="AQ68" s="177"/>
      <c r="AR68" s="178"/>
      <c r="AS68" s="178"/>
      <c r="AT68" s="178">
        <v>0.15</v>
      </c>
      <c r="AU68" s="177"/>
      <c r="AV68" s="178"/>
      <c r="AW68" s="178"/>
      <c r="AX68" s="146"/>
      <c r="AY68" s="145"/>
      <c r="AZ68" s="146"/>
      <c r="BA68" s="146"/>
      <c r="BB68" s="146"/>
      <c r="BC68" s="145"/>
      <c r="BD68" s="146"/>
      <c r="BE68" s="146"/>
      <c r="BF68" s="146"/>
      <c r="BG68" s="145"/>
      <c r="BH68" s="146"/>
      <c r="BI68" s="146"/>
      <c r="BJ68" s="146"/>
      <c r="BK68" s="145"/>
      <c r="BL68" s="36"/>
      <c r="BM68" s="83"/>
      <c r="BN68" s="83"/>
      <c r="BO68" s="83"/>
      <c r="BP68" s="83"/>
      <c r="BQ68" s="83"/>
      <c r="BR68" s="83"/>
      <c r="BS68" s="83"/>
      <c r="BT68" s="83"/>
      <c r="BU68" s="117"/>
      <c r="BV68" s="83"/>
      <c r="BW68" s="83"/>
      <c r="BX68" s="83"/>
      <c r="BY68" s="83"/>
      <c r="BZ68" s="83"/>
      <c r="CA68" s="117"/>
      <c r="CB68" s="109"/>
      <c r="CC68" s="18"/>
      <c r="CD68" s="18"/>
      <c r="CE68" s="18"/>
      <c r="CF68" s="18"/>
      <c r="CG68" s="18"/>
      <c r="CH68" s="817"/>
      <c r="CI68" s="798"/>
      <c r="CJ68" s="83"/>
      <c r="CK68" s="83"/>
      <c r="CL68" s="83"/>
      <c r="CM68" s="83"/>
      <c r="CN68" s="83"/>
      <c r="CO68" s="83"/>
      <c r="CP68" s="83"/>
      <c r="CQ68" s="83"/>
      <c r="CR68" s="83"/>
      <c r="CS68" s="83"/>
      <c r="CT68" s="806"/>
    </row>
    <row r="69" spans="1:98" ht="14.25" hidden="1" customHeight="1" outlineLevel="1">
      <c r="A69" s="18"/>
      <c r="B69" s="144" t="str">
        <f>B52</f>
        <v>Display and Adjacent Market</v>
      </c>
      <c r="C69" s="79"/>
      <c r="D69" s="80"/>
      <c r="E69" s="80"/>
      <c r="F69" s="80"/>
      <c r="G69" s="41"/>
      <c r="H69" s="147"/>
      <c r="I69" s="147"/>
      <c r="J69" s="147"/>
      <c r="K69" s="148"/>
      <c r="L69" s="147"/>
      <c r="M69" s="147"/>
      <c r="N69" s="147"/>
      <c r="O69" s="177"/>
      <c r="P69" s="178"/>
      <c r="Q69" s="178"/>
      <c r="R69" s="178"/>
      <c r="S69" s="177"/>
      <c r="T69" s="178"/>
      <c r="U69" s="178"/>
      <c r="V69" s="178"/>
      <c r="W69" s="177"/>
      <c r="X69" s="178"/>
      <c r="Y69" s="178"/>
      <c r="Z69" s="178"/>
      <c r="AA69" s="177"/>
      <c r="AB69" s="178"/>
      <c r="AC69" s="178"/>
      <c r="AD69" s="178"/>
      <c r="AE69" s="177"/>
      <c r="AF69" s="178"/>
      <c r="AG69" s="178"/>
      <c r="AH69" s="178"/>
      <c r="AI69" s="177"/>
      <c r="AJ69" s="178"/>
      <c r="AK69" s="178"/>
      <c r="AL69" s="178"/>
      <c r="AM69" s="177"/>
      <c r="AN69" s="178"/>
      <c r="AO69" s="178"/>
      <c r="AP69" s="178"/>
      <c r="AQ69" s="177"/>
      <c r="AR69" s="178"/>
      <c r="AS69" s="178"/>
      <c r="AT69" s="178">
        <v>0.33</v>
      </c>
      <c r="AU69" s="177"/>
      <c r="AV69" s="178"/>
      <c r="AW69" s="178"/>
      <c r="AX69" s="146"/>
      <c r="AY69" s="145"/>
      <c r="AZ69" s="146"/>
      <c r="BA69" s="146"/>
      <c r="BB69" s="146"/>
      <c r="BC69" s="145"/>
      <c r="BD69" s="146"/>
      <c r="BE69" s="146"/>
      <c r="BF69" s="146"/>
      <c r="BG69" s="145"/>
      <c r="BH69" s="146"/>
      <c r="BI69" s="146"/>
      <c r="BJ69" s="146"/>
      <c r="BK69" s="145"/>
      <c r="BL69" s="36"/>
      <c r="BM69" s="83"/>
      <c r="BN69" s="83"/>
      <c r="BO69" s="83"/>
      <c r="BP69" s="83"/>
      <c r="BQ69" s="83"/>
      <c r="BR69" s="83"/>
      <c r="BS69" s="83"/>
      <c r="BT69" s="83"/>
      <c r="BU69" s="117"/>
      <c r="BV69" s="83"/>
      <c r="BW69" s="83"/>
      <c r="BX69" s="83"/>
      <c r="BY69" s="83"/>
      <c r="BZ69" s="83"/>
      <c r="CA69" s="117"/>
      <c r="CB69" s="109"/>
      <c r="CC69" s="18"/>
      <c r="CD69" s="18"/>
      <c r="CE69" s="18"/>
      <c r="CF69" s="18"/>
      <c r="CG69" s="18"/>
      <c r="CH69" s="817"/>
      <c r="CI69" s="798"/>
      <c r="CJ69" s="83"/>
      <c r="CK69" s="83"/>
      <c r="CL69" s="83"/>
      <c r="CM69" s="83"/>
      <c r="CN69" s="83"/>
      <c r="CO69" s="83"/>
      <c r="CP69" s="83"/>
      <c r="CQ69" s="83"/>
      <c r="CR69" s="83"/>
      <c r="CS69" s="83"/>
      <c r="CT69" s="806"/>
    </row>
    <row r="70" spans="1:98" ht="14.25" hidden="1" customHeight="1" outlineLevel="1">
      <c r="A70" s="18"/>
      <c r="B70" s="144" t="str">
        <f>B59</f>
        <v>Corporate and Other</v>
      </c>
      <c r="C70" s="79"/>
      <c r="D70" s="80"/>
      <c r="E70" s="80"/>
      <c r="F70" s="80"/>
      <c r="G70" s="41"/>
      <c r="H70" s="147"/>
      <c r="I70" s="147"/>
      <c r="J70" s="147"/>
      <c r="K70" s="148"/>
      <c r="L70" s="147"/>
      <c r="M70" s="147"/>
      <c r="N70" s="147"/>
      <c r="O70" s="177"/>
      <c r="P70" s="178"/>
      <c r="Q70" s="178"/>
      <c r="R70" s="178"/>
      <c r="S70" s="177"/>
      <c r="T70" s="178"/>
      <c r="U70" s="178"/>
      <c r="V70" s="178"/>
      <c r="W70" s="177"/>
      <c r="X70" s="178"/>
      <c r="Y70" s="178"/>
      <c r="Z70" s="178"/>
      <c r="AA70" s="177"/>
      <c r="AB70" s="178"/>
      <c r="AC70" s="178"/>
      <c r="AD70" s="178"/>
      <c r="AE70" s="177"/>
      <c r="AF70" s="178"/>
      <c r="AG70" s="178"/>
      <c r="AH70" s="178"/>
      <c r="AI70" s="177"/>
      <c r="AJ70" s="178"/>
      <c r="AK70" s="178"/>
      <c r="AL70" s="178"/>
      <c r="AM70" s="177"/>
      <c r="AN70" s="178"/>
      <c r="AO70" s="178"/>
      <c r="AP70" s="178"/>
      <c r="AQ70" s="177"/>
      <c r="AR70" s="178"/>
      <c r="AS70" s="178"/>
      <c r="AT70" s="178">
        <v>0.02</v>
      </c>
      <c r="AU70" s="177"/>
      <c r="AV70" s="178"/>
      <c r="AW70" s="146"/>
      <c r="AX70" s="146"/>
      <c r="AY70" s="145"/>
      <c r="AZ70" s="146"/>
      <c r="BA70" s="146"/>
      <c r="BB70" s="146"/>
      <c r="BC70" s="145"/>
      <c r="BD70" s="146"/>
      <c r="BE70" s="146"/>
      <c r="BF70" s="146"/>
      <c r="BG70" s="145"/>
      <c r="BH70" s="146"/>
      <c r="BI70" s="146"/>
      <c r="BJ70" s="146"/>
      <c r="BK70" s="145"/>
      <c r="BL70" s="36"/>
      <c r="BM70" s="83"/>
      <c r="BN70" s="83"/>
      <c r="BO70" s="83"/>
      <c r="BP70" s="83"/>
      <c r="BQ70" s="83"/>
      <c r="BR70" s="83"/>
      <c r="BS70" s="83"/>
      <c r="BT70" s="83"/>
      <c r="BU70" s="117"/>
      <c r="BV70" s="83"/>
      <c r="BW70" s="83"/>
      <c r="BX70" s="83"/>
      <c r="BY70" s="83"/>
      <c r="BZ70" s="83"/>
      <c r="CA70" s="117"/>
      <c r="CB70" s="109"/>
      <c r="CC70" s="18"/>
      <c r="CD70" s="18"/>
      <c r="CE70" s="18"/>
      <c r="CF70" s="18"/>
      <c r="CG70" s="18"/>
      <c r="CH70" s="817"/>
      <c r="CI70" s="798"/>
      <c r="CJ70" s="83"/>
      <c r="CK70" s="83"/>
      <c r="CL70" s="83"/>
      <c r="CM70" s="83"/>
      <c r="CN70" s="83"/>
      <c r="CO70" s="83"/>
      <c r="CP70" s="83"/>
      <c r="CQ70" s="83"/>
      <c r="CR70" s="83"/>
      <c r="CS70" s="83"/>
      <c r="CT70" s="806"/>
    </row>
    <row r="71" spans="1:98" ht="14.25" hidden="1" customHeight="1" outlineLevel="1">
      <c r="A71" s="18"/>
      <c r="B71" s="9" t="s">
        <v>420</v>
      </c>
      <c r="C71" s="79"/>
      <c r="D71" s="80"/>
      <c r="E71" s="80"/>
      <c r="F71" s="80"/>
      <c r="G71" s="41"/>
      <c r="H71" s="80"/>
      <c r="I71" s="80"/>
      <c r="J71" s="80"/>
      <c r="K71" s="41"/>
      <c r="L71" s="639"/>
      <c r="M71" s="639"/>
      <c r="N71" s="639"/>
      <c r="O71" s="640"/>
      <c r="P71" s="639"/>
      <c r="Q71" s="639"/>
      <c r="R71" s="639"/>
      <c r="S71" s="640"/>
      <c r="T71" s="639"/>
      <c r="U71" s="639"/>
      <c r="V71" s="639"/>
      <c r="W71" s="640"/>
      <c r="X71" s="639"/>
      <c r="Y71" s="639"/>
      <c r="Z71" s="639"/>
      <c r="AA71" s="640"/>
      <c r="AB71" s="639"/>
      <c r="AC71" s="639"/>
      <c r="AD71" s="639"/>
      <c r="AE71" s="640"/>
      <c r="AF71" s="639"/>
      <c r="AG71" s="639"/>
      <c r="AH71" s="639"/>
      <c r="AI71" s="640"/>
      <c r="AJ71" s="639"/>
      <c r="AK71" s="639"/>
      <c r="AL71" s="639"/>
      <c r="AM71" s="640"/>
      <c r="AN71" s="639">
        <f t="shared" ref="AN71:AS71" si="206">AN63+AN56+AN49+AN30</f>
        <v>2273</v>
      </c>
      <c r="AO71" s="639">
        <f t="shared" si="206"/>
        <v>2515</v>
      </c>
      <c r="AP71" s="639">
        <f t="shared" si="206"/>
        <v>2892</v>
      </c>
      <c r="AQ71" s="640">
        <f t="shared" si="206"/>
        <v>2424</v>
      </c>
      <c r="AR71" s="639">
        <f t="shared" si="206"/>
        <v>2275</v>
      </c>
      <c r="AS71" s="639">
        <f t="shared" si="206"/>
        <v>3451</v>
      </c>
      <c r="AT71" s="639">
        <f>AT63+AT56+AT49+AT30</f>
        <v>3658</v>
      </c>
      <c r="AU71" s="640">
        <f>AU63+AU56+AU49+AU30</f>
        <v>3032</v>
      </c>
      <c r="AV71" s="639">
        <f t="shared" ref="AV71" si="207">AV63+AV56+AV49+AV30</f>
        <v>4236</v>
      </c>
      <c r="AW71" s="641"/>
      <c r="AX71" s="641"/>
      <c r="AY71" s="642"/>
      <c r="AZ71" s="641"/>
      <c r="BA71" s="641"/>
      <c r="BB71" s="641"/>
      <c r="BC71" s="642"/>
      <c r="BD71" s="641"/>
      <c r="BE71" s="641"/>
      <c r="BF71" s="641"/>
      <c r="BG71" s="642"/>
      <c r="BH71" s="641"/>
      <c r="BI71" s="641"/>
      <c r="BJ71" s="641"/>
      <c r="BK71" s="642"/>
      <c r="BL71" s="106"/>
      <c r="BM71" s="83"/>
      <c r="BN71" s="83"/>
      <c r="BO71" s="83"/>
      <c r="BP71" s="83"/>
      <c r="BQ71" s="83"/>
      <c r="BR71" s="83"/>
      <c r="BS71" s="83"/>
      <c r="BT71" s="83"/>
      <c r="BU71" s="117"/>
      <c r="BV71" s="83"/>
      <c r="BW71" s="83"/>
      <c r="BX71" s="83"/>
      <c r="BY71" s="83"/>
      <c r="BZ71" s="83"/>
      <c r="CA71" s="117"/>
      <c r="CB71" s="109"/>
      <c r="CC71" s="18"/>
      <c r="CD71" s="18"/>
      <c r="CE71" s="18"/>
      <c r="CF71" s="18"/>
      <c r="CG71" s="18"/>
      <c r="CH71" s="817"/>
      <c r="CI71" s="798"/>
      <c r="CJ71" s="83"/>
      <c r="CK71" s="83"/>
      <c r="CL71" s="83"/>
      <c r="CM71" s="83"/>
      <c r="CN71" s="83"/>
      <c r="CO71" s="83"/>
      <c r="CP71" s="83"/>
      <c r="CQ71" s="83"/>
      <c r="CR71" s="83"/>
      <c r="CS71" s="83"/>
      <c r="CT71" s="806"/>
    </row>
    <row r="72" spans="1:98" ht="14.25" customHeight="1" collapsed="1">
      <c r="A72" s="18"/>
      <c r="B72" s="9"/>
      <c r="C72" s="79"/>
      <c r="D72" s="80"/>
      <c r="E72" s="80"/>
      <c r="F72" s="80"/>
      <c r="G72" s="41"/>
      <c r="H72" s="80"/>
      <c r="I72" s="80"/>
      <c r="J72" s="80"/>
      <c r="K72" s="41"/>
      <c r="L72" s="80"/>
      <c r="M72" s="80"/>
      <c r="N72" s="80"/>
      <c r="O72" s="41"/>
      <c r="P72" s="80"/>
      <c r="Q72" s="80"/>
      <c r="R72" s="80"/>
      <c r="S72" s="41"/>
      <c r="T72" s="80"/>
      <c r="U72" s="80"/>
      <c r="V72" s="80"/>
      <c r="W72" s="41"/>
      <c r="X72" s="80"/>
      <c r="Y72" s="80"/>
      <c r="Z72" s="80"/>
      <c r="AA72" s="41"/>
      <c r="AB72" s="80"/>
      <c r="AC72" s="80"/>
      <c r="AD72" s="80"/>
      <c r="AE72" s="41"/>
      <c r="AF72" s="80"/>
      <c r="AG72" s="80"/>
      <c r="AH72" s="80"/>
      <c r="AI72" s="41"/>
      <c r="AJ72" s="80"/>
      <c r="AK72" s="80"/>
      <c r="AL72" s="33"/>
      <c r="AM72" s="36"/>
      <c r="AN72" s="80"/>
      <c r="AO72" s="80"/>
      <c r="AP72" s="80"/>
      <c r="AQ72" s="36"/>
      <c r="AR72" s="80"/>
      <c r="AS72" s="80"/>
      <c r="AT72" s="80"/>
      <c r="AU72" s="36"/>
      <c r="AV72" s="80"/>
      <c r="AW72" s="33"/>
      <c r="AX72" s="33"/>
      <c r="AY72" s="36"/>
      <c r="AZ72" s="33"/>
      <c r="BA72" s="33"/>
      <c r="BB72" s="33"/>
      <c r="BC72" s="36"/>
      <c r="BD72" s="33"/>
      <c r="BE72" s="33"/>
      <c r="BF72" s="33"/>
      <c r="BG72" s="36"/>
      <c r="BH72" s="33"/>
      <c r="BI72" s="33"/>
      <c r="BJ72" s="33"/>
      <c r="BK72" s="36"/>
      <c r="BL72" s="106"/>
      <c r="BM72" s="37"/>
      <c r="BN72" s="37"/>
      <c r="BO72" s="37"/>
      <c r="BP72" s="37"/>
      <c r="BQ72" s="37"/>
      <c r="BR72" s="37"/>
      <c r="BS72" s="37"/>
      <c r="BT72" s="37"/>
      <c r="BU72" s="118"/>
      <c r="BV72" s="37"/>
      <c r="BW72" s="37"/>
      <c r="BX72" s="37"/>
      <c r="BY72" s="37"/>
      <c r="BZ72" s="37"/>
      <c r="CA72" s="118"/>
      <c r="CB72" s="109"/>
      <c r="CC72" s="18"/>
      <c r="CD72" s="18"/>
      <c r="CE72" s="18"/>
      <c r="CF72" s="18"/>
      <c r="CG72" s="18"/>
      <c r="CH72" s="817"/>
      <c r="CI72" s="799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806"/>
    </row>
    <row r="73" spans="1:98" ht="14.25" customHeight="1">
      <c r="A73" s="18"/>
      <c r="B73" s="9" t="s">
        <v>192</v>
      </c>
      <c r="C73" s="26"/>
      <c r="D73" s="38"/>
      <c r="E73" s="38"/>
      <c r="F73" s="38"/>
      <c r="G73" s="39"/>
      <c r="H73" s="38"/>
      <c r="I73" s="38"/>
      <c r="J73" s="38"/>
      <c r="K73" s="39"/>
      <c r="L73" s="38"/>
      <c r="M73" s="38"/>
      <c r="N73" s="38"/>
      <c r="O73" s="39"/>
      <c r="P73" s="38"/>
      <c r="Q73" s="38"/>
      <c r="R73" s="38"/>
      <c r="S73" s="39"/>
      <c r="T73" s="38"/>
      <c r="U73" s="38"/>
      <c r="V73" s="38"/>
      <c r="W73" s="39"/>
      <c r="X73" s="38"/>
      <c r="Y73" s="38"/>
      <c r="Z73" s="38"/>
      <c r="AA73" s="39"/>
      <c r="AB73" s="38"/>
      <c r="AC73" s="38"/>
      <c r="AD73" s="38"/>
      <c r="AE73" s="39"/>
      <c r="AF73" s="38"/>
      <c r="AG73" s="38"/>
      <c r="AH73" s="38"/>
      <c r="AI73" s="39"/>
      <c r="AJ73" s="38"/>
      <c r="AK73" s="38"/>
      <c r="AL73" s="38"/>
      <c r="AM73" s="39"/>
      <c r="AN73" s="38">
        <f t="shared" ref="AN73:BC73" si="208">SUM(AN8,AN45,AN52,AN59)</f>
        <v>2359</v>
      </c>
      <c r="AO73" s="38">
        <f t="shared" si="208"/>
        <v>2442</v>
      </c>
      <c r="AP73" s="38">
        <f t="shared" si="208"/>
        <v>2490</v>
      </c>
      <c r="AQ73" s="39">
        <f t="shared" si="208"/>
        <v>2368</v>
      </c>
      <c r="AR73" s="38">
        <f t="shared" si="208"/>
        <v>2257</v>
      </c>
      <c r="AS73" s="38">
        <f t="shared" si="208"/>
        <v>2450</v>
      </c>
      <c r="AT73" s="38">
        <f t="shared" si="208"/>
        <v>2821</v>
      </c>
      <c r="AU73" s="39">
        <f t="shared" si="208"/>
        <v>3297</v>
      </c>
      <c r="AV73" s="38">
        <f t="shared" si="208"/>
        <v>3278</v>
      </c>
      <c r="AW73" s="38">
        <f t="shared" si="208"/>
        <v>3546</v>
      </c>
      <c r="AX73" s="38">
        <f t="shared" si="208"/>
        <v>3744</v>
      </c>
      <c r="AY73" s="39">
        <f t="shared" si="208"/>
        <v>3969</v>
      </c>
      <c r="AZ73" s="38">
        <f t="shared" ref="AZ73" si="209">SUM(AZ8,AZ45,AZ52,AZ59)</f>
        <v>4204</v>
      </c>
      <c r="BA73" s="38">
        <f t="shared" si="208"/>
        <v>4459.7740000000003</v>
      </c>
      <c r="BB73" s="38">
        <f t="shared" si="208"/>
        <v>4342.8523249999998</v>
      </c>
      <c r="BC73" s="39">
        <f t="shared" si="208"/>
        <v>4370.7503607500003</v>
      </c>
      <c r="BD73" s="38">
        <f t="shared" ref="BD73:BG73" si="210">SUM(BD8,BD45,BD52,BD59)</f>
        <v>4238.7113647124997</v>
      </c>
      <c r="BE73" s="38">
        <f t="shared" si="210"/>
        <v>4276.859249183125</v>
      </c>
      <c r="BF73" s="38">
        <f t="shared" si="210"/>
        <v>4301.1901239812323</v>
      </c>
      <c r="BG73" s="39">
        <f t="shared" si="210"/>
        <v>4359.7032893189698</v>
      </c>
      <c r="BH73" s="38">
        <f t="shared" ref="BH73:BK73" si="211">SUM(BH8,BH45,BH52,BH59)</f>
        <v>4327.0606173439583</v>
      </c>
      <c r="BI73" s="38">
        <f t="shared" si="211"/>
        <v>4365.1125164365967</v>
      </c>
      <c r="BJ73" s="38">
        <f t="shared" si="211"/>
        <v>4410.2320512528913</v>
      </c>
      <c r="BK73" s="39">
        <f t="shared" si="211"/>
        <v>4414.7572642874811</v>
      </c>
      <c r="BL73" s="107"/>
      <c r="BM73" s="40"/>
      <c r="BN73" s="40"/>
      <c r="BO73" s="40"/>
      <c r="BP73" s="40"/>
      <c r="BQ73" s="40"/>
      <c r="BR73" s="40"/>
      <c r="BS73" s="40"/>
      <c r="BT73" s="40"/>
      <c r="BU73" s="119">
        <f t="shared" ref="BU73:CA73" si="212">SUM(BU8,BU45,BU52,BU59)</f>
        <v>9072</v>
      </c>
      <c r="BV73" s="40">
        <f t="shared" si="212"/>
        <v>9659</v>
      </c>
      <c r="BW73" s="40">
        <f t="shared" si="212"/>
        <v>10825</v>
      </c>
      <c r="BX73" s="40">
        <f t="shared" si="212"/>
        <v>14537</v>
      </c>
      <c r="BY73" s="40">
        <f t="shared" si="212"/>
        <v>17377.376685750001</v>
      </c>
      <c r="BZ73" s="40">
        <f t="shared" ref="BZ73" si="213">SUM(BZ8,BZ45,BZ52,BZ59)</f>
        <v>17176.464027195827</v>
      </c>
      <c r="CA73" s="119">
        <f t="shared" si="212"/>
        <v>17517.162449320927</v>
      </c>
      <c r="CB73" s="109"/>
      <c r="CC73" s="18"/>
      <c r="CD73" s="18"/>
      <c r="CE73" s="18"/>
      <c r="CF73" s="18"/>
      <c r="CG73" s="18"/>
      <c r="CH73" s="817"/>
      <c r="CI73" s="800"/>
      <c r="CJ73" s="40"/>
      <c r="CK73" s="34">
        <f>SUM(AC73:AF73)</f>
        <v>0</v>
      </c>
      <c r="CL73" s="34">
        <f>SUM(AG73:AJ73)</f>
        <v>0</v>
      </c>
      <c r="CM73" s="34">
        <f>SUM(AK73:AN73)</f>
        <v>2359</v>
      </c>
      <c r="CN73" s="34">
        <f>SUM(AO73:AR73)</f>
        <v>9557</v>
      </c>
      <c r="CO73" s="34">
        <f>SUM(AS73:AV73)</f>
        <v>11846</v>
      </c>
      <c r="CP73" s="34">
        <f>SUM(AW73:AZ73)</f>
        <v>15463</v>
      </c>
      <c r="CQ73" s="34">
        <f>SUM(BA73:BD73)</f>
        <v>17412.088050462502</v>
      </c>
      <c r="CR73" s="40"/>
      <c r="CS73" s="40"/>
      <c r="CT73" s="806"/>
    </row>
    <row r="74" spans="1:98" ht="14.25" customHeight="1">
      <c r="A74" s="18"/>
      <c r="B74" s="9" t="s">
        <v>186</v>
      </c>
      <c r="C74" s="79"/>
      <c r="D74" s="80"/>
      <c r="E74" s="80"/>
      <c r="F74" s="80"/>
      <c r="G74" s="41"/>
      <c r="H74" s="80"/>
      <c r="I74" s="80"/>
      <c r="J74" s="80"/>
      <c r="K74" s="41"/>
      <c r="L74" s="80"/>
      <c r="M74" s="80"/>
      <c r="N74" s="80"/>
      <c r="O74" s="41"/>
      <c r="P74" s="80"/>
      <c r="Q74" s="80"/>
      <c r="R74" s="80"/>
      <c r="S74" s="41"/>
      <c r="T74" s="80"/>
      <c r="U74" s="80"/>
      <c r="V74" s="80"/>
      <c r="W74" s="41"/>
      <c r="X74" s="80"/>
      <c r="Y74" s="80"/>
      <c r="Z74" s="80"/>
      <c r="AA74" s="41"/>
      <c r="AB74" s="80"/>
      <c r="AC74" s="80"/>
      <c r="AD74" s="80"/>
      <c r="AE74" s="41"/>
      <c r="AF74" s="80"/>
      <c r="AG74" s="80"/>
      <c r="AH74" s="80"/>
      <c r="AI74" s="41"/>
      <c r="AJ74" s="80"/>
      <c r="AK74" s="80"/>
      <c r="AL74" s="86"/>
      <c r="AM74" s="85"/>
      <c r="AN74" s="80" t="e">
        <f t="shared" ref="AN74:AV74" si="214">AN73/AM73-1</f>
        <v>#DIV/0!</v>
      </c>
      <c r="AO74" s="80">
        <f t="shared" si="214"/>
        <v>3.5184400169563368E-2</v>
      </c>
      <c r="AP74" s="80">
        <f t="shared" si="214"/>
        <v>1.9656019656019597E-2</v>
      </c>
      <c r="AQ74" s="85">
        <f t="shared" si="214"/>
        <v>-4.8995983935743004E-2</v>
      </c>
      <c r="AR74" s="80">
        <f t="shared" si="214"/>
        <v>-4.6875E-2</v>
      </c>
      <c r="AS74" s="80">
        <f t="shared" si="214"/>
        <v>8.551174124944616E-2</v>
      </c>
      <c r="AT74" s="80">
        <f t="shared" si="214"/>
        <v>0.15142857142857147</v>
      </c>
      <c r="AU74" s="85">
        <f t="shared" si="214"/>
        <v>0.16873449131513651</v>
      </c>
      <c r="AV74" s="80">
        <f t="shared" si="214"/>
        <v>-5.7628146800121627E-3</v>
      </c>
      <c r="AW74" s="86">
        <f t="shared" ref="AW74:BC74" si="215">AW73/AV73-1</f>
        <v>8.1757169005491237E-2</v>
      </c>
      <c r="AX74" s="86">
        <f t="shared" si="215"/>
        <v>5.5837563451776706E-2</v>
      </c>
      <c r="AY74" s="85">
        <f t="shared" si="215"/>
        <v>6.0096153846153744E-2</v>
      </c>
      <c r="AZ74" s="80">
        <f t="shared" si="215"/>
        <v>5.9208868732678166E-2</v>
      </c>
      <c r="BA74" s="86">
        <f t="shared" si="215"/>
        <v>6.0840627973358874E-2</v>
      </c>
      <c r="BB74" s="86">
        <f t="shared" si="215"/>
        <v>-2.6216950679563644E-2</v>
      </c>
      <c r="BC74" s="85">
        <f t="shared" si="215"/>
        <v>6.4238969373660026E-3</v>
      </c>
      <c r="BD74" s="86">
        <f t="shared" ref="BD74" si="216">BD73/BC73-1</f>
        <v>-3.0209686012550807E-2</v>
      </c>
      <c r="BE74" s="86">
        <f t="shared" ref="BE74" si="217">BE73/BD73-1</f>
        <v>8.9998778374504873E-3</v>
      </c>
      <c r="BF74" s="86">
        <f t="shared" ref="BF74" si="218">BF73/BE73-1</f>
        <v>5.6889585044808122E-3</v>
      </c>
      <c r="BG74" s="85">
        <f t="shared" ref="BG74" si="219">BG73/BF73-1</f>
        <v>1.3603947663577642E-2</v>
      </c>
      <c r="BH74" s="86">
        <f t="shared" ref="BH74" si="220">BH73/BG73-1</f>
        <v>-7.4873609071021141E-3</v>
      </c>
      <c r="BI74" s="86">
        <f t="shared" ref="BI74" si="221">BI73/BH73-1</f>
        <v>8.7939371452567805E-3</v>
      </c>
      <c r="BJ74" s="86">
        <f t="shared" ref="BJ74" si="222">BJ73/BI73-1</f>
        <v>1.0336396747254284E-2</v>
      </c>
      <c r="BK74" s="85">
        <f t="shared" ref="BK74" si="223">BK73/BJ73-1</f>
        <v>1.0260714134768811E-3</v>
      </c>
      <c r="BL74" s="106"/>
      <c r="BM74" s="81"/>
      <c r="BN74" s="81"/>
      <c r="BO74" s="81"/>
      <c r="BP74" s="81"/>
      <c r="BQ74" s="81"/>
      <c r="BR74" s="81"/>
      <c r="BS74" s="81"/>
      <c r="BT74" s="81"/>
      <c r="BU74" s="115"/>
      <c r="BV74" s="81"/>
      <c r="BW74" s="81"/>
      <c r="BX74" s="81"/>
      <c r="BY74" s="81"/>
      <c r="BZ74" s="81"/>
      <c r="CA74" s="115"/>
      <c r="CB74" s="109"/>
      <c r="CC74" s="18"/>
      <c r="CD74" s="18"/>
      <c r="CE74" s="18"/>
      <c r="CF74" s="18"/>
      <c r="CG74" s="18"/>
      <c r="CH74" s="817"/>
      <c r="CI74" s="796"/>
      <c r="CJ74" s="81"/>
      <c r="CK74" s="81"/>
      <c r="CL74" s="81"/>
      <c r="CM74" s="81"/>
      <c r="CN74" s="81"/>
      <c r="CO74" s="81"/>
      <c r="CP74" s="81"/>
      <c r="CQ74" s="81"/>
      <c r="CR74" s="81"/>
      <c r="CS74" s="81"/>
      <c r="CT74" s="806"/>
    </row>
    <row r="75" spans="1:98" ht="14.25" hidden="1" customHeight="1" outlineLevel="2">
      <c r="A75" s="18"/>
      <c r="B75" s="9" t="s">
        <v>187</v>
      </c>
      <c r="C75" s="82"/>
      <c r="D75" s="80"/>
      <c r="E75" s="80"/>
      <c r="F75" s="80"/>
      <c r="G75" s="41"/>
      <c r="H75" s="80"/>
      <c r="I75" s="80"/>
      <c r="J75" s="80"/>
      <c r="K75" s="41"/>
      <c r="L75" s="80"/>
      <c r="M75" s="80"/>
      <c r="N75" s="80"/>
      <c r="O75" s="41"/>
      <c r="P75" s="80"/>
      <c r="Q75" s="80"/>
      <c r="R75" s="80"/>
      <c r="S75" s="41"/>
      <c r="T75" s="80"/>
      <c r="U75" s="80"/>
      <c r="V75" s="80"/>
      <c r="W75" s="41"/>
      <c r="X75" s="80"/>
      <c r="Y75" s="80"/>
      <c r="Z75" s="80"/>
      <c r="AA75" s="41"/>
      <c r="AB75" s="80"/>
      <c r="AC75" s="80"/>
      <c r="AD75" s="80"/>
      <c r="AE75" s="41"/>
      <c r="AF75" s="80"/>
      <c r="AG75" s="80"/>
      <c r="AH75" s="80"/>
      <c r="AI75" s="41"/>
      <c r="AJ75" s="80"/>
      <c r="AK75" s="80"/>
      <c r="AL75" s="80"/>
      <c r="AM75" s="41"/>
      <c r="AN75" s="80" t="e">
        <f t="shared" ref="AN75:AV75" si="224">AN73/AJ73-1</f>
        <v>#DIV/0!</v>
      </c>
      <c r="AO75" s="80" t="e">
        <f t="shared" si="224"/>
        <v>#DIV/0!</v>
      </c>
      <c r="AP75" s="80" t="e">
        <f t="shared" si="224"/>
        <v>#DIV/0!</v>
      </c>
      <c r="AQ75" s="41" t="e">
        <f t="shared" si="224"/>
        <v>#DIV/0!</v>
      </c>
      <c r="AR75" s="80">
        <f t="shared" si="224"/>
        <v>-4.3238660449342992E-2</v>
      </c>
      <c r="AS75" s="80">
        <f t="shared" si="224"/>
        <v>3.2760032760033031E-3</v>
      </c>
      <c r="AT75" s="80">
        <f t="shared" si="224"/>
        <v>0.13293172690763044</v>
      </c>
      <c r="AU75" s="41">
        <f t="shared" si="224"/>
        <v>0.39231418918918926</v>
      </c>
      <c r="AV75" s="80">
        <f t="shared" si="224"/>
        <v>0.45237040319007527</v>
      </c>
      <c r="AW75" s="80">
        <f t="shared" ref="AW75:BC75" si="225">AW73/AS73-1</f>
        <v>0.44734693877551024</v>
      </c>
      <c r="AX75" s="80">
        <f t="shared" si="225"/>
        <v>0.32718894009216593</v>
      </c>
      <c r="AY75" s="41">
        <f t="shared" si="225"/>
        <v>0.20382165605095537</v>
      </c>
      <c r="AZ75" s="80">
        <f t="shared" si="225"/>
        <v>0.28248932275777916</v>
      </c>
      <c r="BA75" s="80">
        <f t="shared" si="225"/>
        <v>0.25769148336153425</v>
      </c>
      <c r="BB75" s="80">
        <f t="shared" si="225"/>
        <v>0.15994987313034192</v>
      </c>
      <c r="BC75" s="41">
        <f t="shared" si="225"/>
        <v>0.10122206116150179</v>
      </c>
      <c r="BD75" s="80">
        <f t="shared" ref="BD75" si="226">BD73/AZ73-1</f>
        <v>8.2567470771883755E-3</v>
      </c>
      <c r="BE75" s="80">
        <f t="shared" ref="BE75" si="227">BE73/BA73-1</f>
        <v>-4.1014354273753661E-2</v>
      </c>
      <c r="BF75" s="80">
        <f t="shared" ref="BF75" si="228">BF73/BB73-1</f>
        <v>-9.5932806139724658E-3</v>
      </c>
      <c r="BG75" s="41">
        <f t="shared" ref="BG75" si="229">BG73/BC73-1</f>
        <v>-2.5274999758015948E-3</v>
      </c>
      <c r="BH75" s="80">
        <f t="shared" ref="BH75" si="230">BH73/BD73-1</f>
        <v>2.0843422689020619E-2</v>
      </c>
      <c r="BI75" s="80">
        <f t="shared" ref="BI75" si="231">BI73/BE73-1</f>
        <v>2.0635064684517701E-2</v>
      </c>
      <c r="BJ75" s="80">
        <f t="shared" ref="BJ75" si="232">BJ73/BF73-1</f>
        <v>2.5351571106726256E-2</v>
      </c>
      <c r="BK75" s="41">
        <f t="shared" ref="BK75" si="233">BK73/BG73-1</f>
        <v>1.2627917845553949E-2</v>
      </c>
      <c r="BL75" s="106"/>
      <c r="BM75" s="80"/>
      <c r="BN75" s="80"/>
      <c r="BO75" s="80"/>
      <c r="BP75" s="80"/>
      <c r="BQ75" s="80"/>
      <c r="BR75" s="80"/>
      <c r="BS75" s="80"/>
      <c r="BT75" s="80"/>
      <c r="BU75" s="41" t="e">
        <f t="shared" ref="BU75:CA75" si="234">BU73/BT73-1</f>
        <v>#DIV/0!</v>
      </c>
      <c r="BV75" s="80">
        <f t="shared" si="234"/>
        <v>6.4704585537918913E-2</v>
      </c>
      <c r="BW75" s="80">
        <f t="shared" si="234"/>
        <v>0.12071643027228496</v>
      </c>
      <c r="BX75" s="80">
        <f t="shared" si="234"/>
        <v>0.34290993071593534</v>
      </c>
      <c r="BY75" s="80">
        <f t="shared" si="234"/>
        <v>0.19538946727316509</v>
      </c>
      <c r="BZ75" s="80">
        <f t="shared" si="234"/>
        <v>-1.1561736974886938E-2</v>
      </c>
      <c r="CA75" s="41">
        <f t="shared" si="234"/>
        <v>1.9835189686635557E-2</v>
      </c>
      <c r="CB75" s="109"/>
      <c r="CC75" s="18"/>
      <c r="CD75" s="18"/>
      <c r="CE75" s="18"/>
      <c r="CF75" s="18"/>
      <c r="CG75" s="18"/>
      <c r="CH75" s="817"/>
      <c r="CI75" s="797"/>
      <c r="CJ75" s="80"/>
      <c r="CK75" s="80"/>
      <c r="CL75" s="80"/>
      <c r="CM75" s="80"/>
      <c r="CN75" s="80"/>
      <c r="CO75" s="80"/>
      <c r="CP75" s="80"/>
      <c r="CQ75" s="80"/>
      <c r="CR75" s="80"/>
      <c r="CS75" s="80"/>
      <c r="CT75" s="806"/>
    </row>
    <row r="76" spans="1:98" ht="14.25" hidden="1" customHeight="1" outlineLevel="1">
      <c r="A76" s="18"/>
      <c r="B76" s="9"/>
      <c r="C76" s="18"/>
      <c r="D76" s="80"/>
      <c r="E76" s="80"/>
      <c r="F76" s="80"/>
      <c r="G76" s="41"/>
      <c r="H76" s="80"/>
      <c r="I76" s="80"/>
      <c r="J76" s="80"/>
      <c r="K76" s="41"/>
      <c r="L76" s="80"/>
      <c r="M76" s="80"/>
      <c r="N76" s="80"/>
      <c r="O76" s="41"/>
      <c r="P76" s="80"/>
      <c r="Q76" s="80"/>
      <c r="R76" s="80"/>
      <c r="S76" s="41"/>
      <c r="T76" s="80"/>
      <c r="U76" s="80"/>
      <c r="V76" s="80"/>
      <c r="W76" s="41"/>
      <c r="X76" s="80"/>
      <c r="Y76" s="80"/>
      <c r="Z76" s="80"/>
      <c r="AA76" s="41"/>
      <c r="AB76" s="80"/>
      <c r="AC76" s="80"/>
      <c r="AD76" s="80"/>
      <c r="AE76" s="41"/>
      <c r="AF76" s="80"/>
      <c r="AG76" s="80"/>
      <c r="AH76" s="80"/>
      <c r="AI76" s="41"/>
      <c r="AJ76" s="80"/>
      <c r="AK76" s="80"/>
      <c r="AL76" s="80"/>
      <c r="AM76" s="41"/>
      <c r="AN76" s="80"/>
      <c r="AO76" s="80"/>
      <c r="AP76" s="80"/>
      <c r="AQ76" s="41"/>
      <c r="AR76" s="80"/>
      <c r="AS76" s="80"/>
      <c r="AT76" s="80"/>
      <c r="AU76" s="41"/>
      <c r="AV76" s="80"/>
      <c r="AW76" s="80"/>
      <c r="AX76" s="80"/>
      <c r="AY76" s="41"/>
      <c r="AZ76" s="80"/>
      <c r="BA76" s="80"/>
      <c r="BB76" s="80"/>
      <c r="BC76" s="41"/>
      <c r="BD76" s="80"/>
      <c r="BE76" s="80"/>
      <c r="BF76" s="80"/>
      <c r="BG76" s="41"/>
      <c r="BH76" s="80"/>
      <c r="BI76" s="80"/>
      <c r="BJ76" s="80"/>
      <c r="BK76" s="41"/>
      <c r="BL76" s="106"/>
      <c r="BM76" s="33"/>
      <c r="BN76" s="33"/>
      <c r="BO76" s="33"/>
      <c r="BP76" s="33"/>
      <c r="BQ76" s="80"/>
      <c r="BR76" s="80"/>
      <c r="BS76" s="80"/>
      <c r="BT76" s="80"/>
      <c r="BU76" s="41"/>
      <c r="BV76" s="80"/>
      <c r="BW76" s="80"/>
      <c r="BX76" s="80"/>
      <c r="BY76" s="80"/>
      <c r="BZ76" s="80"/>
      <c r="CA76" s="41"/>
      <c r="CB76" s="109"/>
      <c r="CC76" s="18"/>
      <c r="CD76" s="18"/>
      <c r="CE76" s="18"/>
      <c r="CF76" s="18"/>
      <c r="CG76" s="18"/>
      <c r="CH76" s="817"/>
      <c r="CI76" s="801"/>
      <c r="CJ76" s="80"/>
      <c r="CK76" s="80"/>
      <c r="CL76" s="80"/>
      <c r="CM76" s="80"/>
      <c r="CN76" s="80"/>
      <c r="CO76" s="80"/>
      <c r="CP76" s="80"/>
      <c r="CQ76" s="80"/>
      <c r="CR76" s="80"/>
      <c r="CS76" s="80"/>
      <c r="CT76" s="806"/>
    </row>
    <row r="77" spans="1:98" ht="14.25" hidden="1" customHeight="1" outlineLevel="1">
      <c r="A77" s="18"/>
      <c r="B77" s="9" t="s">
        <v>193</v>
      </c>
      <c r="C77" s="26"/>
      <c r="D77" s="4"/>
      <c r="E77" s="4"/>
      <c r="F77" s="4"/>
      <c r="G77" s="5"/>
      <c r="H77" s="4"/>
      <c r="I77" s="4"/>
      <c r="J77" s="4"/>
      <c r="K77" s="5"/>
      <c r="L77" s="4"/>
      <c r="M77" s="4"/>
      <c r="N77" s="4"/>
      <c r="O77" s="5"/>
      <c r="P77" s="4"/>
      <c r="Q77" s="4"/>
      <c r="R77" s="4"/>
      <c r="S77" s="5"/>
      <c r="T77" s="4"/>
      <c r="U77" s="4"/>
      <c r="V77" s="4"/>
      <c r="W77" s="5"/>
      <c r="X77" s="4"/>
      <c r="Y77" s="4"/>
      <c r="Z77" s="4"/>
      <c r="AA77" s="5"/>
      <c r="AB77" s="4"/>
      <c r="AC77" s="4"/>
      <c r="AD77" s="4"/>
      <c r="AE77" s="5"/>
      <c r="AF77" s="4"/>
      <c r="AG77" s="4"/>
      <c r="AH77" s="4"/>
      <c r="AI77" s="5"/>
      <c r="AJ77" s="4"/>
      <c r="AK77" s="4"/>
      <c r="AL77" s="4"/>
      <c r="AM77" s="5"/>
      <c r="AN77" s="4">
        <f>IS!AN7</f>
        <v>2359</v>
      </c>
      <c r="AO77" s="4">
        <f>IS!AO7</f>
        <v>2442</v>
      </c>
      <c r="AP77" s="4">
        <f>IS!AP7</f>
        <v>2490</v>
      </c>
      <c r="AQ77" s="5">
        <f>IS!AQ7</f>
        <v>2368</v>
      </c>
      <c r="AR77" s="4">
        <f>IS!AR7</f>
        <v>2257</v>
      </c>
      <c r="AS77" s="4">
        <f>IS!AS7</f>
        <v>2450</v>
      </c>
      <c r="AT77" s="4">
        <f>IS!AT7</f>
        <v>2821</v>
      </c>
      <c r="AU77" s="5">
        <f>IS!AU7</f>
        <v>3297</v>
      </c>
      <c r="AV77" s="4">
        <f>IS!AV7</f>
        <v>3278</v>
      </c>
      <c r="AW77" s="4">
        <f>IS!AW7</f>
        <v>3546</v>
      </c>
      <c r="AX77" s="4">
        <f>IS!AX7</f>
        <v>3744</v>
      </c>
      <c r="AY77" s="5">
        <f>IS!AY7</f>
        <v>3969</v>
      </c>
      <c r="AZ77" s="4">
        <f>IS!AZ7</f>
        <v>4204</v>
      </c>
      <c r="BA77" s="4">
        <f>IS!BA7</f>
        <v>4459.7740000000003</v>
      </c>
      <c r="BB77" s="4">
        <f>IS!BB7</f>
        <v>4342.8523249999998</v>
      </c>
      <c r="BC77" s="5">
        <f>IS!BC7</f>
        <v>4370.7503607500003</v>
      </c>
      <c r="BD77" s="4">
        <f>IS!BD7</f>
        <v>4238.7113647124997</v>
      </c>
      <c r="BE77" s="4">
        <f>IS!BE7</f>
        <v>4276.859249183125</v>
      </c>
      <c r="BF77" s="4">
        <f>IS!BF7</f>
        <v>4301.1901239812323</v>
      </c>
      <c r="BG77" s="5">
        <f>IS!BG7</f>
        <v>4359.7032893189698</v>
      </c>
      <c r="BH77" s="4">
        <f>IS!BH7</f>
        <v>4327.0606173439583</v>
      </c>
      <c r="BI77" s="4">
        <f>IS!BI7</f>
        <v>4365.1125164365967</v>
      </c>
      <c r="BJ77" s="4">
        <f>IS!BJ7</f>
        <v>4410.2320512528913</v>
      </c>
      <c r="BK77" s="5">
        <f>IS!BK7</f>
        <v>4414.7572642874811</v>
      </c>
      <c r="BL77" s="108"/>
      <c r="BM77" s="38"/>
      <c r="BN77" s="4"/>
      <c r="BO77" s="4"/>
      <c r="BP77" s="4"/>
      <c r="BQ77" s="4"/>
      <c r="BR77" s="4"/>
      <c r="BS77" s="4"/>
      <c r="BT77" s="4"/>
      <c r="BU77" s="5">
        <f>IS!BU7</f>
        <v>9072</v>
      </c>
      <c r="BV77" s="4">
        <f>IS!BV7</f>
        <v>9659</v>
      </c>
      <c r="BW77" s="4">
        <f>IS!BW7</f>
        <v>10825</v>
      </c>
      <c r="BX77" s="4">
        <f>IS!BX7</f>
        <v>14537</v>
      </c>
      <c r="BY77" s="4">
        <f>IS!BY7</f>
        <v>17377.376685750001</v>
      </c>
      <c r="BZ77" s="4">
        <f>IS!BZ7</f>
        <v>17176.464027195827</v>
      </c>
      <c r="CA77" s="5">
        <f>IS!CA7</f>
        <v>17517.162449320927</v>
      </c>
      <c r="CB77" s="109"/>
      <c r="CC77" s="18"/>
      <c r="CD77" s="18"/>
      <c r="CE77" s="18"/>
      <c r="CF77" s="18"/>
      <c r="CG77" s="18"/>
      <c r="CH77" s="817"/>
      <c r="CI77" s="802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806"/>
    </row>
    <row r="78" spans="1:98" ht="14.25" hidden="1" customHeight="1" outlineLevel="1">
      <c r="A78" s="18"/>
      <c r="B78" s="9"/>
      <c r="C78" s="18"/>
      <c r="D78" s="33"/>
      <c r="E78" s="33"/>
      <c r="F78" s="33"/>
      <c r="G78" s="36"/>
      <c r="H78" s="33"/>
      <c r="I78" s="33"/>
      <c r="J78" s="33"/>
      <c r="K78" s="36"/>
      <c r="L78" s="33"/>
      <c r="M78" s="33"/>
      <c r="N78" s="33"/>
      <c r="O78" s="36"/>
      <c r="P78" s="33"/>
      <c r="Q78" s="33"/>
      <c r="R78" s="33"/>
      <c r="S78" s="36"/>
      <c r="T78" s="33"/>
      <c r="U78" s="33"/>
      <c r="V78" s="33"/>
      <c r="W78" s="36"/>
      <c r="X78" s="33"/>
      <c r="Y78" s="33"/>
      <c r="Z78" s="33"/>
      <c r="AA78" s="36"/>
      <c r="AB78" s="33"/>
      <c r="AC78" s="33"/>
      <c r="AD78" s="33"/>
      <c r="AE78" s="36"/>
      <c r="AF78" s="33"/>
      <c r="AG78" s="33"/>
      <c r="AH78" s="33"/>
      <c r="AI78" s="36"/>
      <c r="AJ78" s="33"/>
      <c r="AK78" s="33"/>
      <c r="AL78" s="33"/>
      <c r="AM78" s="36"/>
      <c r="AN78" s="33"/>
      <c r="AO78" s="33"/>
      <c r="AP78" s="33"/>
      <c r="AQ78" s="36"/>
      <c r="AR78" s="33"/>
      <c r="AS78" s="33"/>
      <c r="AT78" s="33"/>
      <c r="AU78" s="36"/>
      <c r="AV78" s="33"/>
      <c r="AW78" s="33"/>
      <c r="AX78" s="33"/>
      <c r="AY78" s="36"/>
      <c r="AZ78" s="33"/>
      <c r="BA78" s="33"/>
      <c r="BB78" s="33"/>
      <c r="BC78" s="36"/>
      <c r="BD78" s="33"/>
      <c r="BE78" s="33"/>
      <c r="BF78" s="33"/>
      <c r="BG78" s="36"/>
      <c r="BH78" s="33"/>
      <c r="BI78" s="33"/>
      <c r="BJ78" s="33"/>
      <c r="BK78" s="36"/>
      <c r="BL78" s="106"/>
      <c r="BM78" s="33"/>
      <c r="BN78" s="33"/>
      <c r="BO78" s="33"/>
      <c r="BP78" s="33"/>
      <c r="BQ78" s="33"/>
      <c r="BR78" s="33"/>
      <c r="BS78" s="33"/>
      <c r="BT78" s="33"/>
      <c r="BU78" s="36"/>
      <c r="BV78" s="33"/>
      <c r="BW78" s="33"/>
      <c r="BX78" s="33"/>
      <c r="BY78" s="33"/>
      <c r="BZ78" s="33"/>
      <c r="CA78" s="36"/>
      <c r="CB78" s="110"/>
      <c r="CH78" s="818"/>
      <c r="CI78" s="801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806"/>
    </row>
    <row r="79" spans="1:98" ht="14.25" hidden="1" customHeight="1" outlineLevel="1">
      <c r="A79" s="18"/>
      <c r="B79" s="9" t="s">
        <v>194</v>
      </c>
      <c r="C79" s="26"/>
      <c r="D79" s="42"/>
      <c r="E79" s="42"/>
      <c r="F79" s="42"/>
      <c r="G79" s="43"/>
      <c r="H79" s="42"/>
      <c r="I79" s="42"/>
      <c r="J79" s="42"/>
      <c r="K79" s="43"/>
      <c r="L79" s="42"/>
      <c r="M79" s="42"/>
      <c r="N79" s="42"/>
      <c r="O79" s="43"/>
      <c r="P79" s="42"/>
      <c r="Q79" s="42"/>
      <c r="R79" s="42"/>
      <c r="S79" s="43"/>
      <c r="T79" s="42"/>
      <c r="U79" s="42"/>
      <c r="V79" s="42"/>
      <c r="W79" s="43"/>
      <c r="X79" s="42"/>
      <c r="Y79" s="42"/>
      <c r="Z79" s="42"/>
      <c r="AA79" s="43"/>
      <c r="AB79" s="42"/>
      <c r="AC79" s="42"/>
      <c r="AD79" s="42"/>
      <c r="AE79" s="43"/>
      <c r="AF79" s="42"/>
      <c r="AG79" s="42"/>
      <c r="AH79" s="42"/>
      <c r="AI79" s="43"/>
      <c r="AJ79" s="42"/>
      <c r="AK79" s="42"/>
      <c r="AL79" s="42"/>
      <c r="AM79" s="43"/>
      <c r="AN79" s="42" t="str">
        <f t="shared" ref="AN79:AZ79" si="235">IF(ABS(AN73-AN77)&lt;1,"OK",AN73-AN77)</f>
        <v>OK</v>
      </c>
      <c r="AO79" s="42" t="str">
        <f t="shared" si="235"/>
        <v>OK</v>
      </c>
      <c r="AP79" s="42" t="str">
        <f t="shared" si="235"/>
        <v>OK</v>
      </c>
      <c r="AQ79" s="43" t="str">
        <f t="shared" si="235"/>
        <v>OK</v>
      </c>
      <c r="AR79" s="42" t="str">
        <f t="shared" si="235"/>
        <v>OK</v>
      </c>
      <c r="AS79" s="42" t="str">
        <f t="shared" si="235"/>
        <v>OK</v>
      </c>
      <c r="AT79" s="42" t="str">
        <f t="shared" si="235"/>
        <v>OK</v>
      </c>
      <c r="AU79" s="43" t="str">
        <f>IF(ABS(AU73-AU77)&lt;1,"OK",AU73-AU77)</f>
        <v>OK</v>
      </c>
      <c r="AV79" s="42" t="str">
        <f t="shared" ref="AV79" si="236">IF(ABS(AV73-AV77)&lt;1,"OK",AV73-AV77)</f>
        <v>OK</v>
      </c>
      <c r="AW79" s="42" t="str">
        <f t="shared" si="235"/>
        <v>OK</v>
      </c>
      <c r="AX79" s="42" t="str">
        <f t="shared" si="235"/>
        <v>OK</v>
      </c>
      <c r="AY79" s="43" t="str">
        <f t="shared" si="235"/>
        <v>OK</v>
      </c>
      <c r="AZ79" s="42" t="str">
        <f t="shared" si="235"/>
        <v>OK</v>
      </c>
      <c r="BA79" s="42" t="str">
        <f t="shared" ref="BA79:BG79" si="237">IF(ABS(BA73-BA77)&lt;1,"OK",BA73-BA77)</f>
        <v>OK</v>
      </c>
      <c r="BB79" s="42" t="str">
        <f t="shared" si="237"/>
        <v>OK</v>
      </c>
      <c r="BC79" s="43" t="str">
        <f t="shared" si="237"/>
        <v>OK</v>
      </c>
      <c r="BD79" s="42" t="str">
        <f t="shared" si="237"/>
        <v>OK</v>
      </c>
      <c r="BE79" s="42" t="str">
        <f t="shared" si="237"/>
        <v>OK</v>
      </c>
      <c r="BF79" s="42" t="str">
        <f t="shared" si="237"/>
        <v>OK</v>
      </c>
      <c r="BG79" s="43" t="str">
        <f t="shared" si="237"/>
        <v>OK</v>
      </c>
      <c r="BH79" s="42" t="str">
        <f t="shared" ref="BH79:BK79" si="238">IF(ABS(BH73-BH77)&lt;1,"OK",BH73-BH77)</f>
        <v>OK</v>
      </c>
      <c r="BI79" s="42" t="str">
        <f t="shared" si="238"/>
        <v>OK</v>
      </c>
      <c r="BJ79" s="42" t="str">
        <f t="shared" si="238"/>
        <v>OK</v>
      </c>
      <c r="BK79" s="43" t="str">
        <f t="shared" si="238"/>
        <v>OK</v>
      </c>
      <c r="BL79" s="109"/>
      <c r="BM79" s="42"/>
      <c r="BN79" s="42"/>
      <c r="BO79" s="42"/>
      <c r="BP79" s="42"/>
      <c r="BQ79" s="42"/>
      <c r="BR79" s="42"/>
      <c r="BS79" s="42"/>
      <c r="BT79" s="42"/>
      <c r="BU79" s="43" t="str">
        <f>IF(ABS(BU73-BU77)&lt;1,"OK",BU73-BU77)</f>
        <v>OK</v>
      </c>
      <c r="BV79" s="42" t="str">
        <f t="shared" ref="BV79:CA79" si="239">IF(ABS(BV73-BV77)&lt;1,"OK",BV73-BV77)</f>
        <v>OK</v>
      </c>
      <c r="BW79" s="42" t="str">
        <f t="shared" si="239"/>
        <v>OK</v>
      </c>
      <c r="BX79" s="42" t="str">
        <f t="shared" si="239"/>
        <v>OK</v>
      </c>
      <c r="BY79" s="42" t="str">
        <f>IF(ABS(BY73-BY77)&lt;1,"OK",BY73-BY77)</f>
        <v>OK</v>
      </c>
      <c r="BZ79" s="42" t="str">
        <f>IF(ABS(BZ73-BZ77)&lt;1,"OK",BZ73-BZ77)</f>
        <v>OK</v>
      </c>
      <c r="CA79" s="43" t="str">
        <f t="shared" si="239"/>
        <v>OK</v>
      </c>
      <c r="CB79" s="109"/>
      <c r="CC79" s="18"/>
      <c r="CD79" s="18"/>
      <c r="CE79" s="18"/>
      <c r="CF79" s="18"/>
      <c r="CG79" s="18"/>
      <c r="CH79" s="817"/>
      <c r="CI79" s="803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806"/>
    </row>
    <row r="80" spans="1:98" ht="14.25" hidden="1" customHeight="1" outlineLevel="1">
      <c r="A80" s="18"/>
      <c r="B80" s="9"/>
      <c r="C80" s="26"/>
      <c r="D80" s="42"/>
      <c r="E80" s="42"/>
      <c r="F80" s="42"/>
      <c r="G80" s="43"/>
      <c r="H80" s="42"/>
      <c r="I80" s="42"/>
      <c r="J80" s="42"/>
      <c r="K80" s="43"/>
      <c r="L80" s="42"/>
      <c r="M80" s="42"/>
      <c r="N80" s="42"/>
      <c r="O80" s="43"/>
      <c r="P80" s="42"/>
      <c r="Q80" s="42"/>
      <c r="R80" s="42"/>
      <c r="S80" s="43"/>
      <c r="T80" s="42"/>
      <c r="U80" s="42"/>
      <c r="V80" s="42"/>
      <c r="W80" s="43"/>
      <c r="X80" s="42"/>
      <c r="Y80" s="42"/>
      <c r="Z80" s="42"/>
      <c r="AA80" s="43"/>
      <c r="AB80" s="42"/>
      <c r="AC80" s="42"/>
      <c r="AD80" s="42"/>
      <c r="AE80" s="43"/>
      <c r="AF80" s="42"/>
      <c r="AG80" s="42"/>
      <c r="AH80" s="42"/>
      <c r="AI80" s="43"/>
      <c r="AJ80" s="42"/>
      <c r="AK80" s="42"/>
      <c r="AL80" s="42"/>
      <c r="AM80" s="43"/>
      <c r="AN80" s="42"/>
      <c r="AO80" s="42"/>
      <c r="AP80" s="42"/>
      <c r="AQ80" s="43"/>
      <c r="AR80" s="42"/>
      <c r="AS80" s="42"/>
      <c r="AT80" s="42"/>
      <c r="AU80" s="43"/>
      <c r="AV80" s="42"/>
      <c r="AW80" s="42"/>
      <c r="AX80" s="42"/>
      <c r="AY80" s="43"/>
      <c r="AZ80" s="42"/>
      <c r="BA80" s="42"/>
      <c r="BB80" s="42"/>
      <c r="BC80" s="43"/>
      <c r="BD80" s="42"/>
      <c r="BE80" s="42"/>
      <c r="BF80" s="42"/>
      <c r="BG80" s="43"/>
      <c r="BH80" s="42"/>
      <c r="BI80" s="42"/>
      <c r="BJ80" s="42"/>
      <c r="BK80" s="43"/>
      <c r="BL80" s="109"/>
      <c r="BM80" s="42"/>
      <c r="BN80" s="42"/>
      <c r="BO80" s="42"/>
      <c r="BP80" s="42"/>
      <c r="BQ80" s="42"/>
      <c r="BR80" s="42"/>
      <c r="BS80" s="42"/>
      <c r="BT80" s="42"/>
      <c r="BU80" s="43"/>
      <c r="BV80" s="42"/>
      <c r="BW80" s="42"/>
      <c r="BX80" s="42"/>
      <c r="BY80" s="42"/>
      <c r="BZ80" s="42"/>
      <c r="CA80" s="43"/>
      <c r="CB80" s="110"/>
      <c r="CH80" s="818"/>
      <c r="CI80" s="803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806"/>
    </row>
    <row r="81" spans="1:98" ht="14.25" hidden="1" customHeight="1" outlineLevel="1">
      <c r="A81" s="18"/>
      <c r="B81" s="9" t="s">
        <v>195</v>
      </c>
      <c r="C81" s="26"/>
      <c r="D81" s="42"/>
      <c r="E81" s="42"/>
      <c r="F81" s="42"/>
      <c r="G81" s="43"/>
      <c r="H81" s="42"/>
      <c r="I81" s="42"/>
      <c r="J81" s="42"/>
      <c r="K81" s="43"/>
      <c r="L81" s="42"/>
      <c r="M81" s="42"/>
      <c r="N81" s="42"/>
      <c r="O81" s="43"/>
      <c r="P81" s="42"/>
      <c r="Q81" s="42"/>
      <c r="R81" s="42"/>
      <c r="S81" s="43"/>
      <c r="T81" s="42"/>
      <c r="U81" s="42"/>
      <c r="V81" s="42"/>
      <c r="W81" s="43"/>
      <c r="X81" s="42"/>
      <c r="Y81" s="42"/>
      <c r="Z81" s="42"/>
      <c r="AA81" s="43"/>
      <c r="AB81" s="42"/>
      <c r="AC81" s="42"/>
      <c r="AD81" s="42"/>
      <c r="AE81" s="43"/>
      <c r="AF81" s="42"/>
      <c r="AG81" s="42"/>
      <c r="AH81" s="42"/>
      <c r="AI81" s="43"/>
      <c r="AJ81" s="42"/>
      <c r="AK81" s="42"/>
      <c r="AL81" s="42"/>
      <c r="AM81" s="43"/>
      <c r="AN81" s="42" t="str">
        <f t="shared" ref="AN81:BC81" si="240">IF(ROUND(SUM(AN11,AN48,AN55,AN62),1)=1,"OK",SUM(AN11,AN48,AN55,AN62))</f>
        <v>OK</v>
      </c>
      <c r="AO81" s="42" t="str">
        <f t="shared" si="240"/>
        <v>OK</v>
      </c>
      <c r="AP81" s="42" t="str">
        <f t="shared" si="240"/>
        <v>OK</v>
      </c>
      <c r="AQ81" s="43" t="str">
        <f t="shared" si="240"/>
        <v>OK</v>
      </c>
      <c r="AR81" s="42" t="str">
        <f t="shared" si="240"/>
        <v>OK</v>
      </c>
      <c r="AS81" s="42" t="str">
        <f t="shared" si="240"/>
        <v>OK</v>
      </c>
      <c r="AT81" s="42" t="str">
        <f t="shared" si="240"/>
        <v>OK</v>
      </c>
      <c r="AU81" s="43" t="str">
        <f t="shared" si="240"/>
        <v>OK</v>
      </c>
      <c r="AV81" s="42" t="str">
        <f t="shared" si="240"/>
        <v>OK</v>
      </c>
      <c r="AW81" s="42" t="str">
        <f t="shared" si="240"/>
        <v>OK</v>
      </c>
      <c r="AX81" s="42" t="str">
        <f t="shared" si="240"/>
        <v>OK</v>
      </c>
      <c r="AY81" s="43" t="str">
        <f t="shared" si="240"/>
        <v>OK</v>
      </c>
      <c r="AZ81" s="42" t="str">
        <f t="shared" ref="AZ81" si="241">IF(ROUND(SUM(AZ11,AZ48,AZ55,AZ62),1)=1,"OK",SUM(AZ11,AZ48,AZ55,AZ62))</f>
        <v>OK</v>
      </c>
      <c r="BA81" s="42" t="str">
        <f t="shared" si="240"/>
        <v>OK</v>
      </c>
      <c r="BB81" s="42" t="str">
        <f t="shared" si="240"/>
        <v>OK</v>
      </c>
      <c r="BC81" s="43" t="str">
        <f t="shared" si="240"/>
        <v>OK</v>
      </c>
      <c r="BD81" s="42" t="str">
        <f t="shared" ref="BD81:BG81" si="242">IF(ROUND(SUM(BD11,BD48,BD55,BD62),1)=1,"OK",SUM(BD11,BD48,BD55,BD62))</f>
        <v>OK</v>
      </c>
      <c r="BE81" s="42" t="str">
        <f t="shared" si="242"/>
        <v>OK</v>
      </c>
      <c r="BF81" s="42" t="str">
        <f t="shared" si="242"/>
        <v>OK</v>
      </c>
      <c r="BG81" s="43" t="str">
        <f t="shared" si="242"/>
        <v>OK</v>
      </c>
      <c r="BH81" s="42" t="str">
        <f t="shared" ref="BH81:BK81" si="243">IF(ROUND(SUM(BH11,BH48,BH55,BH62),1)=1,"OK",SUM(BH11,BH48,BH55,BH62))</f>
        <v>OK</v>
      </c>
      <c r="BI81" s="42" t="str">
        <f t="shared" si="243"/>
        <v>OK</v>
      </c>
      <c r="BJ81" s="42" t="str">
        <f t="shared" si="243"/>
        <v>OK</v>
      </c>
      <c r="BK81" s="43" t="str">
        <f t="shared" si="243"/>
        <v>OK</v>
      </c>
      <c r="BL81" s="109"/>
      <c r="BM81" s="44"/>
      <c r="BN81" s="44"/>
      <c r="BO81" s="44"/>
      <c r="BP81" s="44"/>
      <c r="BQ81" s="44"/>
      <c r="BR81" s="44"/>
      <c r="BS81" s="44"/>
      <c r="BT81" s="44"/>
      <c r="BU81" s="45" t="str">
        <f t="shared" ref="BU81:CA81" si="244">IF(ROUND(SUM(BU11,BU48,BU55,BU62),1)=1,"OK",SUM(BU11,BU48,BU55,BU62))</f>
        <v>OK</v>
      </c>
      <c r="BV81" s="44" t="str">
        <f t="shared" si="244"/>
        <v>OK</v>
      </c>
      <c r="BW81" s="44" t="str">
        <f t="shared" si="244"/>
        <v>OK</v>
      </c>
      <c r="BX81" s="44" t="str">
        <f t="shared" si="244"/>
        <v>OK</v>
      </c>
      <c r="BY81" s="44" t="str">
        <f t="shared" si="244"/>
        <v>OK</v>
      </c>
      <c r="BZ81" s="44" t="str">
        <f t="shared" ref="BZ81" si="245">IF(ROUND(SUM(BZ11,BZ48,BZ55,BZ62),1)=1,"OK",SUM(BZ11,BZ48,BZ55,BZ62))</f>
        <v>OK</v>
      </c>
      <c r="CA81" s="45" t="str">
        <f t="shared" si="244"/>
        <v>OK</v>
      </c>
      <c r="CB81" s="110"/>
      <c r="CH81" s="818"/>
      <c r="CI81" s="80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806"/>
    </row>
    <row r="82" spans="1:98" ht="14.25" customHeight="1" collapsed="1">
      <c r="A82" s="18"/>
      <c r="B82" s="9"/>
      <c r="C82" s="26"/>
      <c r="D82" s="42"/>
      <c r="E82" s="42"/>
      <c r="F82" s="42"/>
      <c r="G82" s="43"/>
      <c r="H82" s="42"/>
      <c r="I82" s="42"/>
      <c r="J82" s="42"/>
      <c r="K82" s="43"/>
      <c r="L82" s="42"/>
      <c r="M82" s="42"/>
      <c r="N82" s="42"/>
      <c r="O82" s="43"/>
      <c r="P82" s="42"/>
      <c r="Q82" s="42"/>
      <c r="R82" s="42"/>
      <c r="S82" s="43"/>
      <c r="T82" s="42"/>
      <c r="U82" s="42"/>
      <c r="V82" s="42"/>
      <c r="W82" s="43"/>
      <c r="X82" s="42"/>
      <c r="Y82" s="42"/>
      <c r="Z82" s="42"/>
      <c r="AA82" s="43"/>
      <c r="AB82" s="42"/>
      <c r="AC82" s="42"/>
      <c r="AD82" s="42"/>
      <c r="AE82" s="43"/>
      <c r="AF82" s="42"/>
      <c r="AG82" s="42"/>
      <c r="AH82" s="42"/>
      <c r="AI82" s="43"/>
      <c r="AJ82" s="42"/>
      <c r="AK82" s="42"/>
      <c r="AL82" s="42"/>
      <c r="AM82" s="43"/>
      <c r="AN82" s="42"/>
      <c r="AO82" s="42"/>
      <c r="AP82" s="42"/>
      <c r="AQ82" s="43"/>
      <c r="AR82" s="42"/>
      <c r="AS82" s="42"/>
      <c r="AT82" s="42"/>
      <c r="AU82" s="43"/>
      <c r="AV82" s="42"/>
      <c r="AW82" s="42"/>
      <c r="AX82" s="42"/>
      <c r="AY82" s="43"/>
      <c r="AZ82" s="42"/>
      <c r="BA82" s="42"/>
      <c r="BB82" s="42"/>
      <c r="BC82" s="43"/>
      <c r="BD82" s="42"/>
      <c r="BE82" s="42"/>
      <c r="BF82" s="42"/>
      <c r="BG82" s="43"/>
      <c r="BH82" s="42"/>
      <c r="BI82" s="42"/>
      <c r="BJ82" s="42"/>
      <c r="BK82" s="43"/>
      <c r="BL82" s="109"/>
      <c r="BM82" s="42"/>
      <c r="BN82" s="42"/>
      <c r="BO82" s="42"/>
      <c r="BP82" s="42"/>
      <c r="BQ82" s="42"/>
      <c r="BR82" s="42"/>
      <c r="BS82" s="42"/>
      <c r="BT82" s="42"/>
      <c r="BU82" s="43"/>
      <c r="BV82" s="42"/>
      <c r="BW82" s="42"/>
      <c r="BX82" s="42"/>
      <c r="BY82" s="42"/>
      <c r="BZ82" s="42"/>
      <c r="CA82" s="43"/>
      <c r="CB82" s="110"/>
      <c r="CH82" s="818"/>
      <c r="CI82" s="803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806"/>
    </row>
    <row r="83" spans="1:98" ht="14.25" customHeight="1">
      <c r="A83" s="18"/>
      <c r="AM83" s="45"/>
      <c r="AQ83" s="45"/>
      <c r="AR83" s="44"/>
      <c r="AU83" s="45"/>
      <c r="AV83" s="44"/>
      <c r="AW83" s="44"/>
      <c r="AX83" s="44"/>
      <c r="AY83" s="45"/>
      <c r="AZ83" s="44"/>
      <c r="BA83" s="44"/>
      <c r="BB83" s="44"/>
      <c r="BC83" s="45"/>
      <c r="BD83" s="44"/>
      <c r="BE83" s="44"/>
      <c r="BF83" s="44"/>
      <c r="BG83" s="45"/>
      <c r="BH83" s="44"/>
      <c r="BI83" s="44"/>
      <c r="BJ83" s="44"/>
      <c r="BK83" s="45"/>
      <c r="BL83" s="109"/>
      <c r="BM83" s="44"/>
      <c r="BN83" s="44"/>
      <c r="BO83" s="44"/>
      <c r="BP83" s="44"/>
      <c r="BQ83" s="44"/>
      <c r="BR83" s="44"/>
      <c r="BS83" s="44"/>
      <c r="BT83" s="44"/>
      <c r="BU83" s="45"/>
      <c r="BV83" s="44"/>
      <c r="BW83" s="44"/>
      <c r="BX83" s="44"/>
      <c r="BY83" s="44"/>
      <c r="BZ83" s="44"/>
      <c r="CA83" s="45"/>
      <c r="CB83" s="110"/>
      <c r="CH83" s="818"/>
      <c r="CI83" s="80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806"/>
    </row>
    <row r="84" spans="1:98" ht="14.25" customHeight="1">
      <c r="A84" s="18"/>
      <c r="B84" s="26"/>
      <c r="C84" s="26"/>
      <c r="D84" s="42"/>
      <c r="E84" s="42"/>
      <c r="F84" s="42"/>
      <c r="G84" s="43"/>
      <c r="H84" s="42"/>
      <c r="I84" s="42"/>
      <c r="J84" s="42"/>
      <c r="K84" s="43"/>
      <c r="L84" s="42"/>
      <c r="M84" s="42"/>
      <c r="N84" s="42"/>
      <c r="O84" s="43"/>
      <c r="P84" s="42"/>
      <c r="Q84" s="42"/>
      <c r="R84" s="42"/>
      <c r="S84" s="43"/>
      <c r="T84" s="42"/>
      <c r="U84" s="42"/>
      <c r="V84" s="42"/>
      <c r="W84" s="43"/>
      <c r="X84" s="42"/>
      <c r="Y84" s="42"/>
      <c r="Z84" s="42"/>
      <c r="AA84" s="43"/>
      <c r="AB84" s="42"/>
      <c r="AC84" s="42"/>
      <c r="AD84" s="42"/>
      <c r="AE84" s="43"/>
      <c r="AF84" s="42"/>
      <c r="AG84" s="42"/>
      <c r="AH84" s="42"/>
      <c r="AI84" s="43"/>
      <c r="AJ84" s="42"/>
      <c r="AK84" s="42"/>
      <c r="AL84" s="42"/>
      <c r="AM84" s="43"/>
      <c r="AN84" s="42"/>
      <c r="AO84" s="42"/>
      <c r="AP84" s="42"/>
      <c r="AQ84" s="43"/>
      <c r="AR84" s="42"/>
      <c r="AS84" s="42"/>
      <c r="AT84" s="42"/>
      <c r="AU84" s="43"/>
      <c r="AV84" s="42"/>
      <c r="AW84" s="42"/>
      <c r="AX84" s="42"/>
      <c r="AY84" s="43"/>
      <c r="AZ84" s="42"/>
      <c r="BA84" s="42"/>
      <c r="BB84" s="42"/>
      <c r="BC84" s="43"/>
      <c r="BD84" s="42"/>
      <c r="BE84" s="42"/>
      <c r="BF84" s="42"/>
      <c r="BG84" s="43"/>
      <c r="BH84" s="42"/>
      <c r="BI84" s="42"/>
      <c r="BJ84" s="42"/>
      <c r="BK84" s="43"/>
      <c r="BL84" s="109"/>
      <c r="BM84" s="42"/>
      <c r="BN84" s="42"/>
      <c r="BO84" s="42"/>
      <c r="BP84" s="42"/>
      <c r="BQ84" s="42"/>
      <c r="BR84" s="42"/>
      <c r="BS84" s="42"/>
      <c r="BT84" s="42"/>
      <c r="BU84" s="43"/>
      <c r="BV84" s="42"/>
      <c r="BW84" s="42"/>
      <c r="BX84" s="42"/>
      <c r="BY84" s="42"/>
      <c r="BZ84" s="42"/>
      <c r="CA84" s="43"/>
      <c r="CB84" s="110"/>
      <c r="CH84" s="818"/>
      <c r="CI84" s="803"/>
      <c r="CJ84" s="42"/>
      <c r="CK84" s="42"/>
      <c r="CL84" s="42"/>
      <c r="CM84" s="42"/>
      <c r="CN84" s="42"/>
      <c r="CO84" s="42"/>
      <c r="CP84" s="42"/>
      <c r="CQ84" s="42"/>
      <c r="CR84" s="42"/>
      <c r="CS84" s="113"/>
      <c r="CT84" s="806"/>
    </row>
    <row r="85" spans="1:98" s="64" customFormat="1" ht="14.25" customHeight="1">
      <c r="A85" s="26"/>
      <c r="B85" s="99" t="s">
        <v>200</v>
      </c>
      <c r="C85" s="100"/>
      <c r="D85" s="95" t="str">
        <f t="shared" ref="D85:AW85" si="246">D$6</f>
        <v>1Q06</v>
      </c>
      <c r="E85" s="95" t="str">
        <f t="shared" si="246"/>
        <v>2Q06</v>
      </c>
      <c r="F85" s="95" t="str">
        <f t="shared" si="246"/>
        <v>3Q06</v>
      </c>
      <c r="G85" s="96" t="str">
        <f t="shared" si="246"/>
        <v>4Q06</v>
      </c>
      <c r="H85" s="95" t="str">
        <f t="shared" si="246"/>
        <v>1Q07</v>
      </c>
      <c r="I85" s="95" t="str">
        <f t="shared" si="246"/>
        <v>2Q07</v>
      </c>
      <c r="J85" s="95" t="str">
        <f t="shared" si="246"/>
        <v>3Q07</v>
      </c>
      <c r="K85" s="96" t="str">
        <f t="shared" si="246"/>
        <v>4Q07</v>
      </c>
      <c r="L85" s="95" t="str">
        <f t="shared" si="246"/>
        <v>1Q08</v>
      </c>
      <c r="M85" s="95" t="str">
        <f t="shared" si="246"/>
        <v>2Q08</v>
      </c>
      <c r="N85" s="95" t="str">
        <f t="shared" si="246"/>
        <v>3Q08</v>
      </c>
      <c r="O85" s="96" t="str">
        <f t="shared" si="246"/>
        <v>4Q08</v>
      </c>
      <c r="P85" s="95" t="str">
        <f t="shared" si="246"/>
        <v>1Q09</v>
      </c>
      <c r="Q85" s="95" t="str">
        <f t="shared" si="246"/>
        <v>2Q09</v>
      </c>
      <c r="R85" s="95" t="str">
        <f t="shared" si="246"/>
        <v>3Q09</v>
      </c>
      <c r="S85" s="96" t="str">
        <f t="shared" si="246"/>
        <v>4Q09</v>
      </c>
      <c r="T85" s="95" t="str">
        <f t="shared" si="246"/>
        <v>1Q10</v>
      </c>
      <c r="U85" s="95" t="str">
        <f t="shared" si="246"/>
        <v>2Q10</v>
      </c>
      <c r="V85" s="95" t="str">
        <f t="shared" si="246"/>
        <v>3Q10</v>
      </c>
      <c r="W85" s="96" t="str">
        <f t="shared" si="246"/>
        <v>4Q10</v>
      </c>
      <c r="X85" s="95" t="str">
        <f t="shared" si="246"/>
        <v>1Q11</v>
      </c>
      <c r="Y85" s="95" t="str">
        <f t="shared" si="246"/>
        <v>2Q11</v>
      </c>
      <c r="Z85" s="95" t="str">
        <f t="shared" si="246"/>
        <v>3Q11</v>
      </c>
      <c r="AA85" s="96" t="str">
        <f t="shared" si="246"/>
        <v>4Q11</v>
      </c>
      <c r="AB85" s="95" t="str">
        <f t="shared" si="246"/>
        <v>1Q12</v>
      </c>
      <c r="AC85" s="95" t="str">
        <f t="shared" si="246"/>
        <v>2Q12</v>
      </c>
      <c r="AD85" s="95" t="str">
        <f t="shared" si="246"/>
        <v>3Q12</v>
      </c>
      <c r="AE85" s="96" t="str">
        <f t="shared" si="246"/>
        <v>4Q12</v>
      </c>
      <c r="AF85" s="95" t="str">
        <f t="shared" si="246"/>
        <v>1Q13</v>
      </c>
      <c r="AG85" s="95" t="str">
        <f t="shared" si="246"/>
        <v>2Q13</v>
      </c>
      <c r="AH85" s="95" t="str">
        <f t="shared" si="246"/>
        <v>3Q13</v>
      </c>
      <c r="AI85" s="96" t="str">
        <f t="shared" si="246"/>
        <v>4Q13</v>
      </c>
      <c r="AJ85" s="95" t="str">
        <f t="shared" si="246"/>
        <v>1Q14</v>
      </c>
      <c r="AK85" s="95" t="str">
        <f t="shared" si="246"/>
        <v>2Q14</v>
      </c>
      <c r="AL85" s="95" t="str">
        <f t="shared" si="246"/>
        <v>3Q14</v>
      </c>
      <c r="AM85" s="96" t="str">
        <f t="shared" si="246"/>
        <v>4Q14</v>
      </c>
      <c r="AN85" s="95" t="str">
        <f t="shared" si="246"/>
        <v>1Q15</v>
      </c>
      <c r="AO85" s="95" t="str">
        <f t="shared" si="246"/>
        <v>2Q15</v>
      </c>
      <c r="AP85" s="95" t="str">
        <f t="shared" si="246"/>
        <v>3Q15</v>
      </c>
      <c r="AQ85" s="96" t="str">
        <f t="shared" si="246"/>
        <v>4Q15</v>
      </c>
      <c r="AR85" s="95" t="s">
        <v>141</v>
      </c>
      <c r="AS85" s="95" t="str">
        <f t="shared" si="246"/>
        <v>2Q16</v>
      </c>
      <c r="AT85" s="95" t="str">
        <f t="shared" si="246"/>
        <v>3Q16</v>
      </c>
      <c r="AU85" s="96" t="str">
        <f t="shared" si="246"/>
        <v>4Q16</v>
      </c>
      <c r="AV85" s="95" t="s">
        <v>141</v>
      </c>
      <c r="AW85" s="95" t="str">
        <f t="shared" si="246"/>
        <v>2Q17</v>
      </c>
      <c r="AX85" s="95" t="str">
        <f t="shared" ref="AX85:BG85" si="247">AX6</f>
        <v>3Q17</v>
      </c>
      <c r="AY85" s="96" t="str">
        <f t="shared" si="247"/>
        <v>4Q17</v>
      </c>
      <c r="AZ85" s="166" t="str">
        <f t="shared" si="247"/>
        <v>1Q18</v>
      </c>
      <c r="BA85" s="97" t="str">
        <f t="shared" si="247"/>
        <v>2Q18e</v>
      </c>
      <c r="BB85" s="97" t="str">
        <f t="shared" si="247"/>
        <v>3Q18e</v>
      </c>
      <c r="BC85" s="98" t="str">
        <f t="shared" si="247"/>
        <v>4Q18e</v>
      </c>
      <c r="BD85" s="97" t="str">
        <f t="shared" si="247"/>
        <v>1Q19e</v>
      </c>
      <c r="BE85" s="97" t="str">
        <f t="shared" si="247"/>
        <v>2Q19e</v>
      </c>
      <c r="BF85" s="97" t="str">
        <f t="shared" si="247"/>
        <v>3Q19e</v>
      </c>
      <c r="BG85" s="98" t="str">
        <f t="shared" si="247"/>
        <v>4Q19e</v>
      </c>
      <c r="BH85" s="97" t="str">
        <f t="shared" ref="BH85:BK85" si="248">BH6</f>
        <v>1Q20e</v>
      </c>
      <c r="BI85" s="97" t="str">
        <f t="shared" si="248"/>
        <v>2Q20e</v>
      </c>
      <c r="BJ85" s="97" t="str">
        <f t="shared" si="248"/>
        <v>3Q20e</v>
      </c>
      <c r="BK85" s="98" t="str">
        <f t="shared" si="248"/>
        <v>4Q20e</v>
      </c>
      <c r="BL85" s="142"/>
      <c r="BM85" s="136" t="str">
        <f t="shared" ref="BM85:CA85" si="249">BM$6</f>
        <v>FY2006A</v>
      </c>
      <c r="BN85" s="137" t="str">
        <f t="shared" si="249"/>
        <v>FY2007A</v>
      </c>
      <c r="BO85" s="136" t="str">
        <f t="shared" si="249"/>
        <v>FY2008A</v>
      </c>
      <c r="BP85" s="136" t="str">
        <f t="shared" si="249"/>
        <v>FY2009A</v>
      </c>
      <c r="BQ85" s="138" t="str">
        <f t="shared" si="249"/>
        <v>FY2010A</v>
      </c>
      <c r="BR85" s="138" t="str">
        <f t="shared" si="249"/>
        <v>FY2011A</v>
      </c>
      <c r="BS85" s="138" t="str">
        <f t="shared" si="249"/>
        <v>FY2012A</v>
      </c>
      <c r="BT85" s="138" t="str">
        <f t="shared" si="249"/>
        <v>FY2013A</v>
      </c>
      <c r="BU85" s="139" t="str">
        <f t="shared" si="249"/>
        <v>FY2014E</v>
      </c>
      <c r="BV85" s="97" t="str">
        <f t="shared" si="249"/>
        <v>FY2015</v>
      </c>
      <c r="BW85" s="97" t="str">
        <f t="shared" si="249"/>
        <v>FY2016</v>
      </c>
      <c r="BX85" s="97" t="str">
        <f t="shared" si="249"/>
        <v>FY2017</v>
      </c>
      <c r="BY85" s="97" t="str">
        <f t="shared" si="249"/>
        <v>FY2018E</v>
      </c>
      <c r="BZ85" s="97" t="str">
        <f t="shared" si="249"/>
        <v>FY2019E</v>
      </c>
      <c r="CA85" s="98" t="str">
        <f t="shared" si="249"/>
        <v>FY2020E</v>
      </c>
      <c r="CB85" s="111"/>
      <c r="CH85" s="819"/>
      <c r="CI85" s="793"/>
      <c r="CJ85" s="138"/>
      <c r="CK85" s="138"/>
      <c r="CL85" s="138"/>
      <c r="CM85" s="138"/>
      <c r="CN85" s="138"/>
      <c r="CO85" s="138"/>
      <c r="CP85" s="97"/>
      <c r="CQ85" s="97"/>
      <c r="CR85" s="97"/>
      <c r="CS85" s="97"/>
      <c r="CT85" s="813"/>
    </row>
    <row r="86" spans="1:98" ht="14.25" customHeight="1">
      <c r="A86" s="18"/>
      <c r="B86" s="16" t="s">
        <v>432</v>
      </c>
      <c r="C86" s="14"/>
      <c r="D86" s="14"/>
      <c r="E86" s="14"/>
      <c r="F86" s="14"/>
      <c r="G86" s="15"/>
      <c r="H86" s="14"/>
      <c r="I86" s="14"/>
      <c r="J86" s="14"/>
      <c r="K86" s="15"/>
      <c r="L86" s="14"/>
      <c r="M86" s="14"/>
      <c r="N86" s="14"/>
      <c r="O86" s="15"/>
      <c r="P86" s="14"/>
      <c r="Q86" s="14"/>
      <c r="R86" s="14"/>
      <c r="S86" s="15"/>
      <c r="T86" s="14"/>
      <c r="U86" s="14"/>
      <c r="V86" s="14"/>
      <c r="W86" s="15"/>
      <c r="X86" s="14"/>
      <c r="Y86" s="14"/>
      <c r="Z86" s="14"/>
      <c r="AA86" s="15"/>
      <c r="AB86" s="14"/>
      <c r="AC86" s="14"/>
      <c r="AD86" s="14"/>
      <c r="AE86" s="15"/>
      <c r="AF86" s="14"/>
      <c r="AG86" s="14"/>
      <c r="AH86" s="14"/>
      <c r="AI86" s="15"/>
      <c r="AJ86" s="14"/>
      <c r="AK86" s="14"/>
      <c r="AL86" s="14"/>
      <c r="AM86" s="127"/>
      <c r="AN86" s="14"/>
      <c r="AO86" s="14"/>
      <c r="AP86" s="14"/>
      <c r="AQ86" s="127"/>
      <c r="AR86" s="14"/>
      <c r="AS86" s="14"/>
      <c r="AT86" s="14"/>
      <c r="AU86" s="127"/>
      <c r="AV86" s="14"/>
      <c r="AW86" s="14"/>
      <c r="AX86" s="14"/>
      <c r="AY86" s="15"/>
      <c r="AZ86" s="14"/>
      <c r="BA86" s="14"/>
      <c r="BB86" s="14"/>
      <c r="BC86" s="15"/>
      <c r="BD86" s="14"/>
      <c r="BE86" s="14"/>
      <c r="BF86" s="14"/>
      <c r="BG86" s="15"/>
      <c r="BH86" s="14"/>
      <c r="BI86" s="14"/>
      <c r="BJ86" s="14"/>
      <c r="BK86" s="15"/>
      <c r="BL86" s="109"/>
      <c r="BM86" s="14"/>
      <c r="BN86" s="14"/>
      <c r="BO86" s="14"/>
      <c r="BP86" s="14"/>
      <c r="BQ86" s="14"/>
      <c r="BR86" s="14"/>
      <c r="BS86" s="14"/>
      <c r="BT86" s="14"/>
      <c r="BU86" s="127"/>
      <c r="BV86" s="14"/>
      <c r="BW86" s="14"/>
      <c r="BX86" s="14"/>
      <c r="BY86" s="14"/>
      <c r="BZ86" s="14"/>
      <c r="CA86" s="15"/>
      <c r="CB86" s="109"/>
      <c r="CC86" s="18"/>
      <c r="CD86" s="18"/>
      <c r="CE86" s="18"/>
      <c r="CF86" s="18"/>
      <c r="CG86" s="18"/>
      <c r="CH86" s="817"/>
      <c r="CI86" s="805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806"/>
    </row>
    <row r="87" spans="1:98" ht="14.25" customHeight="1">
      <c r="A87" s="18"/>
      <c r="B87" s="18" t="str">
        <f>B8</f>
        <v>Semiconductor Systems</v>
      </c>
      <c r="C87" s="26"/>
      <c r="D87" s="49"/>
      <c r="E87" s="49"/>
      <c r="F87" s="49"/>
      <c r="G87" s="50"/>
      <c r="H87" s="49"/>
      <c r="I87" s="158"/>
      <c r="J87" s="158"/>
      <c r="K87" s="159"/>
      <c r="L87" s="158"/>
      <c r="M87" s="158"/>
      <c r="N87" s="158"/>
      <c r="O87" s="159"/>
      <c r="P87" s="158"/>
      <c r="Q87" s="158"/>
      <c r="R87" s="158"/>
      <c r="S87" s="159"/>
      <c r="T87" s="158"/>
      <c r="U87" s="158"/>
      <c r="V87" s="158"/>
      <c r="W87" s="159"/>
      <c r="X87" s="158"/>
      <c r="Y87" s="158"/>
      <c r="Z87" s="158"/>
      <c r="AA87" s="159"/>
      <c r="AB87" s="158"/>
      <c r="AC87" s="158"/>
      <c r="AD87" s="158"/>
      <c r="AE87" s="159"/>
      <c r="AF87" s="158"/>
      <c r="AG87" s="158"/>
      <c r="AH87" s="158"/>
      <c r="AI87" s="159"/>
      <c r="AJ87" s="158"/>
      <c r="AK87" s="158"/>
      <c r="AL87" s="158"/>
      <c r="AM87" s="159"/>
      <c r="AN87" s="158">
        <v>350</v>
      </c>
      <c r="AO87" s="158">
        <v>418</v>
      </c>
      <c r="AP87" s="158">
        <v>455</v>
      </c>
      <c r="AQ87" s="159">
        <v>365</v>
      </c>
      <c r="AR87" s="158">
        <v>312</v>
      </c>
      <c r="AS87" s="158">
        <v>410</v>
      </c>
      <c r="AT87" s="158">
        <v>556</v>
      </c>
      <c r="AU87" s="159">
        <v>713</v>
      </c>
      <c r="AV87" s="158">
        <v>736</v>
      </c>
      <c r="AW87" s="158">
        <v>854</v>
      </c>
      <c r="AX87" s="158">
        <v>920</v>
      </c>
      <c r="AY87" s="159">
        <v>847</v>
      </c>
      <c r="AZ87" s="158">
        <v>1041</v>
      </c>
      <c r="BA87" s="32"/>
      <c r="BB87" s="32"/>
      <c r="BC87" s="31"/>
      <c r="BD87" s="32"/>
      <c r="BE87" s="32"/>
      <c r="BF87" s="32"/>
      <c r="BG87" s="31"/>
      <c r="BH87" s="32"/>
      <c r="BI87" s="32"/>
      <c r="BJ87" s="32"/>
      <c r="BK87" s="31"/>
      <c r="BL87" s="106"/>
      <c r="BM87" s="34"/>
      <c r="BN87" s="34"/>
      <c r="BO87" s="34"/>
      <c r="BP87" s="34"/>
      <c r="BQ87" s="34"/>
      <c r="BR87" s="34"/>
      <c r="BS87" s="34"/>
      <c r="BT87" s="34"/>
      <c r="BU87" s="158">
        <v>1565</v>
      </c>
      <c r="BV87" s="34">
        <f>SUM(AN87:AQ87)</f>
        <v>1588</v>
      </c>
      <c r="BW87" s="34"/>
      <c r="BX87" s="34"/>
      <c r="BY87" s="34"/>
      <c r="BZ87" s="34"/>
      <c r="CA87" s="114"/>
      <c r="CB87" s="109"/>
      <c r="CC87" s="18"/>
      <c r="CD87" s="18"/>
      <c r="CE87" s="18"/>
      <c r="CF87" s="18"/>
      <c r="CG87" s="18"/>
      <c r="CH87" s="817"/>
      <c r="CI87" s="795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806"/>
    </row>
    <row r="88" spans="1:98" ht="14.25" customHeight="1">
      <c r="A88" s="18"/>
      <c r="B88" s="82" t="s">
        <v>186</v>
      </c>
      <c r="C88" s="79"/>
      <c r="D88" s="80"/>
      <c r="E88" s="80"/>
      <c r="F88" s="80"/>
      <c r="G88" s="41"/>
      <c r="H88" s="80"/>
      <c r="I88" s="80"/>
      <c r="J88" s="80"/>
      <c r="K88" s="41"/>
      <c r="L88" s="80"/>
      <c r="M88" s="80"/>
      <c r="N88" s="80"/>
      <c r="O88" s="41"/>
      <c r="P88" s="80"/>
      <c r="Q88" s="80"/>
      <c r="R88" s="80"/>
      <c r="S88" s="41"/>
      <c r="T88" s="80"/>
      <c r="U88" s="80"/>
      <c r="V88" s="80"/>
      <c r="W88" s="41"/>
      <c r="X88" s="80"/>
      <c r="Y88" s="80"/>
      <c r="Z88" s="80"/>
      <c r="AA88" s="41"/>
      <c r="AB88" s="80"/>
      <c r="AC88" s="80"/>
      <c r="AD88" s="80"/>
      <c r="AE88" s="41"/>
      <c r="AF88" s="80"/>
      <c r="AG88" s="80"/>
      <c r="AH88" s="80"/>
      <c r="AI88" s="41"/>
      <c r="AJ88" s="80"/>
      <c r="AK88" s="80"/>
      <c r="AL88" s="80"/>
      <c r="AM88" s="41"/>
      <c r="AN88" s="80" t="e">
        <f t="shared" ref="AN88:AZ88" si="250">AN87/AM87-1</f>
        <v>#DIV/0!</v>
      </c>
      <c r="AO88" s="80">
        <f t="shared" si="250"/>
        <v>0.19428571428571439</v>
      </c>
      <c r="AP88" s="80">
        <f t="shared" si="250"/>
        <v>8.8516746411483327E-2</v>
      </c>
      <c r="AQ88" s="41">
        <f t="shared" si="250"/>
        <v>-0.19780219780219777</v>
      </c>
      <c r="AR88" s="80">
        <f t="shared" si="250"/>
        <v>-0.14520547945205475</v>
      </c>
      <c r="AS88" s="80">
        <f t="shared" si="250"/>
        <v>0.3141025641025641</v>
      </c>
      <c r="AT88" s="80">
        <f t="shared" si="250"/>
        <v>0.35609756097560985</v>
      </c>
      <c r="AU88" s="41">
        <f t="shared" si="250"/>
        <v>0.28237410071942448</v>
      </c>
      <c r="AV88" s="80">
        <f t="shared" si="250"/>
        <v>3.2258064516129004E-2</v>
      </c>
      <c r="AW88" s="80">
        <f t="shared" si="250"/>
        <v>0.16032608695652173</v>
      </c>
      <c r="AX88" s="80">
        <f t="shared" si="250"/>
        <v>7.7283372365339664E-2</v>
      </c>
      <c r="AY88" s="41">
        <f t="shared" si="250"/>
        <v>-7.9347826086956563E-2</v>
      </c>
      <c r="AZ88" s="80">
        <f t="shared" si="250"/>
        <v>0.22904368358913807</v>
      </c>
      <c r="BA88" s="88"/>
      <c r="BB88" s="88"/>
      <c r="BC88" s="87"/>
      <c r="BD88" s="88"/>
      <c r="BE88" s="88"/>
      <c r="BF88" s="88"/>
      <c r="BG88" s="87"/>
      <c r="BH88" s="88"/>
      <c r="BI88" s="88"/>
      <c r="BJ88" s="88"/>
      <c r="BK88" s="87"/>
      <c r="BL88" s="106"/>
      <c r="BM88" s="81"/>
      <c r="BN88" s="81"/>
      <c r="BO88" s="81"/>
      <c r="BP88" s="81"/>
      <c r="BQ88" s="81"/>
      <c r="BR88" s="81"/>
      <c r="BS88" s="80"/>
      <c r="BT88" s="80"/>
      <c r="BU88" s="80"/>
      <c r="BV88" s="81"/>
      <c r="BW88" s="81"/>
      <c r="BX88" s="81"/>
      <c r="BY88" s="81"/>
      <c r="BZ88" s="81"/>
      <c r="CA88" s="115"/>
      <c r="CB88" s="109"/>
      <c r="CC88" s="18"/>
      <c r="CD88" s="18"/>
      <c r="CE88" s="18"/>
      <c r="CF88" s="18"/>
      <c r="CG88" s="18"/>
      <c r="CH88" s="817"/>
      <c r="CI88" s="796"/>
      <c r="CJ88" s="81"/>
      <c r="CK88" s="80"/>
      <c r="CL88" s="80"/>
      <c r="CM88" s="80"/>
      <c r="CN88" s="80"/>
      <c r="CO88" s="80"/>
      <c r="CP88" s="81"/>
      <c r="CQ88" s="81"/>
      <c r="CR88" s="81"/>
      <c r="CS88" s="81"/>
      <c r="CT88" s="806"/>
    </row>
    <row r="89" spans="1:98" ht="14.25" customHeight="1">
      <c r="A89" s="18"/>
      <c r="B89" s="82" t="s">
        <v>187</v>
      </c>
      <c r="C89" s="82"/>
      <c r="D89" s="80"/>
      <c r="E89" s="80"/>
      <c r="F89" s="80"/>
      <c r="G89" s="41"/>
      <c r="H89" s="80"/>
      <c r="I89" s="80"/>
      <c r="J89" s="80"/>
      <c r="K89" s="41"/>
      <c r="L89" s="80"/>
      <c r="M89" s="80"/>
      <c r="N89" s="80"/>
      <c r="O89" s="41"/>
      <c r="P89" s="80"/>
      <c r="Q89" s="80"/>
      <c r="R89" s="80"/>
      <c r="S89" s="41"/>
      <c r="T89" s="80"/>
      <c r="U89" s="80"/>
      <c r="V89" s="80"/>
      <c r="W89" s="41"/>
      <c r="X89" s="80"/>
      <c r="Y89" s="80"/>
      <c r="Z89" s="80"/>
      <c r="AA89" s="41"/>
      <c r="AB89" s="80"/>
      <c r="AC89" s="80"/>
      <c r="AD89" s="80"/>
      <c r="AE89" s="41"/>
      <c r="AF89" s="80"/>
      <c r="AG89" s="80"/>
      <c r="AH89" s="80"/>
      <c r="AI89" s="41"/>
      <c r="AJ89" s="80"/>
      <c r="AK89" s="80"/>
      <c r="AL89" s="80"/>
      <c r="AM89" s="41"/>
      <c r="AN89" s="80" t="e">
        <f t="shared" ref="AN89:AZ89" si="251">AN87/AJ87-1</f>
        <v>#DIV/0!</v>
      </c>
      <c r="AO89" s="80" t="e">
        <f t="shared" si="251"/>
        <v>#DIV/0!</v>
      </c>
      <c r="AP89" s="80" t="e">
        <f t="shared" si="251"/>
        <v>#DIV/0!</v>
      </c>
      <c r="AQ89" s="41" t="e">
        <f t="shared" si="251"/>
        <v>#DIV/0!</v>
      </c>
      <c r="AR89" s="80">
        <f t="shared" si="251"/>
        <v>-0.10857142857142854</v>
      </c>
      <c r="AS89" s="80">
        <f t="shared" si="251"/>
        <v>-1.9138755980861233E-2</v>
      </c>
      <c r="AT89" s="80">
        <f t="shared" si="251"/>
        <v>0.22197802197802208</v>
      </c>
      <c r="AU89" s="41">
        <f t="shared" si="251"/>
        <v>0.95342465753424666</v>
      </c>
      <c r="AV89" s="80">
        <f t="shared" si="251"/>
        <v>1.358974358974359</v>
      </c>
      <c r="AW89" s="80">
        <f t="shared" si="251"/>
        <v>1.0829268292682928</v>
      </c>
      <c r="AX89" s="80">
        <f t="shared" si="251"/>
        <v>0.65467625899280568</v>
      </c>
      <c r="AY89" s="41">
        <f t="shared" si="251"/>
        <v>0.18793828892005604</v>
      </c>
      <c r="AZ89" s="80">
        <f t="shared" si="251"/>
        <v>0.41440217391304346</v>
      </c>
      <c r="BA89" s="86"/>
      <c r="BB89" s="86"/>
      <c r="BC89" s="85"/>
      <c r="BD89" s="86"/>
      <c r="BE89" s="86"/>
      <c r="BF89" s="86"/>
      <c r="BG89" s="85"/>
      <c r="BH89" s="86"/>
      <c r="BI89" s="86"/>
      <c r="BJ89" s="86"/>
      <c r="BK89" s="85"/>
      <c r="BL89" s="106"/>
      <c r="BM89" s="80"/>
      <c r="BN89" s="83"/>
      <c r="BO89" s="83"/>
      <c r="BP89" s="83"/>
      <c r="BQ89" s="83"/>
      <c r="BR89" s="83"/>
      <c r="BS89" s="80"/>
      <c r="BT89" s="80"/>
      <c r="BU89" s="80"/>
      <c r="BV89" s="83"/>
      <c r="BW89" s="83"/>
      <c r="BX89" s="83"/>
      <c r="BY89" s="83"/>
      <c r="BZ89" s="83"/>
      <c r="CA89" s="117"/>
      <c r="CB89" s="109"/>
      <c r="CC89" s="18"/>
      <c r="CD89" s="18"/>
      <c r="CE89" s="18"/>
      <c r="CF89" s="18"/>
      <c r="CG89" s="18"/>
      <c r="CH89" s="817"/>
      <c r="CI89" s="797"/>
      <c r="CJ89" s="83"/>
      <c r="CK89" s="80"/>
      <c r="CL89" s="80"/>
      <c r="CM89" s="80"/>
      <c r="CN89" s="80"/>
      <c r="CO89" s="80"/>
      <c r="CP89" s="83"/>
      <c r="CQ89" s="83"/>
      <c r="CR89" s="83"/>
      <c r="CS89" s="83"/>
      <c r="CT89" s="806"/>
    </row>
    <row r="90" spans="1:98" ht="14.25" customHeight="1">
      <c r="A90" s="18"/>
      <c r="B90" s="82" t="s">
        <v>201</v>
      </c>
      <c r="C90" s="79"/>
      <c r="D90" s="80"/>
      <c r="E90" s="80"/>
      <c r="F90" s="80"/>
      <c r="G90" s="41"/>
      <c r="H90" s="80"/>
      <c r="I90" s="80"/>
      <c r="J90" s="80"/>
      <c r="K90" s="41"/>
      <c r="L90" s="80"/>
      <c r="M90" s="80"/>
      <c r="N90" s="80"/>
      <c r="O90" s="41"/>
      <c r="P90" s="80"/>
      <c r="Q90" s="80"/>
      <c r="R90" s="80"/>
      <c r="S90" s="41"/>
      <c r="T90" s="80"/>
      <c r="U90" s="80"/>
      <c r="V90" s="80"/>
      <c r="W90" s="41"/>
      <c r="X90" s="80"/>
      <c r="Y90" s="80"/>
      <c r="Z90" s="80"/>
      <c r="AA90" s="41"/>
      <c r="AB90" s="80"/>
      <c r="AC90" s="80"/>
      <c r="AD90" s="80"/>
      <c r="AE90" s="41"/>
      <c r="AF90" s="80"/>
      <c r="AG90" s="80"/>
      <c r="AH90" s="80"/>
      <c r="AI90" s="41"/>
      <c r="AJ90" s="80"/>
      <c r="AK90" s="80"/>
      <c r="AL90" s="80"/>
      <c r="AM90" s="41"/>
      <c r="AN90" s="80">
        <f t="shared" ref="AN90:AT90" si="252">AN87/AN$8</f>
        <v>0.24204702627939143</v>
      </c>
      <c r="AO90" s="80">
        <f t="shared" si="252"/>
        <v>0.26794871794871794</v>
      </c>
      <c r="AP90" s="80">
        <f t="shared" si="252"/>
        <v>0.27828746177370028</v>
      </c>
      <c r="AQ90" s="41">
        <f t="shared" si="252"/>
        <v>0.24431057563587685</v>
      </c>
      <c r="AR90" s="80">
        <f t="shared" si="252"/>
        <v>0.22723962126729788</v>
      </c>
      <c r="AS90" s="80">
        <f t="shared" si="252"/>
        <v>0.25834908632640202</v>
      </c>
      <c r="AT90" s="80">
        <f t="shared" si="252"/>
        <v>0.31131019036954088</v>
      </c>
      <c r="AU90" s="41">
        <f>AU87/AU$8</f>
        <v>0.33521391631405734</v>
      </c>
      <c r="AV90" s="80">
        <f t="shared" ref="AV90:AW90" si="253">AV87/AV$8</f>
        <v>0.34232558139534885</v>
      </c>
      <c r="AW90" s="80">
        <f t="shared" si="253"/>
        <v>0.35524126455906824</v>
      </c>
      <c r="AX90" s="80">
        <f t="shared" ref="AX90" si="254">AX87/AX$8</f>
        <v>0.36334913112164297</v>
      </c>
      <c r="AY90" s="41">
        <f>AY87/AY$8</f>
        <v>0.34841628959276016</v>
      </c>
      <c r="AZ90" s="80">
        <f t="shared" ref="AZ90" si="255">AZ87/AZ$8</f>
        <v>0.3656480505795574</v>
      </c>
      <c r="BA90" s="86"/>
      <c r="BB90" s="86"/>
      <c r="BC90" s="85"/>
      <c r="BD90" s="86"/>
      <c r="BE90" s="86"/>
      <c r="BF90" s="86"/>
      <c r="BG90" s="85"/>
      <c r="BH90" s="86"/>
      <c r="BI90" s="86"/>
      <c r="BJ90" s="86"/>
      <c r="BK90" s="85"/>
      <c r="BL90" s="106"/>
      <c r="BM90" s="83"/>
      <c r="BN90" s="83"/>
      <c r="BO90" s="83"/>
      <c r="BP90" s="83"/>
      <c r="BQ90" s="83"/>
      <c r="BR90" s="83"/>
      <c r="BS90" s="80"/>
      <c r="BT90" s="80"/>
      <c r="BU90" s="80">
        <f>BU87/BU$8</f>
        <v>0.26179324188691872</v>
      </c>
      <c r="BV90" s="80">
        <f>BV87/BV$8</f>
        <v>0.25884270578647106</v>
      </c>
      <c r="BW90" s="83"/>
      <c r="BX90" s="83"/>
      <c r="BY90" s="83"/>
      <c r="BZ90" s="83"/>
      <c r="CA90" s="117"/>
      <c r="CB90" s="109"/>
      <c r="CC90" s="18"/>
      <c r="CD90" s="18"/>
      <c r="CE90" s="18"/>
      <c r="CF90" s="18"/>
      <c r="CG90" s="18"/>
      <c r="CH90" s="817"/>
      <c r="CI90" s="798"/>
      <c r="CJ90" s="83"/>
      <c r="CK90" s="80"/>
      <c r="CL90" s="80"/>
      <c r="CM90" s="80"/>
      <c r="CN90" s="80"/>
      <c r="CO90" s="80"/>
      <c r="CP90" s="83"/>
      <c r="CQ90" s="83"/>
      <c r="CR90" s="83"/>
      <c r="CS90" s="83"/>
      <c r="CT90" s="806"/>
    </row>
    <row r="91" spans="1:98" ht="14.25" customHeight="1">
      <c r="A91" s="18"/>
      <c r="B91" s="82"/>
      <c r="C91" s="79"/>
      <c r="D91" s="80"/>
      <c r="E91" s="80"/>
      <c r="F91" s="80"/>
      <c r="G91" s="41"/>
      <c r="H91" s="80"/>
      <c r="I91" s="80"/>
      <c r="J91" s="80"/>
      <c r="K91" s="41"/>
      <c r="L91" s="80"/>
      <c r="M91" s="80"/>
      <c r="N91" s="80"/>
      <c r="O91" s="41"/>
      <c r="P91" s="80"/>
      <c r="Q91" s="80"/>
      <c r="R91" s="80"/>
      <c r="S91" s="41"/>
      <c r="T91" s="80"/>
      <c r="U91" s="80"/>
      <c r="V91" s="80"/>
      <c r="W91" s="41"/>
      <c r="X91" s="80"/>
      <c r="Y91" s="80"/>
      <c r="Z91" s="80"/>
      <c r="AA91" s="41"/>
      <c r="AB91" s="80"/>
      <c r="AC91" s="80"/>
      <c r="AD91" s="80"/>
      <c r="AE91" s="41"/>
      <c r="AF91" s="80"/>
      <c r="AG91" s="80"/>
      <c r="AH91" s="80"/>
      <c r="AI91" s="41"/>
      <c r="AJ91" s="80"/>
      <c r="AK91" s="80"/>
      <c r="AL91" s="86"/>
      <c r="AM91" s="85"/>
      <c r="AN91" s="80"/>
      <c r="AO91" s="80"/>
      <c r="AP91" s="80"/>
      <c r="AQ91" s="85"/>
      <c r="AR91" s="80"/>
      <c r="AS91" s="80"/>
      <c r="AT91" s="80"/>
      <c r="AU91" s="85"/>
      <c r="AV91" s="80"/>
      <c r="AW91" s="80"/>
      <c r="AX91" s="80"/>
      <c r="AY91" s="85"/>
      <c r="AZ91" s="80"/>
      <c r="BA91" s="86"/>
      <c r="BB91" s="86"/>
      <c r="BC91" s="85"/>
      <c r="BD91" s="86"/>
      <c r="BE91" s="86"/>
      <c r="BF91" s="86"/>
      <c r="BG91" s="85"/>
      <c r="BH91" s="86"/>
      <c r="BI91" s="86"/>
      <c r="BJ91" s="86"/>
      <c r="BK91" s="85"/>
      <c r="BL91" s="106"/>
      <c r="BM91" s="83"/>
      <c r="BN91" s="83"/>
      <c r="BO91" s="83"/>
      <c r="BP91" s="83"/>
      <c r="BQ91" s="83"/>
      <c r="BR91" s="83"/>
      <c r="BS91" s="83"/>
      <c r="BT91" s="83"/>
      <c r="BU91" s="80"/>
      <c r="BV91" s="83"/>
      <c r="BW91" s="83"/>
      <c r="BX91" s="83"/>
      <c r="BY91" s="83"/>
      <c r="BZ91" s="83"/>
      <c r="CA91" s="117"/>
      <c r="CB91" s="109"/>
      <c r="CC91" s="18"/>
      <c r="CD91" s="18"/>
      <c r="CE91" s="18"/>
      <c r="CF91" s="18"/>
      <c r="CG91" s="18"/>
      <c r="CH91" s="817"/>
      <c r="CI91" s="798"/>
      <c r="CJ91" s="83"/>
      <c r="CK91" s="83"/>
      <c r="CL91" s="83"/>
      <c r="CM91" s="83"/>
      <c r="CN91" s="83"/>
      <c r="CO91" s="83"/>
      <c r="CP91" s="83"/>
      <c r="CQ91" s="83"/>
      <c r="CR91" s="83"/>
      <c r="CS91" s="83"/>
      <c r="CT91" s="806"/>
    </row>
    <row r="92" spans="1:98" ht="14.25" customHeight="1">
      <c r="A92" s="18"/>
      <c r="B92" s="19" t="str">
        <f>B45</f>
        <v>Applied Global Services</v>
      </c>
      <c r="C92" s="26"/>
      <c r="D92" s="49"/>
      <c r="E92" s="49"/>
      <c r="F92" s="49"/>
      <c r="G92" s="50"/>
      <c r="H92" s="49"/>
      <c r="I92" s="158"/>
      <c r="J92" s="158"/>
      <c r="K92" s="159"/>
      <c r="L92" s="158"/>
      <c r="M92" s="158"/>
      <c r="N92" s="158"/>
      <c r="O92" s="159"/>
      <c r="P92" s="158"/>
      <c r="Q92" s="158"/>
      <c r="R92" s="158"/>
      <c r="S92" s="159"/>
      <c r="T92" s="158"/>
      <c r="U92" s="158"/>
      <c r="V92" s="158"/>
      <c r="W92" s="159"/>
      <c r="X92" s="158"/>
      <c r="Y92" s="158"/>
      <c r="Z92" s="158"/>
      <c r="AA92" s="159"/>
      <c r="AB92" s="158"/>
      <c r="AC92" s="158"/>
      <c r="AD92" s="158"/>
      <c r="AE92" s="159"/>
      <c r="AF92" s="158"/>
      <c r="AG92" s="158"/>
      <c r="AH92" s="158"/>
      <c r="AI92" s="159"/>
      <c r="AJ92" s="158"/>
      <c r="AK92" s="158"/>
      <c r="AL92" s="158"/>
      <c r="AM92" s="159"/>
      <c r="AN92" s="158">
        <v>147</v>
      </c>
      <c r="AO92" s="158">
        <v>162</v>
      </c>
      <c r="AP92" s="158">
        <v>165</v>
      </c>
      <c r="AQ92" s="159">
        <v>159</v>
      </c>
      <c r="AR92" s="158">
        <v>149</v>
      </c>
      <c r="AS92" s="158">
        <v>165</v>
      </c>
      <c r="AT92" s="158">
        <v>176</v>
      </c>
      <c r="AU92" s="159">
        <v>193</v>
      </c>
      <c r="AV92" s="158">
        <v>179</v>
      </c>
      <c r="AW92" s="158">
        <v>195</v>
      </c>
      <c r="AX92" s="158">
        <v>215</v>
      </c>
      <c r="AY92" s="159">
        <v>232</v>
      </c>
      <c r="AZ92" s="158">
        <v>255</v>
      </c>
      <c r="BA92" s="32"/>
      <c r="BB92" s="32"/>
      <c r="BC92" s="31"/>
      <c r="BD92" s="32"/>
      <c r="BE92" s="32"/>
      <c r="BF92" s="32"/>
      <c r="BG92" s="31"/>
      <c r="BH92" s="32"/>
      <c r="BI92" s="32"/>
      <c r="BJ92" s="32"/>
      <c r="BK92" s="31"/>
      <c r="BL92" s="106"/>
      <c r="BM92" s="34"/>
      <c r="BN92" s="34"/>
      <c r="BO92" s="34"/>
      <c r="BP92" s="34"/>
      <c r="BQ92" s="34"/>
      <c r="BR92" s="34"/>
      <c r="BS92" s="34"/>
      <c r="BT92" s="34"/>
      <c r="BU92" s="158">
        <v>541</v>
      </c>
      <c r="BV92" s="34">
        <f>SUM(AN92:AQ92)</f>
        <v>633</v>
      </c>
      <c r="BW92" s="34"/>
      <c r="BX92" s="34"/>
      <c r="BY92" s="34"/>
      <c r="BZ92" s="34"/>
      <c r="CA92" s="114"/>
      <c r="CB92" s="109"/>
      <c r="CC92" s="18"/>
      <c r="CD92" s="18"/>
      <c r="CE92" s="18"/>
      <c r="CF92" s="18"/>
      <c r="CG92" s="18"/>
      <c r="CH92" s="817"/>
      <c r="CI92" s="795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806"/>
    </row>
    <row r="93" spans="1:98" ht="14.25" customHeight="1">
      <c r="A93" s="18"/>
      <c r="B93" s="82" t="s">
        <v>186</v>
      </c>
      <c r="C93" s="79"/>
      <c r="D93" s="80"/>
      <c r="E93" s="80"/>
      <c r="F93" s="80"/>
      <c r="G93" s="41"/>
      <c r="H93" s="80"/>
      <c r="I93" s="80"/>
      <c r="J93" s="80"/>
      <c r="K93" s="41"/>
      <c r="L93" s="80"/>
      <c r="M93" s="80"/>
      <c r="N93" s="80"/>
      <c r="O93" s="41"/>
      <c r="P93" s="80"/>
      <c r="Q93" s="80"/>
      <c r="R93" s="80"/>
      <c r="S93" s="41"/>
      <c r="T93" s="80"/>
      <c r="U93" s="80"/>
      <c r="V93" s="80"/>
      <c r="W93" s="41"/>
      <c r="X93" s="80"/>
      <c r="Y93" s="80"/>
      <c r="Z93" s="80"/>
      <c r="AA93" s="41"/>
      <c r="AB93" s="80"/>
      <c r="AC93" s="80"/>
      <c r="AD93" s="80"/>
      <c r="AE93" s="41"/>
      <c r="AF93" s="80"/>
      <c r="AG93" s="80"/>
      <c r="AH93" s="80"/>
      <c r="AI93" s="41"/>
      <c r="AJ93" s="80"/>
      <c r="AK93" s="80"/>
      <c r="AL93" s="80"/>
      <c r="AM93" s="41"/>
      <c r="AN93" s="80" t="e">
        <f t="shared" ref="AN93:AZ93" si="256">AN92/AM92-1</f>
        <v>#DIV/0!</v>
      </c>
      <c r="AO93" s="80">
        <f t="shared" si="256"/>
        <v>0.1020408163265305</v>
      </c>
      <c r="AP93" s="80">
        <f t="shared" si="256"/>
        <v>1.8518518518518601E-2</v>
      </c>
      <c r="AQ93" s="41">
        <f t="shared" si="256"/>
        <v>-3.6363636363636376E-2</v>
      </c>
      <c r="AR93" s="80">
        <f t="shared" si="256"/>
        <v>-6.2893081761006275E-2</v>
      </c>
      <c r="AS93" s="80">
        <f t="shared" si="256"/>
        <v>0.10738255033557054</v>
      </c>
      <c r="AT93" s="80">
        <f t="shared" si="256"/>
        <v>6.6666666666666652E-2</v>
      </c>
      <c r="AU93" s="41">
        <f t="shared" si="256"/>
        <v>9.6590909090909172E-2</v>
      </c>
      <c r="AV93" s="80">
        <f t="shared" si="256"/>
        <v>-7.2538860103626979E-2</v>
      </c>
      <c r="AW93" s="80">
        <f t="shared" si="256"/>
        <v>8.9385474860335101E-2</v>
      </c>
      <c r="AX93" s="80">
        <f t="shared" si="256"/>
        <v>0.10256410256410264</v>
      </c>
      <c r="AY93" s="41">
        <f t="shared" si="256"/>
        <v>7.9069767441860561E-2</v>
      </c>
      <c r="AZ93" s="80">
        <f t="shared" si="256"/>
        <v>9.9137931034482651E-2</v>
      </c>
      <c r="BA93" s="88"/>
      <c r="BB93" s="88"/>
      <c r="BC93" s="87"/>
      <c r="BD93" s="88"/>
      <c r="BE93" s="88"/>
      <c r="BF93" s="88"/>
      <c r="BG93" s="87"/>
      <c r="BH93" s="88"/>
      <c r="BI93" s="88"/>
      <c r="BJ93" s="88"/>
      <c r="BK93" s="87"/>
      <c r="BL93" s="106"/>
      <c r="BM93" s="81"/>
      <c r="BN93" s="81"/>
      <c r="BO93" s="81"/>
      <c r="BP93" s="81"/>
      <c r="BQ93" s="81"/>
      <c r="BR93" s="81"/>
      <c r="BS93" s="80"/>
      <c r="BT93" s="80"/>
      <c r="BU93" s="80"/>
      <c r="BV93" s="81"/>
      <c r="BW93" s="81"/>
      <c r="BX93" s="81"/>
      <c r="BY93" s="81"/>
      <c r="BZ93" s="81"/>
      <c r="CA93" s="115"/>
      <c r="CB93" s="109"/>
      <c r="CC93" s="18"/>
      <c r="CD93" s="18"/>
      <c r="CE93" s="18"/>
      <c r="CF93" s="18"/>
      <c r="CG93" s="18"/>
      <c r="CH93" s="817"/>
      <c r="CI93" s="796"/>
      <c r="CJ93" s="81"/>
      <c r="CK93" s="80"/>
      <c r="CL93" s="80"/>
      <c r="CM93" s="80"/>
      <c r="CN93" s="80"/>
      <c r="CO93" s="80"/>
      <c r="CP93" s="81"/>
      <c r="CQ93" s="81"/>
      <c r="CR93" s="81"/>
      <c r="CS93" s="81"/>
      <c r="CT93" s="806"/>
    </row>
    <row r="94" spans="1:98" ht="14.25" customHeight="1">
      <c r="A94" s="18"/>
      <c r="B94" s="82" t="s">
        <v>187</v>
      </c>
      <c r="C94" s="82"/>
      <c r="D94" s="80"/>
      <c r="E94" s="80"/>
      <c r="F94" s="80"/>
      <c r="G94" s="41"/>
      <c r="H94" s="80"/>
      <c r="I94" s="80"/>
      <c r="J94" s="80"/>
      <c r="K94" s="41"/>
      <c r="L94" s="80"/>
      <c r="M94" s="80"/>
      <c r="N94" s="80"/>
      <c r="O94" s="41"/>
      <c r="P94" s="80"/>
      <c r="Q94" s="80"/>
      <c r="R94" s="80"/>
      <c r="S94" s="41"/>
      <c r="T94" s="80"/>
      <c r="U94" s="80"/>
      <c r="V94" s="80"/>
      <c r="W94" s="41"/>
      <c r="X94" s="80"/>
      <c r="Y94" s="80"/>
      <c r="Z94" s="80"/>
      <c r="AA94" s="41"/>
      <c r="AB94" s="80"/>
      <c r="AC94" s="80"/>
      <c r="AD94" s="80"/>
      <c r="AE94" s="41"/>
      <c r="AF94" s="80"/>
      <c r="AG94" s="80"/>
      <c r="AH94" s="80"/>
      <c r="AI94" s="41"/>
      <c r="AJ94" s="80"/>
      <c r="AK94" s="80"/>
      <c r="AL94" s="80"/>
      <c r="AM94" s="41"/>
      <c r="AN94" s="80" t="e">
        <f t="shared" ref="AN94:AZ94" si="257">AN92/AJ92-1</f>
        <v>#DIV/0!</v>
      </c>
      <c r="AO94" s="80" t="e">
        <f t="shared" si="257"/>
        <v>#DIV/0!</v>
      </c>
      <c r="AP94" s="80" t="e">
        <f t="shared" si="257"/>
        <v>#DIV/0!</v>
      </c>
      <c r="AQ94" s="41" t="e">
        <f t="shared" si="257"/>
        <v>#DIV/0!</v>
      </c>
      <c r="AR94" s="80">
        <f t="shared" si="257"/>
        <v>1.3605442176870763E-2</v>
      </c>
      <c r="AS94" s="80">
        <f t="shared" si="257"/>
        <v>1.8518518518518601E-2</v>
      </c>
      <c r="AT94" s="80">
        <f t="shared" si="257"/>
        <v>6.6666666666666652E-2</v>
      </c>
      <c r="AU94" s="41">
        <f t="shared" si="257"/>
        <v>0.21383647798742134</v>
      </c>
      <c r="AV94" s="80">
        <f t="shared" si="257"/>
        <v>0.20134228187919456</v>
      </c>
      <c r="AW94" s="80">
        <f t="shared" si="257"/>
        <v>0.18181818181818188</v>
      </c>
      <c r="AX94" s="80">
        <f t="shared" si="257"/>
        <v>0.22159090909090917</v>
      </c>
      <c r="AY94" s="41">
        <f t="shared" si="257"/>
        <v>0.20207253886010368</v>
      </c>
      <c r="AZ94" s="80">
        <f t="shared" si="257"/>
        <v>0.42458100558659218</v>
      </c>
      <c r="BA94" s="86"/>
      <c r="BB94" s="86"/>
      <c r="BC94" s="85"/>
      <c r="BD94" s="86"/>
      <c r="BE94" s="86"/>
      <c r="BF94" s="86"/>
      <c r="BG94" s="85"/>
      <c r="BH94" s="86"/>
      <c r="BI94" s="86"/>
      <c r="BJ94" s="86"/>
      <c r="BK94" s="85"/>
      <c r="BL94" s="106"/>
      <c r="BM94" s="80"/>
      <c r="BN94" s="83"/>
      <c r="BO94" s="83"/>
      <c r="BP94" s="83"/>
      <c r="BQ94" s="83"/>
      <c r="BR94" s="83"/>
      <c r="BS94" s="80"/>
      <c r="BT94" s="80"/>
      <c r="BU94" s="80"/>
      <c r="BV94" s="83"/>
      <c r="BW94" s="83"/>
      <c r="BX94" s="83"/>
      <c r="BY94" s="83"/>
      <c r="BZ94" s="83"/>
      <c r="CA94" s="117"/>
      <c r="CB94" s="109"/>
      <c r="CC94" s="18"/>
      <c r="CD94" s="18"/>
      <c r="CE94" s="18"/>
      <c r="CF94" s="18"/>
      <c r="CG94" s="18"/>
      <c r="CH94" s="817"/>
      <c r="CI94" s="797"/>
      <c r="CJ94" s="83"/>
      <c r="CK94" s="80"/>
      <c r="CL94" s="80"/>
      <c r="CM94" s="80"/>
      <c r="CN94" s="80"/>
      <c r="CO94" s="80"/>
      <c r="CP94" s="83"/>
      <c r="CQ94" s="83"/>
      <c r="CR94" s="83"/>
      <c r="CS94" s="83"/>
      <c r="CT94" s="806"/>
    </row>
    <row r="95" spans="1:98" ht="14.25" customHeight="1">
      <c r="A95" s="18"/>
      <c r="B95" s="82" t="s">
        <v>201</v>
      </c>
      <c r="C95" s="79"/>
      <c r="D95" s="80"/>
      <c r="E95" s="80"/>
      <c r="F95" s="80"/>
      <c r="G95" s="41"/>
      <c r="H95" s="80"/>
      <c r="I95" s="80"/>
      <c r="J95" s="80"/>
      <c r="K95" s="41"/>
      <c r="L95" s="80"/>
      <c r="M95" s="80"/>
      <c r="N95" s="80"/>
      <c r="O95" s="41"/>
      <c r="P95" s="80"/>
      <c r="Q95" s="80"/>
      <c r="R95" s="80"/>
      <c r="S95" s="41"/>
      <c r="T95" s="80"/>
      <c r="U95" s="80"/>
      <c r="V95" s="80"/>
      <c r="W95" s="41"/>
      <c r="X95" s="80"/>
      <c r="Y95" s="80"/>
      <c r="Z95" s="80"/>
      <c r="AA95" s="41"/>
      <c r="AB95" s="80"/>
      <c r="AC95" s="80"/>
      <c r="AD95" s="80"/>
      <c r="AE95" s="41"/>
      <c r="AF95" s="80"/>
      <c r="AG95" s="80"/>
      <c r="AH95" s="80"/>
      <c r="AI95" s="41"/>
      <c r="AJ95" s="80"/>
      <c r="AK95" s="80"/>
      <c r="AL95" s="80"/>
      <c r="AM95" s="41"/>
      <c r="AN95" s="80">
        <f t="shared" ref="AN95:AT95" si="258">AN92/AN$45</f>
        <v>0.261101243339254</v>
      </c>
      <c r="AO95" s="80">
        <f t="shared" si="258"/>
        <v>0.25837320574162681</v>
      </c>
      <c r="AP95" s="80">
        <f t="shared" si="258"/>
        <v>0.25541795665634676</v>
      </c>
      <c r="AQ95" s="41">
        <f t="shared" si="258"/>
        <v>0.2602291325695581</v>
      </c>
      <c r="AR95" s="80">
        <f t="shared" si="258"/>
        <v>0.24587458745874588</v>
      </c>
      <c r="AS95" s="80">
        <f t="shared" si="258"/>
        <v>0.26066350710900477</v>
      </c>
      <c r="AT95" s="80">
        <f t="shared" si="258"/>
        <v>0.26788432267884321</v>
      </c>
      <c r="AU95" s="41">
        <f>AU92/AU$45</f>
        <v>0.27849927849927852</v>
      </c>
      <c r="AV95" s="80">
        <f t="shared" ref="AV95:AW95" si="259">AV92/AV$45</f>
        <v>0.26479289940828404</v>
      </c>
      <c r="AW95" s="80">
        <f t="shared" si="259"/>
        <v>0.26933701657458564</v>
      </c>
      <c r="AX95" s="80">
        <f t="shared" ref="AX95" si="260">AX92/AX$45</f>
        <v>0.27353689567430023</v>
      </c>
      <c r="AY95" s="41">
        <f>AY92/AY$45</f>
        <v>0.27918170878459686</v>
      </c>
      <c r="AZ95" s="80">
        <f t="shared" ref="AZ95" si="261">AZ92/AZ$45</f>
        <v>0.28977272727272729</v>
      </c>
      <c r="BA95" s="86"/>
      <c r="BB95" s="86"/>
      <c r="BC95" s="85"/>
      <c r="BD95" s="86"/>
      <c r="BE95" s="86"/>
      <c r="BF95" s="86"/>
      <c r="BG95" s="85"/>
      <c r="BH95" s="86"/>
      <c r="BI95" s="86"/>
      <c r="BJ95" s="86"/>
      <c r="BK95" s="85"/>
      <c r="BL95" s="106"/>
      <c r="BM95" s="83"/>
      <c r="BN95" s="83"/>
      <c r="BO95" s="83"/>
      <c r="BP95" s="83"/>
      <c r="BQ95" s="83"/>
      <c r="BR95" s="83"/>
      <c r="BS95" s="80"/>
      <c r="BT95" s="80"/>
      <c r="BU95" s="80">
        <f>BU92/BU$45</f>
        <v>0.25591296121097445</v>
      </c>
      <c r="BV95" s="80">
        <f>BV92/BV$45</f>
        <v>0.25868410298324479</v>
      </c>
      <c r="BW95" s="83"/>
      <c r="BX95" s="83"/>
      <c r="BY95" s="83"/>
      <c r="BZ95" s="83"/>
      <c r="CA95" s="117"/>
      <c r="CB95" s="109"/>
      <c r="CC95" s="18"/>
      <c r="CD95" s="18"/>
      <c r="CE95" s="18"/>
      <c r="CF95" s="18"/>
      <c r="CG95" s="18"/>
      <c r="CH95" s="817"/>
      <c r="CI95" s="798"/>
      <c r="CJ95" s="83"/>
      <c r="CK95" s="80"/>
      <c r="CL95" s="80"/>
      <c r="CM95" s="80"/>
      <c r="CN95" s="80"/>
      <c r="CO95" s="80"/>
      <c r="CP95" s="83"/>
      <c r="CQ95" s="83"/>
      <c r="CR95" s="83"/>
      <c r="CS95" s="83"/>
      <c r="CT95" s="806"/>
    </row>
    <row r="96" spans="1:98" ht="14.25" customHeight="1">
      <c r="A96" s="18"/>
      <c r="B96" s="82"/>
      <c r="C96" s="79"/>
      <c r="D96" s="80"/>
      <c r="E96" s="80"/>
      <c r="F96" s="80"/>
      <c r="G96" s="41"/>
      <c r="H96" s="80"/>
      <c r="I96" s="80"/>
      <c r="J96" s="80"/>
      <c r="K96" s="41"/>
      <c r="L96" s="80"/>
      <c r="M96" s="80"/>
      <c r="N96" s="80"/>
      <c r="O96" s="41"/>
      <c r="P96" s="80"/>
      <c r="Q96" s="80"/>
      <c r="R96" s="80"/>
      <c r="S96" s="41"/>
      <c r="T96" s="80"/>
      <c r="U96" s="80"/>
      <c r="V96" s="80"/>
      <c r="W96" s="41"/>
      <c r="X96" s="80"/>
      <c r="Y96" s="80"/>
      <c r="Z96" s="80"/>
      <c r="AA96" s="41"/>
      <c r="AB96" s="80"/>
      <c r="AC96" s="80"/>
      <c r="AD96" s="80"/>
      <c r="AE96" s="41"/>
      <c r="AF96" s="80"/>
      <c r="AG96" s="80"/>
      <c r="AH96" s="80"/>
      <c r="AI96" s="41"/>
      <c r="AJ96" s="80"/>
      <c r="AK96" s="80"/>
      <c r="AL96" s="86"/>
      <c r="AM96" s="85"/>
      <c r="AN96" s="80"/>
      <c r="AO96" s="80"/>
      <c r="AP96" s="80"/>
      <c r="AQ96" s="85"/>
      <c r="AR96" s="80"/>
      <c r="AS96" s="80"/>
      <c r="AT96" s="80"/>
      <c r="AU96" s="85"/>
      <c r="AV96" s="80"/>
      <c r="AW96" s="80"/>
      <c r="AX96" s="80"/>
      <c r="AY96" s="85"/>
      <c r="AZ96" s="80"/>
      <c r="BA96" s="86"/>
      <c r="BB96" s="86"/>
      <c r="BC96" s="85"/>
      <c r="BD96" s="86"/>
      <c r="BE96" s="86"/>
      <c r="BF96" s="86"/>
      <c r="BG96" s="85"/>
      <c r="BH96" s="86"/>
      <c r="BI96" s="86"/>
      <c r="BJ96" s="86"/>
      <c r="BK96" s="85"/>
      <c r="BL96" s="106"/>
      <c r="BM96" s="83"/>
      <c r="BN96" s="83"/>
      <c r="BO96" s="83"/>
      <c r="BP96" s="83"/>
      <c r="BQ96" s="83"/>
      <c r="BR96" s="83"/>
      <c r="BS96" s="83"/>
      <c r="BT96" s="83"/>
      <c r="BU96" s="80"/>
      <c r="BV96" s="83"/>
      <c r="BW96" s="83"/>
      <c r="BX96" s="83"/>
      <c r="BY96" s="83"/>
      <c r="BZ96" s="83"/>
      <c r="CA96" s="117"/>
      <c r="CB96" s="109"/>
      <c r="CC96" s="18"/>
      <c r="CD96" s="18"/>
      <c r="CE96" s="18"/>
      <c r="CF96" s="18"/>
      <c r="CG96" s="18"/>
      <c r="CH96" s="817"/>
      <c r="CI96" s="798"/>
      <c r="CJ96" s="83"/>
      <c r="CK96" s="83"/>
      <c r="CL96" s="83"/>
      <c r="CM96" s="83"/>
      <c r="CN96" s="83"/>
      <c r="CO96" s="83"/>
      <c r="CP96" s="83"/>
      <c r="CQ96" s="83"/>
      <c r="CR96" s="83"/>
      <c r="CS96" s="83"/>
      <c r="CT96" s="806"/>
    </row>
    <row r="97" spans="1:98" ht="14.25" customHeight="1">
      <c r="A97" s="18"/>
      <c r="B97" s="19" t="str">
        <f>B52</f>
        <v>Display and Adjacent Market</v>
      </c>
      <c r="C97" s="26"/>
      <c r="D97" s="49"/>
      <c r="E97" s="49"/>
      <c r="F97" s="49"/>
      <c r="G97" s="50"/>
      <c r="H97" s="49"/>
      <c r="I97" s="158"/>
      <c r="J97" s="158"/>
      <c r="K97" s="159"/>
      <c r="L97" s="158"/>
      <c r="M97" s="158"/>
      <c r="N97" s="158"/>
      <c r="O97" s="159"/>
      <c r="P97" s="158"/>
      <c r="Q97" s="158"/>
      <c r="R97" s="158"/>
      <c r="S97" s="159"/>
      <c r="T97" s="158"/>
      <c r="U97" s="158"/>
      <c r="V97" s="158"/>
      <c r="W97" s="159"/>
      <c r="X97" s="158"/>
      <c r="Y97" s="158"/>
      <c r="Z97" s="158"/>
      <c r="AA97" s="159"/>
      <c r="AB97" s="158"/>
      <c r="AC97" s="158"/>
      <c r="AD97" s="158"/>
      <c r="AE97" s="159"/>
      <c r="AF97" s="158"/>
      <c r="AG97" s="158"/>
      <c r="AH97" s="158"/>
      <c r="AI97" s="159"/>
      <c r="AJ97" s="158"/>
      <c r="AK97" s="158"/>
      <c r="AL97" s="158"/>
      <c r="AM97" s="159"/>
      <c r="AN97" s="158">
        <v>80</v>
      </c>
      <c r="AO97" s="158">
        <v>50</v>
      </c>
      <c r="AP97" s="158">
        <v>36</v>
      </c>
      <c r="AQ97" s="159">
        <v>28</v>
      </c>
      <c r="AR97" s="158">
        <v>48</v>
      </c>
      <c r="AS97" s="158">
        <v>31</v>
      </c>
      <c r="AT97" s="158">
        <v>63</v>
      </c>
      <c r="AU97" s="159">
        <v>103</v>
      </c>
      <c r="AV97" s="158">
        <v>115</v>
      </c>
      <c r="AW97" s="158">
        <v>84</v>
      </c>
      <c r="AX97" s="158">
        <v>93</v>
      </c>
      <c r="AY97" s="159">
        <v>215</v>
      </c>
      <c r="AZ97" s="158">
        <v>104</v>
      </c>
      <c r="BA97" s="32"/>
      <c r="BB97" s="32"/>
      <c r="BC97" s="31"/>
      <c r="BD97" s="32"/>
      <c r="BE97" s="32"/>
      <c r="BF97" s="32"/>
      <c r="BG97" s="31"/>
      <c r="BH97" s="32"/>
      <c r="BI97" s="32"/>
      <c r="BJ97" s="32"/>
      <c r="BK97" s="31"/>
      <c r="BL97" s="106"/>
      <c r="BM97" s="34"/>
      <c r="BN97" s="34"/>
      <c r="BO97" s="34"/>
      <c r="BP97" s="34"/>
      <c r="BQ97" s="34"/>
      <c r="BR97" s="34"/>
      <c r="BS97" s="34"/>
      <c r="BT97" s="34"/>
      <c r="BU97" s="158">
        <v>206</v>
      </c>
      <c r="BV97" s="34">
        <f>SUM(AN97:AQ97)</f>
        <v>194</v>
      </c>
      <c r="BW97" s="34"/>
      <c r="BX97" s="34"/>
      <c r="BY97" s="34"/>
      <c r="BZ97" s="34"/>
      <c r="CA97" s="114"/>
      <c r="CB97" s="109"/>
      <c r="CC97" s="18"/>
      <c r="CD97" s="18"/>
      <c r="CE97" s="18"/>
      <c r="CF97" s="18"/>
      <c r="CG97" s="18"/>
      <c r="CH97" s="817"/>
      <c r="CI97" s="795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806"/>
    </row>
    <row r="98" spans="1:98" ht="14.25" customHeight="1">
      <c r="A98" s="18"/>
      <c r="B98" s="82" t="s">
        <v>186</v>
      </c>
      <c r="C98" s="79"/>
      <c r="D98" s="80"/>
      <c r="E98" s="80"/>
      <c r="F98" s="80"/>
      <c r="G98" s="41"/>
      <c r="H98" s="80"/>
      <c r="I98" s="80"/>
      <c r="J98" s="80"/>
      <c r="K98" s="41"/>
      <c r="L98" s="80"/>
      <c r="M98" s="80"/>
      <c r="N98" s="80"/>
      <c r="O98" s="41"/>
      <c r="P98" s="80"/>
      <c r="Q98" s="80"/>
      <c r="R98" s="80"/>
      <c r="S98" s="41"/>
      <c r="T98" s="80"/>
      <c r="U98" s="80"/>
      <c r="V98" s="80"/>
      <c r="W98" s="41"/>
      <c r="X98" s="80"/>
      <c r="Y98" s="80"/>
      <c r="Z98" s="80"/>
      <c r="AA98" s="41"/>
      <c r="AB98" s="80"/>
      <c r="AC98" s="80"/>
      <c r="AD98" s="80"/>
      <c r="AE98" s="41"/>
      <c r="AF98" s="80"/>
      <c r="AG98" s="80"/>
      <c r="AH98" s="80"/>
      <c r="AI98" s="41"/>
      <c r="AJ98" s="80"/>
      <c r="AK98" s="80"/>
      <c r="AL98" s="80"/>
      <c r="AM98" s="41"/>
      <c r="AN98" s="80" t="e">
        <f t="shared" ref="AN98:AZ98" si="262">AN97/AM97-1</f>
        <v>#DIV/0!</v>
      </c>
      <c r="AO98" s="80">
        <f t="shared" si="262"/>
        <v>-0.375</v>
      </c>
      <c r="AP98" s="80">
        <f t="shared" si="262"/>
        <v>-0.28000000000000003</v>
      </c>
      <c r="AQ98" s="41">
        <f t="shared" si="262"/>
        <v>-0.22222222222222221</v>
      </c>
      <c r="AR98" s="80">
        <f t="shared" si="262"/>
        <v>0.71428571428571419</v>
      </c>
      <c r="AS98" s="80">
        <f t="shared" si="262"/>
        <v>-0.35416666666666663</v>
      </c>
      <c r="AT98" s="80">
        <f t="shared" si="262"/>
        <v>1.032258064516129</v>
      </c>
      <c r="AU98" s="41">
        <f t="shared" si="262"/>
        <v>0.63492063492063489</v>
      </c>
      <c r="AV98" s="80">
        <f t="shared" si="262"/>
        <v>0.11650485436893199</v>
      </c>
      <c r="AW98" s="80">
        <f t="shared" si="262"/>
        <v>-0.26956521739130435</v>
      </c>
      <c r="AX98" s="80">
        <f t="shared" si="262"/>
        <v>0.10714285714285721</v>
      </c>
      <c r="AY98" s="41">
        <f t="shared" si="262"/>
        <v>1.3118279569892475</v>
      </c>
      <c r="AZ98" s="80">
        <f t="shared" si="262"/>
        <v>-0.51627906976744187</v>
      </c>
      <c r="BA98" s="88"/>
      <c r="BB98" s="88"/>
      <c r="BC98" s="87"/>
      <c r="BD98" s="88"/>
      <c r="BE98" s="88"/>
      <c r="BF98" s="88"/>
      <c r="BG98" s="87"/>
      <c r="BH98" s="88"/>
      <c r="BI98" s="88"/>
      <c r="BJ98" s="88"/>
      <c r="BK98" s="87"/>
      <c r="BL98" s="106"/>
      <c r="BM98" s="81"/>
      <c r="BN98" s="81"/>
      <c r="BO98" s="81"/>
      <c r="BP98" s="81"/>
      <c r="BQ98" s="81"/>
      <c r="BR98" s="81"/>
      <c r="BS98" s="80"/>
      <c r="BT98" s="80"/>
      <c r="BU98" s="80"/>
      <c r="BV98" s="81"/>
      <c r="BW98" s="81"/>
      <c r="BX98" s="81"/>
      <c r="BY98" s="81"/>
      <c r="BZ98" s="81"/>
      <c r="CA98" s="115"/>
      <c r="CB98" s="109"/>
      <c r="CC98" s="18"/>
      <c r="CD98" s="18"/>
      <c r="CE98" s="18"/>
      <c r="CF98" s="18"/>
      <c r="CG98" s="18"/>
      <c r="CH98" s="817"/>
      <c r="CI98" s="796"/>
      <c r="CJ98" s="81"/>
      <c r="CK98" s="80"/>
      <c r="CL98" s="80"/>
      <c r="CM98" s="80"/>
      <c r="CN98" s="80"/>
      <c r="CO98" s="80"/>
      <c r="CP98" s="81"/>
      <c r="CQ98" s="81"/>
      <c r="CR98" s="81"/>
      <c r="CS98" s="81"/>
      <c r="CT98" s="806"/>
    </row>
    <row r="99" spans="1:98" ht="14.25" customHeight="1">
      <c r="A99" s="18"/>
      <c r="B99" s="82" t="s">
        <v>187</v>
      </c>
      <c r="C99" s="82"/>
      <c r="D99" s="80"/>
      <c r="E99" s="80"/>
      <c r="F99" s="80"/>
      <c r="G99" s="41"/>
      <c r="H99" s="80"/>
      <c r="I99" s="80"/>
      <c r="J99" s="80"/>
      <c r="K99" s="41"/>
      <c r="L99" s="80"/>
      <c r="M99" s="80"/>
      <c r="N99" s="80"/>
      <c r="O99" s="41"/>
      <c r="P99" s="80"/>
      <c r="Q99" s="80"/>
      <c r="R99" s="80"/>
      <c r="S99" s="41"/>
      <c r="T99" s="80"/>
      <c r="U99" s="80"/>
      <c r="V99" s="80"/>
      <c r="W99" s="41"/>
      <c r="X99" s="80"/>
      <c r="Y99" s="80"/>
      <c r="Z99" s="80"/>
      <c r="AA99" s="41"/>
      <c r="AB99" s="80"/>
      <c r="AC99" s="80"/>
      <c r="AD99" s="80"/>
      <c r="AE99" s="41"/>
      <c r="AF99" s="80"/>
      <c r="AG99" s="80"/>
      <c r="AH99" s="80"/>
      <c r="AI99" s="41"/>
      <c r="AJ99" s="80"/>
      <c r="AK99" s="80"/>
      <c r="AL99" s="80"/>
      <c r="AM99" s="41"/>
      <c r="AN99" s="80" t="e">
        <f t="shared" ref="AN99:AZ99" si="263">AN97/AJ97-1</f>
        <v>#DIV/0!</v>
      </c>
      <c r="AO99" s="80" t="e">
        <f t="shared" si="263"/>
        <v>#DIV/0!</v>
      </c>
      <c r="AP99" s="80" t="e">
        <f t="shared" si="263"/>
        <v>#DIV/0!</v>
      </c>
      <c r="AQ99" s="41" t="e">
        <f t="shared" si="263"/>
        <v>#DIV/0!</v>
      </c>
      <c r="AR99" s="80">
        <f t="shared" si="263"/>
        <v>-0.4</v>
      </c>
      <c r="AS99" s="80">
        <f t="shared" si="263"/>
        <v>-0.38</v>
      </c>
      <c r="AT99" s="80">
        <f t="shared" si="263"/>
        <v>0.75</v>
      </c>
      <c r="AU99" s="41">
        <f t="shared" si="263"/>
        <v>2.6785714285714284</v>
      </c>
      <c r="AV99" s="80">
        <f t="shared" si="263"/>
        <v>1.3958333333333335</v>
      </c>
      <c r="AW99" s="80">
        <f t="shared" si="263"/>
        <v>1.7096774193548385</v>
      </c>
      <c r="AX99" s="80">
        <f t="shared" si="263"/>
        <v>0.47619047619047628</v>
      </c>
      <c r="AY99" s="41">
        <f t="shared" si="263"/>
        <v>1.087378640776699</v>
      </c>
      <c r="AZ99" s="80">
        <f t="shared" si="263"/>
        <v>-9.5652173913043481E-2</v>
      </c>
      <c r="BA99" s="86"/>
      <c r="BB99" s="86"/>
      <c r="BC99" s="85"/>
      <c r="BD99" s="86"/>
      <c r="BE99" s="86"/>
      <c r="BF99" s="86"/>
      <c r="BG99" s="85"/>
      <c r="BH99" s="86"/>
      <c r="BI99" s="86"/>
      <c r="BJ99" s="86"/>
      <c r="BK99" s="85"/>
      <c r="BL99" s="106"/>
      <c r="BM99" s="80"/>
      <c r="BN99" s="83"/>
      <c r="BO99" s="83"/>
      <c r="BP99" s="83"/>
      <c r="BQ99" s="83"/>
      <c r="BR99" s="83"/>
      <c r="BS99" s="80"/>
      <c r="BT99" s="80"/>
      <c r="BU99" s="80"/>
      <c r="BV99" s="83"/>
      <c r="BW99" s="83"/>
      <c r="BX99" s="83"/>
      <c r="BY99" s="83"/>
      <c r="BZ99" s="83"/>
      <c r="CA99" s="117"/>
      <c r="CB99" s="109"/>
      <c r="CC99" s="18"/>
      <c r="CD99" s="18"/>
      <c r="CE99" s="18"/>
      <c r="CF99" s="18"/>
      <c r="CG99" s="18"/>
      <c r="CH99" s="817"/>
      <c r="CI99" s="797"/>
      <c r="CJ99" s="83"/>
      <c r="CK99" s="80"/>
      <c r="CL99" s="80"/>
      <c r="CM99" s="80"/>
      <c r="CN99" s="80"/>
      <c r="CO99" s="80"/>
      <c r="CP99" s="83"/>
      <c r="CQ99" s="83"/>
      <c r="CR99" s="83"/>
      <c r="CS99" s="83"/>
      <c r="CT99" s="806"/>
    </row>
    <row r="100" spans="1:98" ht="14.25" customHeight="1">
      <c r="A100" s="18"/>
      <c r="B100" s="82" t="s">
        <v>201</v>
      </c>
      <c r="C100" s="79"/>
      <c r="D100" s="80"/>
      <c r="E100" s="80"/>
      <c r="F100" s="80"/>
      <c r="G100" s="41"/>
      <c r="H100" s="80"/>
      <c r="I100" s="80"/>
      <c r="J100" s="80"/>
      <c r="K100" s="41"/>
      <c r="L100" s="80"/>
      <c r="M100" s="80"/>
      <c r="N100" s="80"/>
      <c r="O100" s="41"/>
      <c r="P100" s="80"/>
      <c r="Q100" s="80"/>
      <c r="R100" s="80"/>
      <c r="S100" s="41"/>
      <c r="T100" s="80"/>
      <c r="U100" s="80"/>
      <c r="V100" s="80"/>
      <c r="W100" s="41"/>
      <c r="X100" s="80"/>
      <c r="Y100" s="80"/>
      <c r="Z100" s="80"/>
      <c r="AA100" s="41"/>
      <c r="AB100" s="80"/>
      <c r="AC100" s="80"/>
      <c r="AD100" s="80"/>
      <c r="AE100" s="41"/>
      <c r="AF100" s="80"/>
      <c r="AG100" s="80"/>
      <c r="AH100" s="80"/>
      <c r="AI100" s="41"/>
      <c r="AJ100" s="80"/>
      <c r="AK100" s="80"/>
      <c r="AL100" s="80"/>
      <c r="AM100" s="41"/>
      <c r="AN100" s="80">
        <f t="shared" ref="AN100:AT100" si="264">AN97/AN$52</f>
        <v>0.25316455696202533</v>
      </c>
      <c r="AO100" s="80">
        <f t="shared" si="264"/>
        <v>0.24038461538461539</v>
      </c>
      <c r="AP100" s="80">
        <f t="shared" si="264"/>
        <v>0.19459459459459461</v>
      </c>
      <c r="AQ100" s="41">
        <f t="shared" si="264"/>
        <v>0.11914893617021277</v>
      </c>
      <c r="AR100" s="80">
        <f t="shared" si="264"/>
        <v>0.1889763779527559</v>
      </c>
      <c r="AS100" s="80">
        <f t="shared" si="264"/>
        <v>0.16577540106951871</v>
      </c>
      <c r="AT100" s="80">
        <f t="shared" si="264"/>
        <v>0.2012779552715655</v>
      </c>
      <c r="AU100" s="41">
        <f>AU97/AU$52</f>
        <v>0.22787610619469026</v>
      </c>
      <c r="AV100" s="80">
        <f t="shared" ref="AV100:AW100" si="265">AV97/AV$52</f>
        <v>0.27251184834123221</v>
      </c>
      <c r="AW100" s="80">
        <f t="shared" si="265"/>
        <v>0.21483375959079284</v>
      </c>
      <c r="AX100" s="80">
        <f t="shared" ref="AX100" si="266">AX97/AX$52</f>
        <v>0.22682926829268293</v>
      </c>
      <c r="AY100" s="41">
        <f>AY97/AY$52</f>
        <v>0.31757754800590843</v>
      </c>
      <c r="AZ100" s="80">
        <f t="shared" ref="AZ100" si="267">AZ97/AZ$52</f>
        <v>0.22857142857142856</v>
      </c>
      <c r="BA100" s="86"/>
      <c r="BB100" s="86"/>
      <c r="BC100" s="85"/>
      <c r="BD100" s="86"/>
      <c r="BE100" s="86"/>
      <c r="BF100" s="86"/>
      <c r="BG100" s="85"/>
      <c r="BH100" s="86"/>
      <c r="BI100" s="86"/>
      <c r="BJ100" s="86"/>
      <c r="BK100" s="85"/>
      <c r="BL100" s="106"/>
      <c r="BM100" s="83"/>
      <c r="BN100" s="83"/>
      <c r="BO100" s="83"/>
      <c r="BP100" s="83"/>
      <c r="BQ100" s="83"/>
      <c r="BR100" s="83"/>
      <c r="BS100" s="80"/>
      <c r="BT100" s="80"/>
      <c r="BU100" s="80">
        <f>BU97/BU$52</f>
        <v>0.24292452830188679</v>
      </c>
      <c r="BV100" s="80">
        <f>BV97/BV$52</f>
        <v>0.20550847457627119</v>
      </c>
      <c r="BW100" s="83"/>
      <c r="BX100" s="83"/>
      <c r="BY100" s="83"/>
      <c r="BZ100" s="83"/>
      <c r="CA100" s="117"/>
      <c r="CB100" s="109"/>
      <c r="CC100" s="18"/>
      <c r="CD100" s="18"/>
      <c r="CE100" s="18"/>
      <c r="CF100" s="18"/>
      <c r="CG100" s="18"/>
      <c r="CH100" s="817"/>
      <c r="CI100" s="798"/>
      <c r="CJ100" s="83"/>
      <c r="CK100" s="80"/>
      <c r="CL100" s="80"/>
      <c r="CM100" s="80"/>
      <c r="CN100" s="80"/>
      <c r="CO100" s="80"/>
      <c r="CP100" s="83"/>
      <c r="CQ100" s="83"/>
      <c r="CR100" s="83"/>
      <c r="CS100" s="83"/>
      <c r="CT100" s="806"/>
    </row>
    <row r="101" spans="1:98" ht="14.25" customHeight="1">
      <c r="A101" s="18"/>
      <c r="B101" s="82"/>
      <c r="C101" s="79"/>
      <c r="D101" s="80"/>
      <c r="E101" s="80"/>
      <c r="F101" s="80"/>
      <c r="G101" s="41"/>
      <c r="H101" s="80"/>
      <c r="I101" s="80"/>
      <c r="J101" s="80"/>
      <c r="K101" s="41"/>
      <c r="L101" s="80"/>
      <c r="M101" s="80"/>
      <c r="N101" s="80"/>
      <c r="O101" s="41"/>
      <c r="P101" s="80"/>
      <c r="Q101" s="80"/>
      <c r="R101" s="80"/>
      <c r="S101" s="41"/>
      <c r="T101" s="80"/>
      <c r="U101" s="80"/>
      <c r="V101" s="80"/>
      <c r="W101" s="41"/>
      <c r="X101" s="80"/>
      <c r="Y101" s="80"/>
      <c r="Z101" s="80"/>
      <c r="AA101" s="41"/>
      <c r="AB101" s="80"/>
      <c r="AC101" s="80"/>
      <c r="AD101" s="80"/>
      <c r="AE101" s="41"/>
      <c r="AF101" s="80"/>
      <c r="AG101" s="80"/>
      <c r="AH101" s="80"/>
      <c r="AI101" s="41"/>
      <c r="AJ101" s="80"/>
      <c r="AK101" s="80"/>
      <c r="AL101" s="86"/>
      <c r="AM101" s="85"/>
      <c r="AN101" s="80"/>
      <c r="AO101" s="80"/>
      <c r="AP101" s="80"/>
      <c r="AQ101" s="85"/>
      <c r="AR101" s="80"/>
      <c r="AS101" s="80"/>
      <c r="AT101" s="80"/>
      <c r="AU101" s="85"/>
      <c r="AV101" s="80"/>
      <c r="AW101" s="80"/>
      <c r="AX101" s="86"/>
      <c r="AY101" s="85"/>
      <c r="AZ101" s="80"/>
      <c r="BA101" s="86"/>
      <c r="BB101" s="86"/>
      <c r="BC101" s="85"/>
      <c r="BD101" s="86"/>
      <c r="BE101" s="86"/>
      <c r="BF101" s="86"/>
      <c r="BG101" s="85"/>
      <c r="BH101" s="86"/>
      <c r="BI101" s="86"/>
      <c r="BJ101" s="86"/>
      <c r="BK101" s="85"/>
      <c r="BL101" s="106"/>
      <c r="BM101" s="83"/>
      <c r="BN101" s="83"/>
      <c r="BO101" s="83"/>
      <c r="BP101" s="83"/>
      <c r="BQ101" s="83"/>
      <c r="BR101" s="83"/>
      <c r="BS101" s="83"/>
      <c r="BT101" s="83"/>
      <c r="BU101" s="80"/>
      <c r="BV101" s="83"/>
      <c r="BW101" s="83"/>
      <c r="BX101" s="83"/>
      <c r="BY101" s="83"/>
      <c r="BZ101" s="83"/>
      <c r="CA101" s="117"/>
      <c r="CB101" s="109"/>
      <c r="CC101" s="18"/>
      <c r="CD101" s="18"/>
      <c r="CE101" s="18"/>
      <c r="CF101" s="18"/>
      <c r="CG101" s="18"/>
      <c r="CH101" s="817"/>
      <c r="CI101" s="798"/>
      <c r="CJ101" s="83"/>
      <c r="CK101" s="83"/>
      <c r="CL101" s="83"/>
      <c r="CM101" s="83"/>
      <c r="CN101" s="83"/>
      <c r="CO101" s="83"/>
      <c r="CP101" s="83"/>
      <c r="CQ101" s="83"/>
      <c r="CR101" s="83"/>
      <c r="CS101" s="83"/>
      <c r="CT101" s="806"/>
    </row>
    <row r="102" spans="1:98" ht="14.25" customHeight="1">
      <c r="A102" s="18"/>
      <c r="B102" s="19" t="str">
        <f>B59</f>
        <v>Corporate and Other</v>
      </c>
      <c r="C102" s="26"/>
      <c r="D102" s="49"/>
      <c r="E102" s="49"/>
      <c r="F102" s="49"/>
      <c r="G102" s="50"/>
      <c r="H102" s="49"/>
      <c r="I102" s="158"/>
      <c r="J102" s="158"/>
      <c r="K102" s="159"/>
      <c r="L102" s="158"/>
      <c r="M102" s="158"/>
      <c r="N102" s="158"/>
      <c r="O102" s="159"/>
      <c r="P102" s="158"/>
      <c r="Q102" s="158"/>
      <c r="R102" s="158"/>
      <c r="S102" s="159"/>
      <c r="T102" s="158"/>
      <c r="U102" s="158"/>
      <c r="V102" s="158"/>
      <c r="W102" s="159"/>
      <c r="X102" s="158"/>
      <c r="Y102" s="158"/>
      <c r="Z102" s="158"/>
      <c r="AA102" s="159"/>
      <c r="AB102" s="158"/>
      <c r="AC102" s="158"/>
      <c r="AD102" s="158"/>
      <c r="AE102" s="159"/>
      <c r="AF102" s="158"/>
      <c r="AG102" s="158"/>
      <c r="AH102" s="158"/>
      <c r="AI102" s="159"/>
      <c r="AJ102" s="158"/>
      <c r="AK102" s="158"/>
      <c r="AL102" s="158"/>
      <c r="AM102" s="159"/>
      <c r="AN102" s="158">
        <f>AN112-AN97-AN92-AN87</f>
        <v>-130</v>
      </c>
      <c r="AO102" s="158">
        <f t="shared" ref="AO102:AV102" si="268">AO112-AO97-AO92-AO87</f>
        <v>-154</v>
      </c>
      <c r="AP102" s="158">
        <f t="shared" si="268"/>
        <v>-139</v>
      </c>
      <c r="AQ102" s="159">
        <f t="shared" si="268"/>
        <v>-96</v>
      </c>
      <c r="AR102" s="158">
        <f t="shared" si="268"/>
        <v>-108</v>
      </c>
      <c r="AS102" s="158">
        <f t="shared" si="268"/>
        <v>-136</v>
      </c>
      <c r="AT102" s="158">
        <f t="shared" si="268"/>
        <v>-151</v>
      </c>
      <c r="AU102" s="159">
        <f>AU112-AU97-AU92-AU87</f>
        <v>-177</v>
      </c>
      <c r="AV102" s="158">
        <f t="shared" si="268"/>
        <v>-178</v>
      </c>
      <c r="AW102" s="158">
        <f t="shared" ref="AW102:AX102" si="269">AW112-AW97-AW92-AW87</f>
        <v>-146</v>
      </c>
      <c r="AX102" s="158">
        <f t="shared" si="269"/>
        <v>-155</v>
      </c>
      <c r="AY102" s="159">
        <f>AY112-AY97-AY92-AY87</f>
        <v>-156</v>
      </c>
      <c r="AZ102" s="158">
        <v>-154</v>
      </c>
      <c r="BA102" s="32"/>
      <c r="BB102" s="32"/>
      <c r="BC102" s="31"/>
      <c r="BD102" s="32"/>
      <c r="BE102" s="32"/>
      <c r="BF102" s="32"/>
      <c r="BG102" s="31"/>
      <c r="BH102" s="32"/>
      <c r="BI102" s="32"/>
      <c r="BJ102" s="32"/>
      <c r="BK102" s="31"/>
      <c r="BL102" s="106"/>
      <c r="BM102" s="34"/>
      <c r="BN102" s="34"/>
      <c r="BO102" s="34"/>
      <c r="BP102" s="34"/>
      <c r="BQ102" s="34"/>
      <c r="BR102" s="34"/>
      <c r="BS102" s="34"/>
      <c r="BT102" s="34"/>
      <c r="BU102" s="158">
        <f>BU112-BU97-BU92-BU87</f>
        <v>-1280</v>
      </c>
      <c r="BV102" s="34">
        <f>SUM(AN102:AQ102)</f>
        <v>-519</v>
      </c>
      <c r="BW102" s="34"/>
      <c r="BX102" s="34"/>
      <c r="BY102" s="34"/>
      <c r="BZ102" s="34"/>
      <c r="CA102" s="114"/>
      <c r="CB102" s="109"/>
      <c r="CC102" s="18"/>
      <c r="CD102" s="18"/>
      <c r="CE102" s="18"/>
      <c r="CF102" s="18"/>
      <c r="CG102" s="18"/>
      <c r="CH102" s="817"/>
      <c r="CI102" s="795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806"/>
    </row>
    <row r="103" spans="1:98" ht="14.25" customHeight="1">
      <c r="A103" s="18"/>
      <c r="B103" s="82" t="s">
        <v>186</v>
      </c>
      <c r="C103" s="79"/>
      <c r="D103" s="80"/>
      <c r="E103" s="80"/>
      <c r="F103" s="80"/>
      <c r="G103" s="41"/>
      <c r="H103" s="80"/>
      <c r="I103" s="80"/>
      <c r="J103" s="80"/>
      <c r="K103" s="41"/>
      <c r="L103" s="80"/>
      <c r="M103" s="80"/>
      <c r="N103" s="80"/>
      <c r="O103" s="41"/>
      <c r="P103" s="80"/>
      <c r="Q103" s="80"/>
      <c r="R103" s="80"/>
      <c r="S103" s="41"/>
      <c r="T103" s="80"/>
      <c r="U103" s="80"/>
      <c r="V103" s="80"/>
      <c r="W103" s="41"/>
      <c r="X103" s="80"/>
      <c r="Y103" s="80"/>
      <c r="Z103" s="80"/>
      <c r="AA103" s="41"/>
      <c r="AB103" s="80"/>
      <c r="AC103" s="80"/>
      <c r="AD103" s="80"/>
      <c r="AE103" s="41"/>
      <c r="AF103" s="80"/>
      <c r="AG103" s="80"/>
      <c r="AH103" s="80"/>
      <c r="AI103" s="41"/>
      <c r="AJ103" s="80"/>
      <c r="AK103" s="80"/>
      <c r="AL103" s="80"/>
      <c r="AM103" s="41"/>
      <c r="AN103" s="80" t="e">
        <f t="shared" ref="AN103:AY103" si="270">AN102/AM102-1</f>
        <v>#DIV/0!</v>
      </c>
      <c r="AO103" s="80">
        <f t="shared" si="270"/>
        <v>0.18461538461538463</v>
      </c>
      <c r="AP103" s="80">
        <f t="shared" si="270"/>
        <v>-9.740259740259738E-2</v>
      </c>
      <c r="AQ103" s="41">
        <f t="shared" si="270"/>
        <v>-0.30935251798561147</v>
      </c>
      <c r="AR103" s="80">
        <f>AR102/AQ102-1</f>
        <v>0.125</v>
      </c>
      <c r="AS103" s="80">
        <f t="shared" si="270"/>
        <v>0.2592592592592593</v>
      </c>
      <c r="AT103" s="80">
        <f t="shared" si="270"/>
        <v>0.11029411764705888</v>
      </c>
      <c r="AU103" s="41">
        <f t="shared" si="270"/>
        <v>0.17218543046357615</v>
      </c>
      <c r="AV103" s="80">
        <f>AV102/AU102-1</f>
        <v>5.6497175141243527E-3</v>
      </c>
      <c r="AW103" s="80">
        <f t="shared" si="270"/>
        <v>-0.1797752808988764</v>
      </c>
      <c r="AX103" s="80">
        <f t="shared" si="270"/>
        <v>6.164383561643838E-2</v>
      </c>
      <c r="AY103" s="41">
        <f t="shared" si="270"/>
        <v>6.4516129032257119E-3</v>
      </c>
      <c r="AZ103" s="80">
        <f>AZ102/AY102-1</f>
        <v>-1.2820512820512775E-2</v>
      </c>
      <c r="BA103" s="88"/>
      <c r="BB103" s="88"/>
      <c r="BC103" s="87"/>
      <c r="BD103" s="88"/>
      <c r="BE103" s="88"/>
      <c r="BF103" s="88"/>
      <c r="BG103" s="87"/>
      <c r="BH103" s="88"/>
      <c r="BI103" s="88"/>
      <c r="BJ103" s="88"/>
      <c r="BK103" s="87"/>
      <c r="BL103" s="106"/>
      <c r="BM103" s="81"/>
      <c r="BN103" s="81"/>
      <c r="BO103" s="81"/>
      <c r="BP103" s="81"/>
      <c r="BQ103" s="81"/>
      <c r="BR103" s="81"/>
      <c r="BS103" s="80"/>
      <c r="BT103" s="80"/>
      <c r="BU103" s="80"/>
      <c r="BV103" s="81"/>
      <c r="BW103" s="81"/>
      <c r="BX103" s="81"/>
      <c r="BY103" s="81"/>
      <c r="BZ103" s="81"/>
      <c r="CA103" s="115"/>
      <c r="CB103" s="109"/>
      <c r="CC103" s="18"/>
      <c r="CD103" s="18"/>
      <c r="CE103" s="18"/>
      <c r="CF103" s="18"/>
      <c r="CG103" s="18"/>
      <c r="CH103" s="817"/>
      <c r="CI103" s="796"/>
      <c r="CJ103" s="81"/>
      <c r="CK103" s="80"/>
      <c r="CL103" s="80"/>
      <c r="CM103" s="80"/>
      <c r="CN103" s="80"/>
      <c r="CO103" s="80"/>
      <c r="CP103" s="81"/>
      <c r="CQ103" s="81"/>
      <c r="CR103" s="81"/>
      <c r="CS103" s="81"/>
      <c r="CT103" s="806"/>
    </row>
    <row r="104" spans="1:98" ht="14.25" customHeight="1">
      <c r="A104" s="18"/>
      <c r="B104" s="82" t="s">
        <v>187</v>
      </c>
      <c r="C104" s="82"/>
      <c r="D104" s="80"/>
      <c r="E104" s="80"/>
      <c r="F104" s="80"/>
      <c r="G104" s="41"/>
      <c r="H104" s="80"/>
      <c r="I104" s="80"/>
      <c r="J104" s="80"/>
      <c r="K104" s="41"/>
      <c r="L104" s="80"/>
      <c r="M104" s="80"/>
      <c r="N104" s="80"/>
      <c r="O104" s="41"/>
      <c r="P104" s="80"/>
      <c r="Q104" s="80"/>
      <c r="R104" s="80"/>
      <c r="S104" s="41"/>
      <c r="T104" s="80"/>
      <c r="U104" s="80"/>
      <c r="V104" s="80"/>
      <c r="W104" s="41"/>
      <c r="X104" s="80"/>
      <c r="Y104" s="80"/>
      <c r="Z104" s="80"/>
      <c r="AA104" s="41"/>
      <c r="AB104" s="80"/>
      <c r="AC104" s="80"/>
      <c r="AD104" s="80"/>
      <c r="AE104" s="41"/>
      <c r="AF104" s="80"/>
      <c r="AG104" s="80"/>
      <c r="AH104" s="80"/>
      <c r="AI104" s="41"/>
      <c r="AJ104" s="80"/>
      <c r="AK104" s="80"/>
      <c r="AL104" s="80"/>
      <c r="AM104" s="41"/>
      <c r="AN104" s="80" t="e">
        <f t="shared" ref="AN104:AZ104" si="271">AN102/AJ102-1</f>
        <v>#DIV/0!</v>
      </c>
      <c r="AO104" s="80" t="e">
        <f t="shared" si="271"/>
        <v>#DIV/0!</v>
      </c>
      <c r="AP104" s="80" t="e">
        <f t="shared" si="271"/>
        <v>#DIV/0!</v>
      </c>
      <c r="AQ104" s="41" t="e">
        <f t="shared" si="271"/>
        <v>#DIV/0!</v>
      </c>
      <c r="AR104" s="80">
        <f t="shared" si="271"/>
        <v>-0.16923076923076918</v>
      </c>
      <c r="AS104" s="80">
        <f t="shared" si="271"/>
        <v>-0.11688311688311692</v>
      </c>
      <c r="AT104" s="80">
        <f t="shared" si="271"/>
        <v>8.6330935251798468E-2</v>
      </c>
      <c r="AU104" s="41">
        <f t="shared" si="271"/>
        <v>0.84375</v>
      </c>
      <c r="AV104" s="80">
        <f t="shared" si="271"/>
        <v>0.64814814814814814</v>
      </c>
      <c r="AW104" s="80">
        <f t="shared" si="271"/>
        <v>7.3529411764705843E-2</v>
      </c>
      <c r="AX104" s="80">
        <f t="shared" si="271"/>
        <v>2.6490066225165476E-2</v>
      </c>
      <c r="AY104" s="41">
        <f t="shared" si="271"/>
        <v>-0.11864406779661019</v>
      </c>
      <c r="AZ104" s="80">
        <f t="shared" si="271"/>
        <v>-0.1348314606741573</v>
      </c>
      <c r="BA104" s="86"/>
      <c r="BB104" s="86"/>
      <c r="BC104" s="85"/>
      <c r="BD104" s="86"/>
      <c r="BE104" s="86"/>
      <c r="BF104" s="86"/>
      <c r="BG104" s="85"/>
      <c r="BH104" s="86"/>
      <c r="BI104" s="86"/>
      <c r="BJ104" s="86"/>
      <c r="BK104" s="85"/>
      <c r="BL104" s="106"/>
      <c r="BM104" s="80"/>
      <c r="BN104" s="83"/>
      <c r="BO104" s="83"/>
      <c r="BP104" s="83"/>
      <c r="BQ104" s="83"/>
      <c r="BR104" s="83"/>
      <c r="BS104" s="80"/>
      <c r="BT104" s="80"/>
      <c r="BU104" s="80"/>
      <c r="BV104" s="83"/>
      <c r="BW104" s="83"/>
      <c r="BX104" s="83"/>
      <c r="BY104" s="83"/>
      <c r="BZ104" s="83"/>
      <c r="CA104" s="117"/>
      <c r="CB104" s="109"/>
      <c r="CC104" s="18"/>
      <c r="CD104" s="18"/>
      <c r="CE104" s="18"/>
      <c r="CF104" s="18"/>
      <c r="CG104" s="18"/>
      <c r="CH104" s="817"/>
      <c r="CI104" s="797"/>
      <c r="CJ104" s="83"/>
      <c r="CK104" s="80"/>
      <c r="CL104" s="80"/>
      <c r="CM104" s="80"/>
      <c r="CN104" s="80"/>
      <c r="CO104" s="80"/>
      <c r="CP104" s="83"/>
      <c r="CQ104" s="83"/>
      <c r="CR104" s="83"/>
      <c r="CS104" s="83"/>
      <c r="CT104" s="806"/>
    </row>
    <row r="105" spans="1:98" ht="14.25" customHeight="1">
      <c r="A105" s="18"/>
      <c r="B105" s="82" t="s">
        <v>201</v>
      </c>
      <c r="C105" s="79"/>
      <c r="D105" s="80"/>
      <c r="E105" s="80"/>
      <c r="F105" s="80"/>
      <c r="G105" s="41"/>
      <c r="H105" s="80"/>
      <c r="I105" s="80"/>
      <c r="J105" s="80"/>
      <c r="K105" s="41"/>
      <c r="L105" s="80"/>
      <c r="M105" s="80"/>
      <c r="N105" s="80"/>
      <c r="O105" s="41"/>
      <c r="P105" s="80"/>
      <c r="Q105" s="80"/>
      <c r="R105" s="80"/>
      <c r="S105" s="41"/>
      <c r="T105" s="80"/>
      <c r="U105" s="80"/>
      <c r="V105" s="80"/>
      <c r="W105" s="41"/>
      <c r="X105" s="80"/>
      <c r="Y105" s="80"/>
      <c r="Z105" s="80"/>
      <c r="AA105" s="41"/>
      <c r="AB105" s="80"/>
      <c r="AC105" s="80"/>
      <c r="AD105" s="80"/>
      <c r="AE105" s="41"/>
      <c r="AF105" s="80"/>
      <c r="AG105" s="80"/>
      <c r="AH105" s="80"/>
      <c r="AI105" s="41"/>
      <c r="AJ105" s="80"/>
      <c r="AK105" s="80"/>
      <c r="AL105" s="80"/>
      <c r="AM105" s="41"/>
      <c r="AN105" s="80">
        <f t="shared" ref="AN105:AT105" si="272">AN102/AN$59</f>
        <v>-3.8235294117647061</v>
      </c>
      <c r="AO105" s="80">
        <f t="shared" si="272"/>
        <v>-3.2765957446808511</v>
      </c>
      <c r="AP105" s="80">
        <f t="shared" si="272"/>
        <v>-5.791666666666667</v>
      </c>
      <c r="AQ105" s="41">
        <f t="shared" si="272"/>
        <v>-3.4285714285714284</v>
      </c>
      <c r="AR105" s="80">
        <f t="shared" si="272"/>
        <v>-4.5</v>
      </c>
      <c r="AS105" s="80">
        <f t="shared" si="272"/>
        <v>-3.1627906976744184</v>
      </c>
      <c r="AT105" s="80">
        <f t="shared" si="272"/>
        <v>-2.3230769230769233</v>
      </c>
      <c r="AU105" s="41">
        <f>AU102/AU$59</f>
        <v>-7.08</v>
      </c>
      <c r="AV105" s="80">
        <f t="shared" ref="AV105:AW105" si="273">AV102/AV$59</f>
        <v>-5.9333333333333336</v>
      </c>
      <c r="AW105" s="80">
        <f t="shared" si="273"/>
        <v>-5.4074074074074074</v>
      </c>
      <c r="AX105" s="80">
        <f t="shared" ref="AX105" si="274">AX102/AX$59</f>
        <v>-9.6875</v>
      </c>
      <c r="AY105" s="41">
        <f>AY102/AY$59</f>
        <v>-5.2</v>
      </c>
      <c r="AZ105" s="80">
        <f t="shared" ref="AZ105" si="275">AZ102/AZ$59</f>
        <v>-7</v>
      </c>
      <c r="BA105" s="86"/>
      <c r="BB105" s="86"/>
      <c r="BC105" s="85"/>
      <c r="BD105" s="86"/>
      <c r="BE105" s="86"/>
      <c r="BF105" s="86"/>
      <c r="BG105" s="85"/>
      <c r="BH105" s="86"/>
      <c r="BI105" s="86"/>
      <c r="BJ105" s="86"/>
      <c r="BK105" s="85"/>
      <c r="BL105" s="106"/>
      <c r="BM105" s="83"/>
      <c r="BN105" s="83"/>
      <c r="BO105" s="83"/>
      <c r="BP105" s="83"/>
      <c r="BQ105" s="83"/>
      <c r="BR105" s="83"/>
      <c r="BS105" s="80"/>
      <c r="BT105" s="80"/>
      <c r="BU105" s="80">
        <f>BU102/BU$59</f>
        <v>-9.6969696969696972</v>
      </c>
      <c r="BV105" s="80">
        <f>BV102/BV$59</f>
        <v>-3.9022556390977443</v>
      </c>
      <c r="BW105" s="83"/>
      <c r="BX105" s="83"/>
      <c r="BY105" s="83"/>
      <c r="BZ105" s="83"/>
      <c r="CA105" s="117"/>
      <c r="CB105" s="109"/>
      <c r="CC105" s="18"/>
      <c r="CD105" s="18"/>
      <c r="CE105" s="18"/>
      <c r="CF105" s="18"/>
      <c r="CG105" s="18"/>
      <c r="CH105" s="817"/>
      <c r="CI105" s="798"/>
      <c r="CJ105" s="83"/>
      <c r="CK105" s="80"/>
      <c r="CL105" s="80"/>
      <c r="CM105" s="80"/>
      <c r="CN105" s="80"/>
      <c r="CO105" s="80"/>
      <c r="CP105" s="83"/>
      <c r="CQ105" s="83"/>
      <c r="CR105" s="83"/>
      <c r="CS105" s="83"/>
      <c r="CT105" s="806"/>
    </row>
    <row r="106" spans="1:98" ht="14.25" customHeight="1">
      <c r="A106" s="18"/>
      <c r="B106" s="82"/>
      <c r="C106" s="79"/>
      <c r="D106" s="80"/>
      <c r="E106" s="80"/>
      <c r="F106" s="80"/>
      <c r="G106" s="41"/>
      <c r="H106" s="80"/>
      <c r="I106" s="80"/>
      <c r="J106" s="80"/>
      <c r="K106" s="41"/>
      <c r="L106" s="80"/>
      <c r="M106" s="80"/>
      <c r="N106" s="80"/>
      <c r="O106" s="41"/>
      <c r="P106" s="80"/>
      <c r="Q106" s="80"/>
      <c r="R106" s="80"/>
      <c r="S106" s="41"/>
      <c r="T106" s="80"/>
      <c r="U106" s="80"/>
      <c r="V106" s="80"/>
      <c r="W106" s="41"/>
      <c r="X106" s="80"/>
      <c r="Y106" s="80"/>
      <c r="Z106" s="80"/>
      <c r="AA106" s="41"/>
      <c r="AB106" s="80"/>
      <c r="AC106" s="80"/>
      <c r="AD106" s="80"/>
      <c r="AE106" s="41"/>
      <c r="AF106" s="80"/>
      <c r="AG106" s="80"/>
      <c r="AH106" s="80"/>
      <c r="AI106" s="41"/>
      <c r="AJ106" s="80"/>
      <c r="AK106" s="80"/>
      <c r="AL106" s="51"/>
      <c r="AM106" s="52"/>
      <c r="AN106" s="80"/>
      <c r="AO106" s="80"/>
      <c r="AP106" s="80"/>
      <c r="AQ106" s="52"/>
      <c r="AR106" s="80"/>
      <c r="AS106" s="80"/>
      <c r="AT106" s="80"/>
      <c r="AU106" s="52"/>
      <c r="AV106" s="80"/>
      <c r="AW106" s="80"/>
      <c r="AX106" s="51"/>
      <c r="AY106" s="52"/>
      <c r="AZ106" s="80"/>
      <c r="BA106" s="51"/>
      <c r="BB106" s="51"/>
      <c r="BC106" s="52"/>
      <c r="BD106" s="51"/>
      <c r="BE106" s="51"/>
      <c r="BF106" s="51"/>
      <c r="BG106" s="52"/>
      <c r="BH106" s="51"/>
      <c r="BI106" s="51"/>
      <c r="BJ106" s="51"/>
      <c r="BK106" s="52"/>
      <c r="BL106" s="106"/>
      <c r="BM106" s="37"/>
      <c r="BN106" s="37"/>
      <c r="BO106" s="37"/>
      <c r="BP106" s="37"/>
      <c r="BQ106" s="37"/>
      <c r="BR106" s="37"/>
      <c r="BS106" s="37"/>
      <c r="BT106" s="37"/>
      <c r="BU106" s="80"/>
      <c r="BV106" s="37"/>
      <c r="BW106" s="37"/>
      <c r="BX106" s="37"/>
      <c r="BY106" s="37"/>
      <c r="BZ106" s="37"/>
      <c r="CA106" s="118"/>
      <c r="CB106" s="109"/>
      <c r="CC106" s="18"/>
      <c r="CD106" s="18"/>
      <c r="CE106" s="18"/>
      <c r="CF106" s="18"/>
      <c r="CG106" s="18"/>
      <c r="CH106" s="817"/>
      <c r="CI106" s="799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806"/>
    </row>
    <row r="107" spans="1:98" ht="14.25" customHeight="1">
      <c r="A107" s="18"/>
      <c r="B107" s="26" t="s">
        <v>203</v>
      </c>
      <c r="C107" s="26"/>
      <c r="D107" s="38"/>
      <c r="E107" s="38"/>
      <c r="F107" s="38"/>
      <c r="G107" s="39"/>
      <c r="H107" s="38"/>
      <c r="I107" s="38"/>
      <c r="J107" s="38"/>
      <c r="K107" s="39"/>
      <c r="L107" s="38"/>
      <c r="M107" s="38"/>
      <c r="N107" s="38"/>
      <c r="O107" s="39"/>
      <c r="P107" s="38"/>
      <c r="Q107" s="38"/>
      <c r="R107" s="38"/>
      <c r="S107" s="39"/>
      <c r="T107" s="38"/>
      <c r="U107" s="38"/>
      <c r="V107" s="38"/>
      <c r="W107" s="39"/>
      <c r="X107" s="38"/>
      <c r="Y107" s="38"/>
      <c r="Z107" s="38"/>
      <c r="AA107" s="39"/>
      <c r="AB107" s="38"/>
      <c r="AC107" s="38"/>
      <c r="AD107" s="38"/>
      <c r="AE107" s="39"/>
      <c r="AF107" s="38"/>
      <c r="AG107" s="38"/>
      <c r="AH107" s="38"/>
      <c r="AI107" s="39"/>
      <c r="AJ107" s="38"/>
      <c r="AK107" s="38"/>
      <c r="AL107" s="38"/>
      <c r="AM107" s="39"/>
      <c r="AN107" s="38">
        <f t="shared" ref="AN107:AT107" si="276">SUM(AN87,AN92,AN97,AN102)</f>
        <v>447</v>
      </c>
      <c r="AO107" s="38">
        <f t="shared" si="276"/>
        <v>476</v>
      </c>
      <c r="AP107" s="38">
        <f t="shared" si="276"/>
        <v>517</v>
      </c>
      <c r="AQ107" s="39">
        <f t="shared" si="276"/>
        <v>456</v>
      </c>
      <c r="AR107" s="38">
        <f t="shared" si="276"/>
        <v>401</v>
      </c>
      <c r="AS107" s="38">
        <f t="shared" si="276"/>
        <v>470</v>
      </c>
      <c r="AT107" s="38">
        <f t="shared" si="276"/>
        <v>644</v>
      </c>
      <c r="AU107" s="39">
        <f>SUM(AU87,AU92,AU97,AU102)</f>
        <v>832</v>
      </c>
      <c r="AV107" s="38">
        <f t="shared" ref="AV107:AW107" si="277">SUM(AV87,AV92,AV97,AV102)</f>
        <v>852</v>
      </c>
      <c r="AW107" s="38">
        <f t="shared" si="277"/>
        <v>987</v>
      </c>
      <c r="AX107" s="54">
        <f t="shared" ref="AX107" si="278">SUM(AX87,AX92,AX97,AX102)</f>
        <v>1073</v>
      </c>
      <c r="AY107" s="39">
        <f>SUM(AY87,AY92,AY97,AY102)</f>
        <v>1138</v>
      </c>
      <c r="AZ107" s="38">
        <f t="shared" ref="AZ107" si="279">SUM(AZ87,AZ92,AZ97,AZ102)</f>
        <v>1246</v>
      </c>
      <c r="BA107" s="38"/>
      <c r="BB107" s="54"/>
      <c r="BC107" s="53"/>
      <c r="BD107" s="38"/>
      <c r="BE107" s="38"/>
      <c r="BF107" s="54"/>
      <c r="BG107" s="53"/>
      <c r="BH107" s="38"/>
      <c r="BI107" s="38"/>
      <c r="BJ107" s="54"/>
      <c r="BK107" s="53"/>
      <c r="BL107" s="107"/>
      <c r="BM107" s="40"/>
      <c r="BN107" s="40"/>
      <c r="BO107" s="40"/>
      <c r="BP107" s="40"/>
      <c r="BQ107" s="40"/>
      <c r="BR107" s="40"/>
      <c r="BS107" s="38"/>
      <c r="BT107" s="38"/>
      <c r="BU107" s="38">
        <f>SUM(BU87,BU92,BU97,BU102)</f>
        <v>1032</v>
      </c>
      <c r="BV107" s="38">
        <f>SUM(BV87,BV92,BV97,BV102)</f>
        <v>1896</v>
      </c>
      <c r="BW107" s="40"/>
      <c r="BX107" s="40"/>
      <c r="BY107" s="40"/>
      <c r="BZ107" s="40"/>
      <c r="CA107" s="119"/>
      <c r="CB107" s="109"/>
      <c r="CC107" s="18"/>
      <c r="CD107" s="18"/>
      <c r="CE107" s="18"/>
      <c r="CF107" s="18"/>
      <c r="CG107" s="18"/>
      <c r="CH107" s="817"/>
      <c r="CI107" s="800"/>
      <c r="CJ107" s="40"/>
      <c r="CK107" s="38"/>
      <c r="CL107" s="38"/>
      <c r="CM107" s="38"/>
      <c r="CN107" s="38"/>
      <c r="CO107" s="38"/>
      <c r="CP107" s="40"/>
      <c r="CQ107" s="40"/>
      <c r="CR107" s="40"/>
      <c r="CS107" s="40"/>
      <c r="CT107" s="806"/>
    </row>
    <row r="108" spans="1:98" ht="14.25" customHeight="1">
      <c r="A108" s="18"/>
      <c r="B108" s="79" t="s">
        <v>186</v>
      </c>
      <c r="C108" s="79"/>
      <c r="D108" s="80"/>
      <c r="E108" s="80"/>
      <c r="F108" s="80"/>
      <c r="G108" s="41"/>
      <c r="H108" s="80"/>
      <c r="I108" s="80"/>
      <c r="J108" s="80"/>
      <c r="K108" s="41"/>
      <c r="L108" s="80"/>
      <c r="M108" s="80"/>
      <c r="N108" s="80"/>
      <c r="O108" s="41"/>
      <c r="P108" s="80"/>
      <c r="Q108" s="80"/>
      <c r="R108" s="80"/>
      <c r="S108" s="41"/>
      <c r="T108" s="80"/>
      <c r="U108" s="80"/>
      <c r="V108" s="80"/>
      <c r="W108" s="41"/>
      <c r="X108" s="80"/>
      <c r="Y108" s="80"/>
      <c r="Z108" s="80"/>
      <c r="AA108" s="41"/>
      <c r="AB108" s="80"/>
      <c r="AC108" s="80"/>
      <c r="AD108" s="80"/>
      <c r="AE108" s="41"/>
      <c r="AF108" s="80"/>
      <c r="AG108" s="80"/>
      <c r="AH108" s="80"/>
      <c r="AI108" s="41"/>
      <c r="AJ108" s="80"/>
      <c r="AK108" s="80"/>
      <c r="AL108" s="80"/>
      <c r="AM108" s="41"/>
      <c r="AN108" s="80" t="e">
        <f t="shared" ref="AN108:AZ108" si="280">AN107/AM107-1</f>
        <v>#DIV/0!</v>
      </c>
      <c r="AO108" s="80">
        <f t="shared" si="280"/>
        <v>6.487695749440725E-2</v>
      </c>
      <c r="AP108" s="80">
        <f t="shared" si="280"/>
        <v>8.6134453781512521E-2</v>
      </c>
      <c r="AQ108" s="41">
        <f t="shared" si="280"/>
        <v>-0.11798839458413923</v>
      </c>
      <c r="AR108" s="80">
        <f t="shared" si="280"/>
        <v>-0.12061403508771928</v>
      </c>
      <c r="AS108" s="80">
        <f t="shared" si="280"/>
        <v>0.17206982543640903</v>
      </c>
      <c r="AT108" s="80">
        <f t="shared" si="280"/>
        <v>0.37021276595744679</v>
      </c>
      <c r="AU108" s="41">
        <f t="shared" si="280"/>
        <v>0.29192546583850931</v>
      </c>
      <c r="AV108" s="80">
        <f t="shared" si="280"/>
        <v>2.4038461538461453E-2</v>
      </c>
      <c r="AW108" s="80">
        <f t="shared" si="280"/>
        <v>0.15845070422535201</v>
      </c>
      <c r="AX108" s="86">
        <f t="shared" si="280"/>
        <v>8.7132725430597802E-2</v>
      </c>
      <c r="AY108" s="41">
        <f t="shared" si="280"/>
        <v>6.0577819198508909E-2</v>
      </c>
      <c r="AZ108" s="80">
        <f t="shared" si="280"/>
        <v>9.4903339191564129E-2</v>
      </c>
      <c r="BA108" s="80"/>
      <c r="BB108" s="86"/>
      <c r="BC108" s="85"/>
      <c r="BD108" s="80"/>
      <c r="BE108" s="80"/>
      <c r="BF108" s="86"/>
      <c r="BG108" s="85"/>
      <c r="BH108" s="80"/>
      <c r="BI108" s="80"/>
      <c r="BJ108" s="86"/>
      <c r="BK108" s="85"/>
      <c r="BL108" s="106"/>
      <c r="BM108" s="81"/>
      <c r="BN108" s="81"/>
      <c r="BO108" s="81"/>
      <c r="BP108" s="81"/>
      <c r="BQ108" s="81"/>
      <c r="BR108" s="81"/>
      <c r="BS108" s="80"/>
      <c r="BT108" s="80"/>
      <c r="BU108" s="80"/>
      <c r="BV108" s="80"/>
      <c r="BW108" s="81"/>
      <c r="BX108" s="81"/>
      <c r="BY108" s="81"/>
      <c r="BZ108" s="81"/>
      <c r="CA108" s="115"/>
      <c r="CB108" s="109"/>
      <c r="CC108" s="18"/>
      <c r="CD108" s="18"/>
      <c r="CE108" s="18"/>
      <c r="CF108" s="18"/>
      <c r="CG108" s="18"/>
      <c r="CH108" s="817"/>
      <c r="CI108" s="796"/>
      <c r="CJ108" s="81"/>
      <c r="CK108" s="80"/>
      <c r="CL108" s="80"/>
      <c r="CM108" s="80"/>
      <c r="CN108" s="80"/>
      <c r="CO108" s="80"/>
      <c r="CP108" s="81"/>
      <c r="CQ108" s="81"/>
      <c r="CR108" s="81"/>
      <c r="CS108" s="81"/>
      <c r="CT108" s="806"/>
    </row>
    <row r="109" spans="1:98" ht="14.25" customHeight="1">
      <c r="A109" s="18"/>
      <c r="B109" s="82" t="s">
        <v>187</v>
      </c>
      <c r="C109" s="82"/>
      <c r="D109" s="80"/>
      <c r="E109" s="80"/>
      <c r="F109" s="80"/>
      <c r="G109" s="41"/>
      <c r="H109" s="80"/>
      <c r="I109" s="80"/>
      <c r="J109" s="80"/>
      <c r="K109" s="41"/>
      <c r="L109" s="80"/>
      <c r="M109" s="80"/>
      <c r="N109" s="80"/>
      <c r="O109" s="41"/>
      <c r="P109" s="80"/>
      <c r="Q109" s="80"/>
      <c r="R109" s="80"/>
      <c r="S109" s="41"/>
      <c r="T109" s="80"/>
      <c r="U109" s="80"/>
      <c r="V109" s="80"/>
      <c r="W109" s="41"/>
      <c r="X109" s="80"/>
      <c r="Y109" s="80"/>
      <c r="Z109" s="80"/>
      <c r="AA109" s="41"/>
      <c r="AB109" s="80"/>
      <c r="AC109" s="80"/>
      <c r="AD109" s="80"/>
      <c r="AE109" s="41"/>
      <c r="AF109" s="80"/>
      <c r="AG109" s="80"/>
      <c r="AH109" s="80"/>
      <c r="AI109" s="41"/>
      <c r="AJ109" s="80"/>
      <c r="AK109" s="80"/>
      <c r="AL109" s="80"/>
      <c r="AM109" s="41"/>
      <c r="AN109" s="80" t="e">
        <f t="shared" ref="AN109:AZ109" si="281">AN107/AJ107-1</f>
        <v>#DIV/0!</v>
      </c>
      <c r="AO109" s="80" t="e">
        <f t="shared" si="281"/>
        <v>#DIV/0!</v>
      </c>
      <c r="AP109" s="80" t="e">
        <f t="shared" si="281"/>
        <v>#DIV/0!</v>
      </c>
      <c r="AQ109" s="41" t="e">
        <f t="shared" si="281"/>
        <v>#DIV/0!</v>
      </c>
      <c r="AR109" s="80">
        <f t="shared" si="281"/>
        <v>-0.1029082774049217</v>
      </c>
      <c r="AS109" s="80">
        <f t="shared" si="281"/>
        <v>-1.2605042016806678E-2</v>
      </c>
      <c r="AT109" s="80">
        <f t="shared" si="281"/>
        <v>0.24564796905222441</v>
      </c>
      <c r="AU109" s="41">
        <f t="shared" si="281"/>
        <v>0.82456140350877183</v>
      </c>
      <c r="AV109" s="80">
        <f t="shared" si="281"/>
        <v>1.1246882793017456</v>
      </c>
      <c r="AW109" s="80">
        <f t="shared" si="281"/>
        <v>1.1000000000000001</v>
      </c>
      <c r="AX109" s="86">
        <f t="shared" si="281"/>
        <v>0.66614906832298137</v>
      </c>
      <c r="AY109" s="41">
        <f t="shared" si="281"/>
        <v>0.36778846153846145</v>
      </c>
      <c r="AZ109" s="80">
        <f t="shared" si="281"/>
        <v>0.46244131455399051</v>
      </c>
      <c r="BA109" s="80"/>
      <c r="BB109" s="86"/>
      <c r="BC109" s="85"/>
      <c r="BD109" s="80"/>
      <c r="BE109" s="80"/>
      <c r="BF109" s="86"/>
      <c r="BG109" s="85"/>
      <c r="BH109" s="80"/>
      <c r="BI109" s="80"/>
      <c r="BJ109" s="86"/>
      <c r="BK109" s="85"/>
      <c r="BL109" s="106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80"/>
      <c r="CA109" s="41"/>
      <c r="CB109" s="109"/>
      <c r="CC109" s="18"/>
      <c r="CD109" s="18"/>
      <c r="CE109" s="18"/>
      <c r="CF109" s="18"/>
      <c r="CG109" s="18"/>
      <c r="CH109" s="817"/>
      <c r="CI109" s="797"/>
      <c r="CJ109" s="80"/>
      <c r="CK109" s="80"/>
      <c r="CL109" s="80"/>
      <c r="CM109" s="80"/>
      <c r="CN109" s="80"/>
      <c r="CO109" s="80"/>
      <c r="CP109" s="80"/>
      <c r="CQ109" s="80"/>
      <c r="CR109" s="80"/>
      <c r="CS109" s="80"/>
      <c r="CT109" s="806"/>
    </row>
    <row r="110" spans="1:98" ht="14.25" customHeight="1">
      <c r="A110" s="18"/>
      <c r="B110" s="82" t="s">
        <v>201</v>
      </c>
      <c r="C110" s="79"/>
      <c r="D110" s="80"/>
      <c r="E110" s="80"/>
      <c r="F110" s="80"/>
      <c r="G110" s="41"/>
      <c r="H110" s="80"/>
      <c r="I110" s="80"/>
      <c r="J110" s="80"/>
      <c r="K110" s="41"/>
      <c r="L110" s="80"/>
      <c r="M110" s="80"/>
      <c r="N110" s="80"/>
      <c r="O110" s="41"/>
      <c r="P110" s="80"/>
      <c r="Q110" s="80"/>
      <c r="R110" s="80"/>
      <c r="S110" s="41"/>
      <c r="T110" s="80"/>
      <c r="U110" s="80"/>
      <c r="V110" s="80"/>
      <c r="W110" s="41"/>
      <c r="X110" s="80"/>
      <c r="Y110" s="80"/>
      <c r="Z110" s="80"/>
      <c r="AA110" s="41"/>
      <c r="AB110" s="80"/>
      <c r="AC110" s="80"/>
      <c r="AD110" s="80"/>
      <c r="AE110" s="41"/>
      <c r="AF110" s="80"/>
      <c r="AG110" s="80"/>
      <c r="AH110" s="80"/>
      <c r="AI110" s="41"/>
      <c r="AJ110" s="80"/>
      <c r="AK110" s="80"/>
      <c r="AL110" s="80"/>
      <c r="AM110" s="41"/>
      <c r="AN110" s="80">
        <f t="shared" ref="AN110:AT110" si="282">AN107/AN$77</f>
        <v>0.18948707079270877</v>
      </c>
      <c r="AO110" s="80">
        <f t="shared" si="282"/>
        <v>0.19492219492219492</v>
      </c>
      <c r="AP110" s="80">
        <f t="shared" si="282"/>
        <v>0.20763052208835342</v>
      </c>
      <c r="AQ110" s="41">
        <f t="shared" si="282"/>
        <v>0.19256756756756757</v>
      </c>
      <c r="AR110" s="80">
        <f t="shared" si="282"/>
        <v>0.17766947275143996</v>
      </c>
      <c r="AS110" s="80">
        <f t="shared" si="282"/>
        <v>0.19183673469387755</v>
      </c>
      <c r="AT110" s="80">
        <f t="shared" si="282"/>
        <v>0.22828784119106699</v>
      </c>
      <c r="AU110" s="41">
        <f>AU107/AU$77</f>
        <v>0.25235062177737339</v>
      </c>
      <c r="AV110" s="80">
        <f t="shared" ref="AV110:AW110" si="283">AV107/AV$77</f>
        <v>0.25991458206223306</v>
      </c>
      <c r="AW110" s="80">
        <f t="shared" si="283"/>
        <v>0.27834179357021999</v>
      </c>
      <c r="AX110" s="86">
        <f t="shared" ref="AX110" si="284">AX107/AX$77</f>
        <v>0.28659188034188032</v>
      </c>
      <c r="AY110" s="41">
        <f>AY107/AY$77</f>
        <v>0.28672209624590578</v>
      </c>
      <c r="AZ110" s="80">
        <f t="shared" ref="AZ110" si="285">AZ107/AZ$77</f>
        <v>0.29638439581351095</v>
      </c>
      <c r="BA110" s="80"/>
      <c r="BB110" s="86"/>
      <c r="BC110" s="85"/>
      <c r="BD110" s="80"/>
      <c r="BE110" s="80"/>
      <c r="BF110" s="86"/>
      <c r="BG110" s="85"/>
      <c r="BH110" s="80"/>
      <c r="BI110" s="80"/>
      <c r="BJ110" s="86"/>
      <c r="BK110" s="85"/>
      <c r="BL110" s="106"/>
      <c r="BM110" s="83"/>
      <c r="BN110" s="83"/>
      <c r="BO110" s="83"/>
      <c r="BP110" s="83"/>
      <c r="BQ110" s="83"/>
      <c r="BR110" s="83"/>
      <c r="BS110" s="80"/>
      <c r="BT110" s="80"/>
      <c r="BU110" s="80">
        <f>BU107/BU$77</f>
        <v>0.11375661375661375</v>
      </c>
      <c r="BV110" s="80">
        <f>BV107/BV$77</f>
        <v>0.19629361217517341</v>
      </c>
      <c r="BW110" s="83"/>
      <c r="BX110" s="83"/>
      <c r="BY110" s="83"/>
      <c r="BZ110" s="83"/>
      <c r="CA110" s="117"/>
      <c r="CB110" s="109"/>
      <c r="CC110" s="18"/>
      <c r="CD110" s="18"/>
      <c r="CE110" s="18"/>
      <c r="CF110" s="18"/>
      <c r="CG110" s="18"/>
      <c r="CH110" s="817"/>
      <c r="CI110" s="798"/>
      <c r="CJ110" s="83"/>
      <c r="CK110" s="80"/>
      <c r="CL110" s="80"/>
      <c r="CM110" s="80"/>
      <c r="CN110" s="80"/>
      <c r="CO110" s="80"/>
      <c r="CP110" s="83"/>
      <c r="CQ110" s="83"/>
      <c r="CR110" s="83"/>
      <c r="CS110" s="83"/>
      <c r="CT110" s="806"/>
    </row>
    <row r="111" spans="1:98" ht="14.25" customHeight="1">
      <c r="A111" s="18"/>
      <c r="B111" s="18"/>
      <c r="C111" s="18"/>
      <c r="D111" s="80"/>
      <c r="E111" s="80"/>
      <c r="F111" s="80"/>
      <c r="G111" s="41"/>
      <c r="H111" s="80"/>
      <c r="I111" s="80"/>
      <c r="J111" s="80"/>
      <c r="K111" s="41"/>
      <c r="L111" s="80"/>
      <c r="M111" s="80"/>
      <c r="N111" s="80"/>
      <c r="O111" s="41"/>
      <c r="P111" s="80"/>
      <c r="Q111" s="80"/>
      <c r="R111" s="80"/>
      <c r="S111" s="41"/>
      <c r="T111" s="80"/>
      <c r="U111" s="80"/>
      <c r="V111" s="80"/>
      <c r="W111" s="41"/>
      <c r="X111" s="80"/>
      <c r="Y111" s="80"/>
      <c r="Z111" s="80"/>
      <c r="AA111" s="41"/>
      <c r="AB111" s="80"/>
      <c r="AC111" s="80"/>
      <c r="AD111" s="80"/>
      <c r="AE111" s="41"/>
      <c r="AF111" s="80"/>
      <c r="AG111" s="80"/>
      <c r="AH111" s="80"/>
      <c r="AI111" s="41"/>
      <c r="AJ111" s="80"/>
      <c r="AK111" s="80"/>
      <c r="AL111" s="80"/>
      <c r="AM111" s="41"/>
      <c r="AN111" s="80"/>
      <c r="AO111" s="80"/>
      <c r="AP111" s="80"/>
      <c r="AQ111" s="41"/>
      <c r="AR111" s="80"/>
      <c r="AS111" s="80"/>
      <c r="AT111" s="80"/>
      <c r="AU111" s="41"/>
      <c r="AV111" s="80"/>
      <c r="AW111" s="80"/>
      <c r="AX111" s="86"/>
      <c r="AY111" s="41"/>
      <c r="AZ111" s="80"/>
      <c r="BA111" s="80"/>
      <c r="BB111" s="86"/>
      <c r="BC111" s="85"/>
      <c r="BD111" s="80"/>
      <c r="BE111" s="80"/>
      <c r="BF111" s="86"/>
      <c r="BG111" s="85"/>
      <c r="BH111" s="80"/>
      <c r="BI111" s="80"/>
      <c r="BJ111" s="86"/>
      <c r="BK111" s="85"/>
      <c r="BL111" s="106"/>
      <c r="BM111" s="33"/>
      <c r="BN111" s="33"/>
      <c r="BO111" s="33"/>
      <c r="BP111" s="33"/>
      <c r="BQ111" s="80"/>
      <c r="BR111" s="80"/>
      <c r="BS111" s="80"/>
      <c r="BT111" s="80"/>
      <c r="BU111" s="80"/>
      <c r="BV111" s="80"/>
      <c r="BW111" s="80"/>
      <c r="BX111" s="80"/>
      <c r="BY111" s="80"/>
      <c r="BZ111" s="80"/>
      <c r="CA111" s="120"/>
      <c r="CB111" s="109"/>
      <c r="CC111" s="18"/>
      <c r="CD111" s="18"/>
      <c r="CE111" s="18"/>
      <c r="CF111" s="18"/>
      <c r="CG111" s="18"/>
      <c r="CH111" s="817"/>
      <c r="CI111" s="801"/>
      <c r="CJ111" s="80"/>
      <c r="CK111" s="80"/>
      <c r="CL111" s="80"/>
      <c r="CM111" s="80"/>
      <c r="CN111" s="80"/>
      <c r="CO111" s="80"/>
      <c r="CP111" s="80"/>
      <c r="CQ111" s="80"/>
      <c r="CR111" s="80"/>
      <c r="CS111" s="63"/>
      <c r="CT111" s="806"/>
    </row>
    <row r="112" spans="1:98" ht="14.25" customHeight="1">
      <c r="A112" s="18"/>
      <c r="B112" s="26" t="s">
        <v>204</v>
      </c>
      <c r="C112" s="26"/>
      <c r="D112" s="38"/>
      <c r="E112" s="38"/>
      <c r="F112" s="38"/>
      <c r="G112" s="39"/>
      <c r="H112" s="38"/>
      <c r="I112" s="38"/>
      <c r="J112" s="38"/>
      <c r="K112" s="39"/>
      <c r="L112" s="38"/>
      <c r="M112" s="38"/>
      <c r="N112" s="38"/>
      <c r="O112" s="39"/>
      <c r="P112" s="38"/>
      <c r="Q112" s="38"/>
      <c r="R112" s="38"/>
      <c r="S112" s="39"/>
      <c r="T112" s="38"/>
      <c r="U112" s="38"/>
      <c r="V112" s="38"/>
      <c r="W112" s="39"/>
      <c r="X112" s="38"/>
      <c r="Y112" s="38"/>
      <c r="Z112" s="38"/>
      <c r="AA112" s="39"/>
      <c r="AB112" s="38"/>
      <c r="AC112" s="38"/>
      <c r="AD112" s="38"/>
      <c r="AE112" s="39"/>
      <c r="AF112" s="38"/>
      <c r="AG112" s="38"/>
      <c r="AH112" s="38"/>
      <c r="AI112" s="39"/>
      <c r="AJ112" s="38"/>
      <c r="AK112" s="38"/>
      <c r="AL112" s="38"/>
      <c r="AM112" s="39"/>
      <c r="AN112" s="38">
        <f>IS!AN73</f>
        <v>447</v>
      </c>
      <c r="AO112" s="38">
        <f>IS!AO73</f>
        <v>476</v>
      </c>
      <c r="AP112" s="38">
        <f>IS!AP73</f>
        <v>517</v>
      </c>
      <c r="AQ112" s="53">
        <f>IS!AQ73</f>
        <v>456</v>
      </c>
      <c r="AR112" s="38">
        <f>IS!AR73</f>
        <v>401</v>
      </c>
      <c r="AS112" s="38">
        <f>IS!AS73</f>
        <v>470</v>
      </c>
      <c r="AT112" s="38">
        <f>IS!AT73</f>
        <v>644</v>
      </c>
      <c r="AU112" s="53">
        <f>IS!AU73</f>
        <v>832</v>
      </c>
      <c r="AV112" s="38">
        <f>IS!AV73</f>
        <v>852</v>
      </c>
      <c r="AW112" s="38">
        <f>IS!AW73</f>
        <v>987</v>
      </c>
      <c r="AX112" s="54">
        <f>IS!AX73</f>
        <v>1073</v>
      </c>
      <c r="AY112" s="53">
        <f>IS!AY73</f>
        <v>1138</v>
      </c>
      <c r="AZ112" s="38">
        <f>IS!AZ73</f>
        <v>1246</v>
      </c>
      <c r="BA112" s="38"/>
      <c r="BB112" s="54"/>
      <c r="BC112" s="53"/>
      <c r="BD112" s="38"/>
      <c r="BE112" s="38"/>
      <c r="BF112" s="54"/>
      <c r="BG112" s="53"/>
      <c r="BH112" s="38"/>
      <c r="BI112" s="38"/>
      <c r="BJ112" s="54"/>
      <c r="BK112" s="53"/>
      <c r="BL112" s="108"/>
      <c r="BM112" s="38"/>
      <c r="BN112" s="4"/>
      <c r="BO112" s="4"/>
      <c r="BP112" s="4"/>
      <c r="BQ112" s="4"/>
      <c r="BR112" s="4"/>
      <c r="BS112" s="4"/>
      <c r="BT112" s="4"/>
      <c r="BU112" s="38">
        <f>IS!BT73</f>
        <v>1032</v>
      </c>
      <c r="BV112" s="38">
        <f>IS!BV73</f>
        <v>1896</v>
      </c>
      <c r="BW112" s="4"/>
      <c r="BX112" s="4"/>
      <c r="BY112" s="4"/>
      <c r="BZ112" s="4"/>
      <c r="CA112" s="120"/>
      <c r="CB112" s="109"/>
      <c r="CC112" s="18"/>
      <c r="CD112" s="18"/>
      <c r="CE112" s="18"/>
      <c r="CF112" s="18"/>
      <c r="CG112" s="18"/>
      <c r="CH112" s="817"/>
      <c r="CI112" s="802"/>
      <c r="CJ112" s="4"/>
      <c r="CK112" s="4"/>
      <c r="CL112" s="4"/>
      <c r="CM112" s="4"/>
      <c r="CN112" s="4"/>
      <c r="CO112" s="4"/>
      <c r="CP112" s="4"/>
      <c r="CQ112" s="4"/>
      <c r="CR112" s="4"/>
      <c r="CS112" s="63"/>
      <c r="CT112" s="806"/>
    </row>
    <row r="113" spans="1:98" ht="14.25" customHeight="1">
      <c r="A113" s="18"/>
      <c r="B113" s="18"/>
      <c r="C113" s="18"/>
      <c r="D113" s="33"/>
      <c r="E113" s="33"/>
      <c r="F113" s="33"/>
      <c r="G113" s="36"/>
      <c r="H113" s="33"/>
      <c r="I113" s="33"/>
      <c r="J113" s="33"/>
      <c r="K113" s="36"/>
      <c r="L113" s="33"/>
      <c r="M113" s="33"/>
      <c r="N113" s="33"/>
      <c r="O113" s="36"/>
      <c r="P113" s="33"/>
      <c r="Q113" s="33"/>
      <c r="R113" s="33"/>
      <c r="S113" s="36"/>
      <c r="T113" s="33"/>
      <c r="U113" s="33"/>
      <c r="V113" s="33"/>
      <c r="W113" s="36"/>
      <c r="X113" s="33"/>
      <c r="Y113" s="33"/>
      <c r="Z113" s="33"/>
      <c r="AA113" s="36"/>
      <c r="AB113" s="33"/>
      <c r="AC113" s="33"/>
      <c r="AD113" s="33"/>
      <c r="AE113" s="36"/>
      <c r="AF113" s="33"/>
      <c r="AG113" s="33"/>
      <c r="AH113" s="33"/>
      <c r="AI113" s="36"/>
      <c r="AJ113" s="33"/>
      <c r="AK113" s="51"/>
      <c r="AL113" s="51"/>
      <c r="AM113" s="52"/>
      <c r="AN113" s="33"/>
      <c r="AO113" s="51"/>
      <c r="AP113" s="51"/>
      <c r="AQ113" s="52"/>
      <c r="AR113" s="33"/>
      <c r="AS113" s="51"/>
      <c r="AT113" s="51"/>
      <c r="AU113" s="52"/>
      <c r="AV113" s="33"/>
      <c r="AW113" s="51"/>
      <c r="AX113" s="51"/>
      <c r="AY113" s="52"/>
      <c r="AZ113" s="33"/>
      <c r="BA113" s="51"/>
      <c r="BB113" s="51"/>
      <c r="BC113" s="52"/>
      <c r="BD113" s="33"/>
      <c r="BE113" s="51"/>
      <c r="BF113" s="51"/>
      <c r="BG113" s="52"/>
      <c r="BH113" s="33"/>
      <c r="BI113" s="51"/>
      <c r="BJ113" s="51"/>
      <c r="BK113" s="52"/>
      <c r="BL113" s="106"/>
      <c r="BM113" s="33"/>
      <c r="BN113" s="33"/>
      <c r="BO113" s="33"/>
      <c r="BP113" s="33"/>
      <c r="BQ113" s="33"/>
      <c r="BR113" s="33"/>
      <c r="BS113" s="33"/>
      <c r="BT113" s="33"/>
      <c r="BU113" s="51"/>
      <c r="BV113" s="51"/>
      <c r="BW113" s="33"/>
      <c r="BX113" s="33"/>
      <c r="BY113" s="33"/>
      <c r="BZ113" s="33"/>
      <c r="CA113" s="36"/>
      <c r="CB113" s="110"/>
      <c r="CH113" s="818"/>
      <c r="CI113" s="801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806"/>
    </row>
    <row r="114" spans="1:98" ht="14.25" customHeight="1">
      <c r="A114" s="18"/>
      <c r="B114" s="26" t="s">
        <v>194</v>
      </c>
      <c r="C114" s="26"/>
      <c r="D114" s="42"/>
      <c r="E114" s="42"/>
      <c r="F114" s="42"/>
      <c r="G114" s="43"/>
      <c r="H114" s="42"/>
      <c r="I114" s="42"/>
      <c r="J114" s="42"/>
      <c r="K114" s="43"/>
      <c r="L114" s="42"/>
      <c r="M114" s="42"/>
      <c r="N114" s="42"/>
      <c r="O114" s="43"/>
      <c r="P114" s="42"/>
      <c r="Q114" s="42"/>
      <c r="R114" s="42"/>
      <c r="S114" s="43"/>
      <c r="T114" s="42"/>
      <c r="U114" s="42"/>
      <c r="V114" s="42"/>
      <c r="W114" s="43"/>
      <c r="X114" s="42"/>
      <c r="Y114" s="42"/>
      <c r="Z114" s="42"/>
      <c r="AA114" s="43"/>
      <c r="AB114" s="42"/>
      <c r="AC114" s="42"/>
      <c r="AD114" s="42"/>
      <c r="AE114" s="43"/>
      <c r="AF114" s="42"/>
      <c r="AG114" s="42"/>
      <c r="AH114" s="42"/>
      <c r="AI114" s="43"/>
      <c r="AJ114" s="44"/>
      <c r="AK114" s="44"/>
      <c r="AL114" s="44"/>
      <c r="AM114" s="45"/>
      <c r="AN114" s="44" t="str">
        <f t="shared" ref="AN114:AT114" si="286">IF(ABS(AN107-AN112)&lt;1,"OK",AN107-AN112)</f>
        <v>OK</v>
      </c>
      <c r="AO114" s="44" t="str">
        <f t="shared" si="286"/>
        <v>OK</v>
      </c>
      <c r="AP114" s="44" t="str">
        <f t="shared" si="286"/>
        <v>OK</v>
      </c>
      <c r="AQ114" s="45" t="str">
        <f t="shared" si="286"/>
        <v>OK</v>
      </c>
      <c r="AR114" s="44" t="str">
        <f t="shared" si="286"/>
        <v>OK</v>
      </c>
      <c r="AS114" s="44" t="str">
        <f t="shared" si="286"/>
        <v>OK</v>
      </c>
      <c r="AT114" s="44" t="str">
        <f t="shared" si="286"/>
        <v>OK</v>
      </c>
      <c r="AU114" s="45" t="str">
        <f>IF(ABS(AU107-AU112)&lt;1,"OK",AU107-AU112)</f>
        <v>OK</v>
      </c>
      <c r="AV114" s="44" t="str">
        <f t="shared" ref="AV114:AX114" si="287">IF(ABS(AV107-AV112)&lt;1,"OK",AV107-AV112)</f>
        <v>OK</v>
      </c>
      <c r="AW114" s="44" t="str">
        <f t="shared" si="287"/>
        <v>OK</v>
      </c>
      <c r="AX114" s="44" t="str">
        <f t="shared" si="287"/>
        <v>OK</v>
      </c>
      <c r="AY114" s="45" t="str">
        <f>IF(ABS(AY107-AY112)&lt;1,"OK",AY107-AY112)</f>
        <v>OK</v>
      </c>
      <c r="AZ114" s="44" t="str">
        <f t="shared" ref="AZ114" si="288">IF(ABS(AZ107-AZ112)&lt;1,"OK",AZ107-AZ112)</f>
        <v>OK</v>
      </c>
      <c r="BA114" s="44"/>
      <c r="BB114" s="56"/>
      <c r="BC114" s="55"/>
      <c r="BD114" s="44"/>
      <c r="BE114" s="44"/>
      <c r="BF114" s="56"/>
      <c r="BG114" s="55"/>
      <c r="BH114" s="44"/>
      <c r="BI114" s="44"/>
      <c r="BJ114" s="56"/>
      <c r="BK114" s="55"/>
      <c r="BL114" s="109"/>
      <c r="BM114" s="42"/>
      <c r="BN114" s="42"/>
      <c r="BO114" s="42"/>
      <c r="BP114" s="42"/>
      <c r="BQ114" s="42"/>
      <c r="BR114" s="44"/>
      <c r="BS114" s="44"/>
      <c r="BT114" s="44"/>
      <c r="BU114" s="44" t="str">
        <f>IF(ABS(BU107-BU112)&lt;1,"OK",BU107-BU112)</f>
        <v>OK</v>
      </c>
      <c r="BV114" s="44" t="str">
        <f>IF(ABS(BV107-BV112)&lt;1,"OK",BV107-BV112)</f>
        <v>OK</v>
      </c>
      <c r="BW114" s="42"/>
      <c r="BX114" s="42"/>
      <c r="BY114" s="42"/>
      <c r="BZ114" s="42"/>
      <c r="CA114" s="43"/>
      <c r="CB114" s="109"/>
      <c r="CC114" s="18"/>
      <c r="CD114" s="18"/>
      <c r="CE114" s="18"/>
      <c r="CF114" s="18"/>
      <c r="CG114" s="18"/>
      <c r="CH114" s="817"/>
      <c r="CI114" s="803"/>
      <c r="CJ114" s="44"/>
      <c r="CK114" s="44"/>
      <c r="CL114" s="44"/>
      <c r="CM114" s="44"/>
      <c r="CN114" s="44"/>
      <c r="CO114" s="44"/>
      <c r="CP114" s="42"/>
      <c r="CQ114" s="42"/>
      <c r="CR114" s="42"/>
      <c r="CS114" s="42"/>
      <c r="CT114" s="806"/>
    </row>
    <row r="115" spans="1:98" ht="14.25" customHeight="1">
      <c r="A115" s="18"/>
      <c r="B115" s="26"/>
      <c r="C115" s="26"/>
      <c r="D115" s="42"/>
      <c r="E115" s="42"/>
      <c r="F115" s="42"/>
      <c r="G115" s="43"/>
      <c r="H115" s="42"/>
      <c r="I115" s="42"/>
      <c r="J115" s="42"/>
      <c r="K115" s="43"/>
      <c r="L115" s="42"/>
      <c r="M115" s="42"/>
      <c r="N115" s="42"/>
      <c r="O115" s="43"/>
      <c r="P115" s="42"/>
      <c r="Q115" s="42"/>
      <c r="R115" s="42"/>
      <c r="S115" s="43"/>
      <c r="T115" s="42"/>
      <c r="U115" s="42"/>
      <c r="V115" s="42"/>
      <c r="W115" s="43"/>
      <c r="X115" s="42"/>
      <c r="Y115" s="42"/>
      <c r="Z115" s="42"/>
      <c r="AA115" s="43"/>
      <c r="AB115" s="42"/>
      <c r="AC115" s="42"/>
      <c r="AD115" s="42"/>
      <c r="AE115" s="43"/>
      <c r="AF115" s="42"/>
      <c r="AG115" s="42"/>
      <c r="AH115" s="42"/>
      <c r="AI115" s="43"/>
      <c r="AJ115" s="42"/>
      <c r="AK115" s="56"/>
      <c r="AL115" s="56"/>
      <c r="AM115" s="55"/>
      <c r="AN115" s="42"/>
      <c r="AO115" s="56"/>
      <c r="AP115" s="56"/>
      <c r="AQ115" s="55"/>
      <c r="AR115" s="42"/>
      <c r="AS115" s="56"/>
      <c r="AT115" s="56"/>
      <c r="AU115" s="55"/>
      <c r="AV115" s="42"/>
      <c r="AW115" s="56"/>
      <c r="AX115" s="56"/>
      <c r="AY115" s="55"/>
      <c r="AZ115" s="56"/>
      <c r="BA115" s="56"/>
      <c r="BB115" s="56"/>
      <c r="BC115" s="55"/>
      <c r="BD115" s="56"/>
      <c r="BE115" s="56"/>
      <c r="BF115" s="56"/>
      <c r="BG115" s="55"/>
      <c r="BH115" s="56"/>
      <c r="BI115" s="56"/>
      <c r="BJ115" s="56"/>
      <c r="BK115" s="55"/>
      <c r="BL115" s="109"/>
      <c r="BM115" s="42"/>
      <c r="BN115" s="42"/>
      <c r="BO115" s="42"/>
      <c r="BP115" s="42"/>
      <c r="BQ115" s="42"/>
      <c r="BR115" s="44"/>
      <c r="BS115" s="42"/>
      <c r="BT115" s="42"/>
      <c r="BU115" s="43"/>
      <c r="BV115" s="42"/>
      <c r="BW115" s="42"/>
      <c r="BX115" s="42"/>
      <c r="BY115" s="42"/>
      <c r="BZ115" s="42"/>
      <c r="CA115" s="43"/>
      <c r="CB115" s="110"/>
      <c r="CH115" s="818"/>
      <c r="CI115" s="803"/>
      <c r="CJ115" s="44"/>
      <c r="CK115" s="42"/>
      <c r="CL115" s="42"/>
      <c r="CM115" s="42"/>
      <c r="CN115" s="42"/>
      <c r="CO115" s="42"/>
      <c r="CP115" s="42"/>
      <c r="CQ115" s="42"/>
      <c r="CR115" s="42"/>
      <c r="CS115" s="42"/>
      <c r="CT115" s="806"/>
    </row>
    <row r="116" spans="1:98" ht="14.25" customHeight="1">
      <c r="A116" s="18"/>
      <c r="B116" s="26"/>
      <c r="C116" s="26"/>
      <c r="D116" s="44"/>
      <c r="E116" s="44"/>
      <c r="F116" s="44"/>
      <c r="G116" s="45"/>
      <c r="H116" s="44"/>
      <c r="I116" s="44"/>
      <c r="J116" s="44"/>
      <c r="K116" s="45"/>
      <c r="L116" s="44"/>
      <c r="M116" s="44"/>
      <c r="N116" s="44"/>
      <c r="O116" s="45"/>
      <c r="P116" s="44"/>
      <c r="Q116" s="44"/>
      <c r="R116" s="44"/>
      <c r="S116" s="45"/>
      <c r="T116" s="44"/>
      <c r="U116" s="44"/>
      <c r="V116" s="44"/>
      <c r="W116" s="45"/>
      <c r="X116" s="44"/>
      <c r="Y116" s="44"/>
      <c r="Z116" s="44"/>
      <c r="AA116" s="45"/>
      <c r="AB116" s="44"/>
      <c r="AC116" s="44"/>
      <c r="AD116" s="44"/>
      <c r="AE116" s="45"/>
      <c r="AF116" s="44"/>
      <c r="AG116" s="44"/>
      <c r="AH116" s="44"/>
      <c r="AI116" s="45"/>
      <c r="AJ116" s="44"/>
      <c r="AK116" s="44"/>
      <c r="AL116" s="44"/>
      <c r="AM116" s="45"/>
      <c r="AN116" s="44"/>
      <c r="AO116" s="44"/>
      <c r="AP116" s="44"/>
      <c r="AQ116" s="45"/>
      <c r="AR116" s="44"/>
      <c r="AS116" s="44"/>
      <c r="AT116" s="44"/>
      <c r="AU116" s="45"/>
      <c r="AV116" s="44"/>
      <c r="AW116" s="44"/>
      <c r="AX116" s="44"/>
      <c r="AY116" s="45"/>
      <c r="AZ116" s="44"/>
      <c r="BA116" s="44"/>
      <c r="BB116" s="44"/>
      <c r="BC116" s="45"/>
      <c r="BD116" s="44"/>
      <c r="BE116" s="44"/>
      <c r="BF116" s="44"/>
      <c r="BG116" s="45"/>
      <c r="BH116" s="44"/>
      <c r="BI116" s="44"/>
      <c r="BJ116" s="44"/>
      <c r="BK116" s="45"/>
      <c r="BL116" s="109"/>
      <c r="BM116" s="44"/>
      <c r="BN116" s="44"/>
      <c r="BO116" s="44"/>
      <c r="BP116" s="44"/>
      <c r="BQ116" s="44"/>
      <c r="BR116" s="44"/>
      <c r="BS116" s="44"/>
      <c r="BT116" s="44"/>
      <c r="BU116" s="45"/>
      <c r="BV116" s="44"/>
      <c r="BW116" s="44"/>
      <c r="BX116" s="44"/>
      <c r="BY116" s="44"/>
      <c r="BZ116" s="44"/>
      <c r="CA116" s="45"/>
      <c r="CB116" s="110"/>
      <c r="CH116" s="818"/>
      <c r="CI116" s="80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806"/>
    </row>
    <row r="117" spans="1:98" ht="14.25" customHeight="1">
      <c r="G117" s="22"/>
      <c r="K117" s="22"/>
      <c r="O117" s="22"/>
      <c r="S117" s="22"/>
      <c r="W117" s="22"/>
      <c r="AA117" s="22"/>
      <c r="AE117" s="22"/>
      <c r="AI117" s="22"/>
      <c r="AM117" s="22"/>
      <c r="AQ117" s="22"/>
      <c r="AU117" s="22"/>
      <c r="AY117" s="22"/>
      <c r="BC117" s="22"/>
      <c r="BG117" s="22"/>
      <c r="BK117" s="22"/>
      <c r="BL117" s="110"/>
      <c r="BU117" s="22"/>
      <c r="CA117" s="22"/>
      <c r="CB117" s="110"/>
      <c r="CH117" s="818"/>
      <c r="CI117" s="806"/>
      <c r="CT117" s="806"/>
    </row>
    <row r="118" spans="1:98" s="64" customFormat="1" ht="14.25" customHeight="1">
      <c r="A118" s="26"/>
      <c r="B118" s="99" t="s">
        <v>205</v>
      </c>
      <c r="C118" s="100"/>
      <c r="D118" s="94" t="str">
        <f t="shared" ref="D118:AI118" si="289">D6</f>
        <v>1Q06</v>
      </c>
      <c r="E118" s="95" t="str">
        <f t="shared" si="289"/>
        <v>2Q06</v>
      </c>
      <c r="F118" s="95" t="str">
        <f t="shared" si="289"/>
        <v>3Q06</v>
      </c>
      <c r="G118" s="96" t="str">
        <f t="shared" si="289"/>
        <v>4Q06</v>
      </c>
      <c r="H118" s="95" t="str">
        <f t="shared" si="289"/>
        <v>1Q07</v>
      </c>
      <c r="I118" s="95" t="str">
        <f t="shared" si="289"/>
        <v>2Q07</v>
      </c>
      <c r="J118" s="95" t="str">
        <f t="shared" si="289"/>
        <v>3Q07</v>
      </c>
      <c r="K118" s="96" t="str">
        <f t="shared" si="289"/>
        <v>4Q07</v>
      </c>
      <c r="L118" s="95" t="str">
        <f t="shared" si="289"/>
        <v>1Q08</v>
      </c>
      <c r="M118" s="95" t="str">
        <f t="shared" si="289"/>
        <v>2Q08</v>
      </c>
      <c r="N118" s="95" t="str">
        <f t="shared" si="289"/>
        <v>3Q08</v>
      </c>
      <c r="O118" s="96" t="str">
        <f t="shared" si="289"/>
        <v>4Q08</v>
      </c>
      <c r="P118" s="95" t="str">
        <f t="shared" si="289"/>
        <v>1Q09</v>
      </c>
      <c r="Q118" s="95" t="str">
        <f t="shared" si="289"/>
        <v>2Q09</v>
      </c>
      <c r="R118" s="95" t="str">
        <f t="shared" si="289"/>
        <v>3Q09</v>
      </c>
      <c r="S118" s="96" t="str">
        <f t="shared" si="289"/>
        <v>4Q09</v>
      </c>
      <c r="T118" s="95" t="str">
        <f t="shared" si="289"/>
        <v>1Q10</v>
      </c>
      <c r="U118" s="95" t="str">
        <f t="shared" si="289"/>
        <v>2Q10</v>
      </c>
      <c r="V118" s="95" t="str">
        <f t="shared" si="289"/>
        <v>3Q10</v>
      </c>
      <c r="W118" s="96" t="str">
        <f t="shared" si="289"/>
        <v>4Q10</v>
      </c>
      <c r="X118" s="95" t="str">
        <f t="shared" si="289"/>
        <v>1Q11</v>
      </c>
      <c r="Y118" s="95" t="str">
        <f t="shared" si="289"/>
        <v>2Q11</v>
      </c>
      <c r="Z118" s="95" t="str">
        <f t="shared" si="289"/>
        <v>3Q11</v>
      </c>
      <c r="AA118" s="96" t="str">
        <f t="shared" si="289"/>
        <v>4Q11</v>
      </c>
      <c r="AB118" s="95" t="str">
        <f t="shared" si="289"/>
        <v>1Q12</v>
      </c>
      <c r="AC118" s="95" t="str">
        <f t="shared" si="289"/>
        <v>2Q12</v>
      </c>
      <c r="AD118" s="95" t="str">
        <f t="shared" si="289"/>
        <v>3Q12</v>
      </c>
      <c r="AE118" s="96" t="str">
        <f t="shared" si="289"/>
        <v>4Q12</v>
      </c>
      <c r="AF118" s="95" t="str">
        <f t="shared" si="289"/>
        <v>1Q13</v>
      </c>
      <c r="AG118" s="95" t="str">
        <f t="shared" si="289"/>
        <v>2Q13</v>
      </c>
      <c r="AH118" s="95" t="str">
        <f t="shared" si="289"/>
        <v>3Q13</v>
      </c>
      <c r="AI118" s="96" t="str">
        <f t="shared" si="289"/>
        <v>4Q13</v>
      </c>
      <c r="AJ118" s="95" t="str">
        <f t="shared" ref="AJ118:BG118" si="290">AJ6</f>
        <v>1Q14</v>
      </c>
      <c r="AK118" s="95" t="str">
        <f t="shared" si="290"/>
        <v>2Q14</v>
      </c>
      <c r="AL118" s="95" t="str">
        <f t="shared" si="290"/>
        <v>3Q14</v>
      </c>
      <c r="AM118" s="96" t="str">
        <f t="shared" si="290"/>
        <v>4Q14</v>
      </c>
      <c r="AN118" s="95" t="str">
        <f t="shared" si="290"/>
        <v>1Q15</v>
      </c>
      <c r="AO118" s="95" t="str">
        <f t="shared" si="290"/>
        <v>2Q15</v>
      </c>
      <c r="AP118" s="95" t="str">
        <f t="shared" si="290"/>
        <v>3Q15</v>
      </c>
      <c r="AQ118" s="96" t="str">
        <f t="shared" si="290"/>
        <v>4Q15</v>
      </c>
      <c r="AR118" s="95" t="str">
        <f t="shared" si="290"/>
        <v>1Q16</v>
      </c>
      <c r="AS118" s="95" t="str">
        <f t="shared" si="290"/>
        <v>2Q16</v>
      </c>
      <c r="AT118" s="95" t="str">
        <f t="shared" si="290"/>
        <v>3Q16</v>
      </c>
      <c r="AU118" s="96" t="str">
        <f t="shared" si="290"/>
        <v>4Q16</v>
      </c>
      <c r="AV118" s="95" t="str">
        <f t="shared" si="290"/>
        <v>1Q17</v>
      </c>
      <c r="AW118" s="95" t="str">
        <f t="shared" ref="AW118" si="291">AW6</f>
        <v>2Q17</v>
      </c>
      <c r="AX118" s="95" t="str">
        <f t="shared" si="290"/>
        <v>3Q17</v>
      </c>
      <c r="AY118" s="96" t="str">
        <f t="shared" si="290"/>
        <v>4Q17</v>
      </c>
      <c r="AZ118" s="166" t="str">
        <f t="shared" si="290"/>
        <v>1Q18</v>
      </c>
      <c r="BA118" s="97" t="str">
        <f t="shared" si="290"/>
        <v>2Q18e</v>
      </c>
      <c r="BB118" s="97" t="str">
        <f t="shared" si="290"/>
        <v>3Q18e</v>
      </c>
      <c r="BC118" s="98" t="str">
        <f t="shared" si="290"/>
        <v>4Q18e</v>
      </c>
      <c r="BD118" s="97" t="str">
        <f t="shared" si="290"/>
        <v>1Q19e</v>
      </c>
      <c r="BE118" s="97" t="str">
        <f t="shared" si="290"/>
        <v>2Q19e</v>
      </c>
      <c r="BF118" s="97" t="str">
        <f t="shared" si="290"/>
        <v>3Q19e</v>
      </c>
      <c r="BG118" s="98" t="str">
        <f t="shared" si="290"/>
        <v>4Q19e</v>
      </c>
      <c r="BH118" s="97" t="str">
        <f t="shared" ref="BH118:BK118" si="292">BH6</f>
        <v>1Q20e</v>
      </c>
      <c r="BI118" s="97" t="str">
        <f t="shared" si="292"/>
        <v>2Q20e</v>
      </c>
      <c r="BJ118" s="97" t="str">
        <f t="shared" si="292"/>
        <v>3Q20e</v>
      </c>
      <c r="BK118" s="98" t="str">
        <f t="shared" si="292"/>
        <v>4Q20e</v>
      </c>
      <c r="BL118" s="142"/>
      <c r="BM118" s="136" t="str">
        <f t="shared" ref="BM118:CA118" si="293">BM6</f>
        <v>FY2006A</v>
      </c>
      <c r="BN118" s="137" t="str">
        <f t="shared" si="293"/>
        <v>FY2007A</v>
      </c>
      <c r="BO118" s="136" t="str">
        <f t="shared" si="293"/>
        <v>FY2008A</v>
      </c>
      <c r="BP118" s="136" t="str">
        <f t="shared" si="293"/>
        <v>FY2009A</v>
      </c>
      <c r="BQ118" s="138" t="str">
        <f t="shared" si="293"/>
        <v>FY2010A</v>
      </c>
      <c r="BR118" s="138" t="str">
        <f t="shared" si="293"/>
        <v>FY2011A</v>
      </c>
      <c r="BS118" s="138" t="str">
        <f t="shared" si="293"/>
        <v>FY2012A</v>
      </c>
      <c r="BT118" s="138" t="str">
        <f t="shared" si="293"/>
        <v>FY2013A</v>
      </c>
      <c r="BU118" s="139" t="str">
        <f t="shared" si="293"/>
        <v>FY2014E</v>
      </c>
      <c r="BV118" s="97" t="str">
        <f t="shared" si="293"/>
        <v>FY2015</v>
      </c>
      <c r="BW118" s="97" t="str">
        <f t="shared" si="293"/>
        <v>FY2016</v>
      </c>
      <c r="BX118" s="97" t="str">
        <f t="shared" si="293"/>
        <v>FY2017</v>
      </c>
      <c r="BY118" s="97" t="str">
        <f t="shared" si="293"/>
        <v>FY2018E</v>
      </c>
      <c r="BZ118" s="97" t="str">
        <f t="shared" si="293"/>
        <v>FY2019E</v>
      </c>
      <c r="CA118" s="98" t="str">
        <f t="shared" si="293"/>
        <v>FY2020E</v>
      </c>
      <c r="CB118" s="111"/>
      <c r="CH118" s="819"/>
      <c r="CI118" s="793"/>
      <c r="CJ118" s="138"/>
      <c r="CK118" s="138"/>
      <c r="CL118" s="138"/>
      <c r="CM118" s="138"/>
      <c r="CN118" s="138"/>
      <c r="CO118" s="138"/>
      <c r="CP118" s="97"/>
      <c r="CQ118" s="97"/>
      <c r="CR118" s="97"/>
      <c r="CS118" s="97"/>
      <c r="CT118" s="813"/>
    </row>
    <row r="119" spans="1:98" ht="14.25" customHeight="1">
      <c r="B119" s="57" t="str">
        <f>B133</f>
        <v>China</v>
      </c>
      <c r="D119" s="58">
        <v>76.073999999999998</v>
      </c>
      <c r="E119" s="58">
        <v>90.887</v>
      </c>
      <c r="F119" s="58">
        <v>104.351</v>
      </c>
      <c r="G119" s="59">
        <f>365.204-F119-E119-D119</f>
        <v>93.89200000000001</v>
      </c>
      <c r="H119" s="58">
        <v>0</v>
      </c>
      <c r="I119" s="58">
        <v>0</v>
      </c>
      <c r="J119" s="58">
        <v>0</v>
      </c>
      <c r="K119" s="59">
        <f>0-J119-I119-H119</f>
        <v>0</v>
      </c>
      <c r="L119" s="58">
        <v>0</v>
      </c>
      <c r="M119" s="58">
        <v>0</v>
      </c>
      <c r="N119" s="58">
        <v>0</v>
      </c>
      <c r="O119" s="59">
        <f>0-N119-M119-L119</f>
        <v>0</v>
      </c>
      <c r="P119" s="58">
        <v>118</v>
      </c>
      <c r="Q119" s="58">
        <v>123</v>
      </c>
      <c r="R119" s="58">
        <v>393</v>
      </c>
      <c r="S119" s="59">
        <f>635-R119-Q119-P119</f>
        <v>1</v>
      </c>
      <c r="T119" s="58">
        <v>143</v>
      </c>
      <c r="U119" s="58">
        <v>232</v>
      </c>
      <c r="V119" s="58">
        <v>469</v>
      </c>
      <c r="W119" s="59">
        <f>1557-V119-U119-T119</f>
        <v>713</v>
      </c>
      <c r="X119" s="58">
        <v>674</v>
      </c>
      <c r="Y119" s="58">
        <v>741</v>
      </c>
      <c r="Z119" s="58">
        <v>751</v>
      </c>
      <c r="AA119" s="59">
        <v>408</v>
      </c>
      <c r="AB119" s="58">
        <v>180</v>
      </c>
      <c r="AC119" s="58">
        <v>157</v>
      </c>
      <c r="AD119" s="58">
        <v>254</v>
      </c>
      <c r="AE119" s="59">
        <v>192</v>
      </c>
      <c r="AF119" s="58">
        <v>127</v>
      </c>
      <c r="AG119" s="58">
        <v>183</v>
      </c>
      <c r="AH119" s="58">
        <v>273</v>
      </c>
      <c r="AI119" s="59">
        <v>204</v>
      </c>
      <c r="AJ119" s="58">
        <v>589</v>
      </c>
      <c r="AK119" s="58">
        <v>428</v>
      </c>
      <c r="AL119" s="58">
        <v>288</v>
      </c>
      <c r="AM119" s="129">
        <f>1608-SUM(AJ119:AL119)</f>
        <v>303</v>
      </c>
      <c r="AN119" s="58">
        <v>388</v>
      </c>
      <c r="AO119" s="58">
        <v>434</v>
      </c>
      <c r="AP119" s="58">
        <v>282</v>
      </c>
      <c r="AQ119" s="637">
        <v>450</v>
      </c>
      <c r="AR119" s="58">
        <v>495</v>
      </c>
      <c r="AS119" s="58">
        <v>752</v>
      </c>
      <c r="AT119" s="58">
        <v>571</v>
      </c>
      <c r="AU119" s="637">
        <v>441</v>
      </c>
      <c r="AV119" s="58">
        <v>647</v>
      </c>
      <c r="AW119" s="58">
        <v>728</v>
      </c>
      <c r="AX119" s="58">
        <v>774</v>
      </c>
      <c r="AY119" s="637">
        <v>597</v>
      </c>
      <c r="AZ119" s="58">
        <v>917</v>
      </c>
      <c r="BA119" s="58"/>
      <c r="BB119" s="61"/>
      <c r="BC119" s="60"/>
      <c r="BD119" s="58"/>
      <c r="BE119" s="58"/>
      <c r="BF119" s="61"/>
      <c r="BG119" s="60"/>
      <c r="BH119" s="58"/>
      <c r="BI119" s="58"/>
      <c r="BJ119" s="61"/>
      <c r="BK119" s="60"/>
      <c r="BL119" s="110"/>
      <c r="BM119" s="62"/>
      <c r="BN119" s="62">
        <f t="shared" ref="BN119:BN125" si="294">SUM(H119:K119)</f>
        <v>0</v>
      </c>
      <c r="BO119" s="62">
        <f t="shared" ref="BO119:BO125" si="295">SUM(L119:O119)</f>
        <v>0</v>
      </c>
      <c r="BP119" s="62">
        <f t="shared" ref="BP119:BP125" si="296">SUM(P119:S119)</f>
        <v>635</v>
      </c>
      <c r="BQ119" s="63">
        <f t="shared" ref="BQ119:BQ125" si="297">SUM(T119:W119)</f>
        <v>1557</v>
      </c>
      <c r="BR119" s="63">
        <f t="shared" ref="BR119:BR125" si="298">SUM(X119:AA119)</f>
        <v>2574</v>
      </c>
      <c r="BS119" s="63">
        <f t="shared" ref="BS119:BS125" si="299">SUM(AB119:AE119)</f>
        <v>783</v>
      </c>
      <c r="BT119" s="34">
        <f t="shared" ref="BT119:BT125" si="300">SUM(AF119:AI119)</f>
        <v>787</v>
      </c>
      <c r="BU119" s="120">
        <f t="shared" ref="BU119:BU125" si="301">SUM(AJ119:AM119)</f>
        <v>1608</v>
      </c>
      <c r="BV119" s="63"/>
      <c r="BW119" s="63"/>
      <c r="BX119" s="63"/>
      <c r="BY119" s="63"/>
      <c r="BZ119" s="125"/>
      <c r="CA119" s="120"/>
      <c r="CB119" s="110"/>
      <c r="CH119" s="818"/>
      <c r="CI119" s="807"/>
      <c r="CJ119" s="63"/>
      <c r="CK119" s="63"/>
      <c r="CL119" s="63"/>
      <c r="CM119" s="63"/>
      <c r="CN119" s="63"/>
      <c r="CO119" s="63"/>
      <c r="CP119" s="63"/>
      <c r="CQ119" s="63"/>
      <c r="CR119" s="125"/>
      <c r="CS119" s="63"/>
      <c r="CT119" s="806"/>
    </row>
    <row r="120" spans="1:98" ht="14.25" customHeight="1">
      <c r="B120" s="57" t="str">
        <f>B134</f>
        <v>Taiwan</v>
      </c>
      <c r="D120" s="58">
        <v>0</v>
      </c>
      <c r="E120" s="58">
        <v>0</v>
      </c>
      <c r="F120" s="58">
        <v>0</v>
      </c>
      <c r="G120" s="59">
        <f>0-F120-E120-D120</f>
        <v>0</v>
      </c>
      <c r="H120" s="58">
        <v>583</v>
      </c>
      <c r="I120" s="58">
        <v>627</v>
      </c>
      <c r="J120" s="58">
        <v>895</v>
      </c>
      <c r="K120" s="59">
        <f>2679-J120-I120-H120</f>
        <v>574</v>
      </c>
      <c r="L120" s="58">
        <v>616</v>
      </c>
      <c r="M120" s="58">
        <v>519</v>
      </c>
      <c r="N120" s="58">
        <v>316</v>
      </c>
      <c r="O120" s="59">
        <f>1837-N120-M120-L120</f>
        <v>386</v>
      </c>
      <c r="P120" s="58">
        <v>144</v>
      </c>
      <c r="Q120" s="58">
        <v>162</v>
      </c>
      <c r="R120" s="58">
        <v>116</v>
      </c>
      <c r="S120" s="59">
        <f>1026-R120-Q120-P120</f>
        <v>604</v>
      </c>
      <c r="T120" s="58">
        <v>514</v>
      </c>
      <c r="U120" s="58">
        <v>699</v>
      </c>
      <c r="V120" s="58">
        <v>707</v>
      </c>
      <c r="W120" s="59">
        <f>2750-V120-U120-T120</f>
        <v>830</v>
      </c>
      <c r="X120" s="58">
        <v>635</v>
      </c>
      <c r="Y120" s="58">
        <v>650</v>
      </c>
      <c r="Z120" s="58">
        <v>454</v>
      </c>
      <c r="AA120" s="59">
        <v>353</v>
      </c>
      <c r="AB120" s="58">
        <v>489</v>
      </c>
      <c r="AC120" s="58">
        <v>654</v>
      </c>
      <c r="AD120" s="58">
        <v>811</v>
      </c>
      <c r="AE120" s="59">
        <v>457</v>
      </c>
      <c r="AF120" s="58">
        <v>565</v>
      </c>
      <c r="AG120" s="58">
        <v>828</v>
      </c>
      <c r="AH120" s="58">
        <v>658</v>
      </c>
      <c r="AI120" s="59">
        <v>589</v>
      </c>
      <c r="AJ120" s="58">
        <v>705</v>
      </c>
      <c r="AK120" s="58">
        <v>781</v>
      </c>
      <c r="AL120" s="58">
        <v>598</v>
      </c>
      <c r="AM120" s="130">
        <f>2702-SUM(AJ120:AL120)</f>
        <v>618</v>
      </c>
      <c r="AN120" s="58">
        <v>519</v>
      </c>
      <c r="AO120" s="58">
        <v>461</v>
      </c>
      <c r="AP120" s="58">
        <v>751</v>
      </c>
      <c r="AQ120" s="638">
        <v>651</v>
      </c>
      <c r="AR120" s="58">
        <v>637</v>
      </c>
      <c r="AS120" s="58">
        <v>311</v>
      </c>
      <c r="AT120" s="58">
        <v>741</v>
      </c>
      <c r="AU120" s="638">
        <v>1154</v>
      </c>
      <c r="AV120" s="58">
        <v>1103</v>
      </c>
      <c r="AW120" s="58">
        <v>863</v>
      </c>
      <c r="AX120" s="58">
        <v>607</v>
      </c>
      <c r="AY120" s="638">
        <v>718</v>
      </c>
      <c r="AZ120" s="58">
        <v>756</v>
      </c>
      <c r="BA120" s="58"/>
      <c r="BB120" s="61"/>
      <c r="BC120" s="60"/>
      <c r="BD120" s="58"/>
      <c r="BE120" s="58"/>
      <c r="BF120" s="61"/>
      <c r="BG120" s="60"/>
      <c r="BH120" s="58"/>
      <c r="BI120" s="58"/>
      <c r="BJ120" s="61"/>
      <c r="BK120" s="60"/>
      <c r="BL120" s="110"/>
      <c r="BM120" s="62"/>
      <c r="BN120" s="62">
        <f t="shared" si="294"/>
        <v>2679</v>
      </c>
      <c r="BO120" s="62">
        <f t="shared" si="295"/>
        <v>1837</v>
      </c>
      <c r="BP120" s="62">
        <f t="shared" si="296"/>
        <v>1026</v>
      </c>
      <c r="BQ120" s="63">
        <f t="shared" si="297"/>
        <v>2750</v>
      </c>
      <c r="BR120" s="63">
        <f t="shared" si="298"/>
        <v>2092</v>
      </c>
      <c r="BS120" s="63">
        <f t="shared" si="299"/>
        <v>2411</v>
      </c>
      <c r="BT120" s="63">
        <f t="shared" si="300"/>
        <v>2640</v>
      </c>
      <c r="BU120" s="120">
        <f t="shared" si="301"/>
        <v>2702</v>
      </c>
      <c r="BV120" s="63"/>
      <c r="BW120" s="63"/>
      <c r="BX120" s="63"/>
      <c r="BY120" s="63"/>
      <c r="BZ120" s="63"/>
      <c r="CA120" s="120"/>
      <c r="CB120" s="110"/>
      <c r="CH120" s="818"/>
      <c r="CI120" s="807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806"/>
    </row>
    <row r="121" spans="1:98" ht="14.25" customHeight="1">
      <c r="B121" s="57" t="str">
        <f>B138</f>
        <v>Japan</v>
      </c>
      <c r="D121" s="58">
        <v>0</v>
      </c>
      <c r="E121" s="58">
        <v>0</v>
      </c>
      <c r="F121" s="58">
        <v>0</v>
      </c>
      <c r="G121" s="59">
        <f>0-F121-E121-D121</f>
        <v>0</v>
      </c>
      <c r="H121" s="58">
        <v>261</v>
      </c>
      <c r="I121" s="58">
        <v>466</v>
      </c>
      <c r="J121" s="58">
        <v>337</v>
      </c>
      <c r="K121" s="59">
        <f>1493-J121-I121-H121</f>
        <v>429</v>
      </c>
      <c r="L121" s="58">
        <v>318</v>
      </c>
      <c r="M121" s="58">
        <v>363</v>
      </c>
      <c r="N121" s="58">
        <v>262</v>
      </c>
      <c r="O121" s="59">
        <f>1218-N121-M121-L121</f>
        <v>275</v>
      </c>
      <c r="P121" s="58">
        <v>216</v>
      </c>
      <c r="Q121" s="58">
        <v>155</v>
      </c>
      <c r="R121" s="58">
        <v>129</v>
      </c>
      <c r="S121" s="59">
        <f>718-R121-Q121-P121</f>
        <v>218</v>
      </c>
      <c r="T121" s="58">
        <v>174</v>
      </c>
      <c r="U121" s="58">
        <v>233</v>
      </c>
      <c r="V121" s="58">
        <v>203</v>
      </c>
      <c r="W121" s="59">
        <f>768-V121-U121-T121</f>
        <v>158</v>
      </c>
      <c r="X121" s="58">
        <v>166</v>
      </c>
      <c r="Y121" s="58">
        <v>208</v>
      </c>
      <c r="Z121" s="58">
        <v>432</v>
      </c>
      <c r="AA121" s="59">
        <v>255</v>
      </c>
      <c r="AB121" s="58">
        <v>217</v>
      </c>
      <c r="AC121" s="58">
        <v>169</v>
      </c>
      <c r="AD121" s="58">
        <v>189</v>
      </c>
      <c r="AE121" s="59">
        <v>129</v>
      </c>
      <c r="AF121" s="58">
        <v>98</v>
      </c>
      <c r="AG121" s="58">
        <v>157</v>
      </c>
      <c r="AH121" s="58">
        <v>154</v>
      </c>
      <c r="AI121" s="59">
        <v>276</v>
      </c>
      <c r="AJ121" s="58">
        <v>164</v>
      </c>
      <c r="AK121" s="58">
        <v>215</v>
      </c>
      <c r="AL121" s="58">
        <v>229</v>
      </c>
      <c r="AM121" s="130">
        <f>817-SUM(AJ121:AL121)</f>
        <v>209</v>
      </c>
      <c r="AN121" s="58">
        <v>231</v>
      </c>
      <c r="AO121" s="58">
        <v>274</v>
      </c>
      <c r="AP121" s="58">
        <v>271</v>
      </c>
      <c r="AQ121" s="638">
        <v>256</v>
      </c>
      <c r="AR121" s="58">
        <v>334</v>
      </c>
      <c r="AS121" s="58">
        <v>260</v>
      </c>
      <c r="AT121" s="58">
        <v>321</v>
      </c>
      <c r="AU121" s="638">
        <v>364</v>
      </c>
      <c r="AV121" s="58">
        <v>235</v>
      </c>
      <c r="AW121" s="58">
        <v>332</v>
      </c>
      <c r="AX121" s="58">
        <v>444</v>
      </c>
      <c r="AY121" s="638">
        <v>507</v>
      </c>
      <c r="AZ121" s="58">
        <v>481</v>
      </c>
      <c r="BA121" s="58"/>
      <c r="BB121" s="61"/>
      <c r="BC121" s="60"/>
      <c r="BD121" s="58"/>
      <c r="BE121" s="58"/>
      <c r="BF121" s="61"/>
      <c r="BG121" s="60"/>
      <c r="BH121" s="58"/>
      <c r="BI121" s="58"/>
      <c r="BJ121" s="61"/>
      <c r="BK121" s="60"/>
      <c r="BL121" s="110"/>
      <c r="BM121" s="62"/>
      <c r="BN121" s="62">
        <f t="shared" si="294"/>
        <v>1493</v>
      </c>
      <c r="BO121" s="62">
        <f t="shared" si="295"/>
        <v>1218</v>
      </c>
      <c r="BP121" s="62">
        <f t="shared" si="296"/>
        <v>718</v>
      </c>
      <c r="BQ121" s="63">
        <f t="shared" si="297"/>
        <v>768</v>
      </c>
      <c r="BR121" s="63">
        <f t="shared" si="298"/>
        <v>1061</v>
      </c>
      <c r="BS121" s="63">
        <f t="shared" si="299"/>
        <v>704</v>
      </c>
      <c r="BT121" s="63">
        <f t="shared" si="300"/>
        <v>685</v>
      </c>
      <c r="BU121" s="120">
        <f t="shared" si="301"/>
        <v>817</v>
      </c>
      <c r="BV121" s="63"/>
      <c r="BW121" s="63"/>
      <c r="BX121" s="63"/>
      <c r="BY121" s="63"/>
      <c r="BZ121" s="63"/>
      <c r="CA121" s="120"/>
      <c r="CB121" s="110"/>
      <c r="CH121" s="818"/>
      <c r="CI121" s="807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806"/>
    </row>
    <row r="122" spans="1:98" ht="14.25" customHeight="1">
      <c r="B122" s="57" t="str">
        <f>B139</f>
        <v>Korea</v>
      </c>
      <c r="D122" s="58">
        <v>27.97</v>
      </c>
      <c r="E122" s="58">
        <v>29.081</v>
      </c>
      <c r="F122" s="58">
        <v>9.923</v>
      </c>
      <c r="G122" s="59">
        <f>75.999-F122-E122-D122</f>
        <v>9.0249999999999915</v>
      </c>
      <c r="H122" s="58">
        <v>475</v>
      </c>
      <c r="I122" s="58">
        <v>501</v>
      </c>
      <c r="J122" s="58">
        <v>397</v>
      </c>
      <c r="K122" s="59">
        <f>1847-J122-I122-H122</f>
        <v>474</v>
      </c>
      <c r="L122" s="58">
        <v>203</v>
      </c>
      <c r="M122" s="58">
        <v>430</v>
      </c>
      <c r="N122" s="58">
        <v>348</v>
      </c>
      <c r="O122" s="59">
        <f>1309-N122-M122-L122</f>
        <v>328</v>
      </c>
      <c r="P122" s="58">
        <v>187</v>
      </c>
      <c r="Q122" s="58">
        <v>96</v>
      </c>
      <c r="R122" s="58">
        <v>130</v>
      </c>
      <c r="S122" s="59">
        <f>664-R122-Q122-P122</f>
        <v>251</v>
      </c>
      <c r="T122" s="58">
        <v>331</v>
      </c>
      <c r="U122" s="58">
        <v>632</v>
      </c>
      <c r="V122" s="58">
        <v>398</v>
      </c>
      <c r="W122" s="59">
        <f>1768-V122-U122-T122</f>
        <v>407</v>
      </c>
      <c r="X122" s="58">
        <v>169</v>
      </c>
      <c r="Y122" s="58">
        <v>299</v>
      </c>
      <c r="Z122" s="58">
        <v>284</v>
      </c>
      <c r="AA122" s="59">
        <v>363</v>
      </c>
      <c r="AB122" s="58">
        <v>628</v>
      </c>
      <c r="AC122" s="58">
        <v>750</v>
      </c>
      <c r="AD122" s="58">
        <v>392</v>
      </c>
      <c r="AE122" s="59">
        <v>127</v>
      </c>
      <c r="AF122" s="58">
        <v>205</v>
      </c>
      <c r="AG122" s="58">
        <v>226</v>
      </c>
      <c r="AH122" s="58">
        <v>262</v>
      </c>
      <c r="AI122" s="59">
        <v>231</v>
      </c>
      <c r="AJ122" s="58">
        <v>201</v>
      </c>
      <c r="AK122" s="58">
        <v>351</v>
      </c>
      <c r="AL122" s="58">
        <v>226</v>
      </c>
      <c r="AM122" s="130">
        <f>965-SUM(AJ122:AL122)</f>
        <v>187</v>
      </c>
      <c r="AN122" s="58">
        <v>464</v>
      </c>
      <c r="AO122" s="58">
        <v>536</v>
      </c>
      <c r="AP122" s="58">
        <v>308</v>
      </c>
      <c r="AQ122" s="638">
        <v>216</v>
      </c>
      <c r="AR122" s="58">
        <v>273</v>
      </c>
      <c r="AS122" s="58">
        <v>506</v>
      </c>
      <c r="AT122" s="58">
        <v>472</v>
      </c>
      <c r="AU122" s="638">
        <v>632</v>
      </c>
      <c r="AV122" s="58">
        <v>670</v>
      </c>
      <c r="AW122" s="58">
        <v>942</v>
      </c>
      <c r="AX122" s="58">
        <v>1265</v>
      </c>
      <c r="AY122" s="638">
        <v>1175</v>
      </c>
      <c r="AZ122" s="58">
        <v>1230</v>
      </c>
      <c r="BA122" s="58"/>
      <c r="BB122" s="61"/>
      <c r="BC122" s="60"/>
      <c r="BD122" s="58"/>
      <c r="BE122" s="58"/>
      <c r="BF122" s="61"/>
      <c r="BG122" s="60"/>
      <c r="BH122" s="58"/>
      <c r="BI122" s="58"/>
      <c r="BJ122" s="61"/>
      <c r="BK122" s="60"/>
      <c r="BL122" s="110"/>
      <c r="BM122" s="62"/>
      <c r="BN122" s="62">
        <f t="shared" si="294"/>
        <v>1847</v>
      </c>
      <c r="BO122" s="62">
        <f t="shared" si="295"/>
        <v>1309</v>
      </c>
      <c r="BP122" s="62">
        <f t="shared" si="296"/>
        <v>664</v>
      </c>
      <c r="BQ122" s="63">
        <f t="shared" si="297"/>
        <v>1768</v>
      </c>
      <c r="BR122" s="63">
        <f t="shared" si="298"/>
        <v>1115</v>
      </c>
      <c r="BS122" s="63">
        <f t="shared" si="299"/>
        <v>1897</v>
      </c>
      <c r="BT122" s="63">
        <f t="shared" si="300"/>
        <v>924</v>
      </c>
      <c r="BU122" s="120">
        <f t="shared" si="301"/>
        <v>965</v>
      </c>
      <c r="BV122" s="63"/>
      <c r="BW122" s="63"/>
      <c r="BX122" s="63"/>
      <c r="BY122" s="63"/>
      <c r="BZ122" s="63"/>
      <c r="CA122" s="120"/>
      <c r="CB122" s="110"/>
      <c r="CH122" s="818"/>
      <c r="CI122" s="807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806"/>
    </row>
    <row r="123" spans="1:98" ht="14.25" customHeight="1">
      <c r="B123" s="57" t="str">
        <f>B140</f>
        <v>Southeast Asia</v>
      </c>
      <c r="D123" s="58">
        <v>2.4929999999999999</v>
      </c>
      <c r="E123" s="58">
        <v>1.2589999999999999</v>
      </c>
      <c r="F123" s="58">
        <v>0.309</v>
      </c>
      <c r="G123" s="59">
        <f>5.141-F123-E123-D123</f>
        <v>1.08</v>
      </c>
      <c r="H123" s="58">
        <v>237</v>
      </c>
      <c r="I123" s="58">
        <v>391</v>
      </c>
      <c r="J123" s="58">
        <v>343</v>
      </c>
      <c r="K123" s="59">
        <f>1206-J123-I123-H123</f>
        <v>235</v>
      </c>
      <c r="L123" s="58">
        <v>246</v>
      </c>
      <c r="M123" s="58">
        <v>332</v>
      </c>
      <c r="N123" s="58">
        <v>442</v>
      </c>
      <c r="O123" s="59">
        <f>1296-N123-M123-L123</f>
        <v>276</v>
      </c>
      <c r="P123" s="58">
        <v>88</v>
      </c>
      <c r="Q123" s="58">
        <v>41</v>
      </c>
      <c r="R123" s="58">
        <v>53</v>
      </c>
      <c r="S123" s="59">
        <f>252-R123-Q123-P123</f>
        <v>70</v>
      </c>
      <c r="T123" s="58">
        <v>136</v>
      </c>
      <c r="U123" s="58">
        <v>105</v>
      </c>
      <c r="V123" s="58">
        <v>162</v>
      </c>
      <c r="W123" s="59">
        <f>578-V123-U123-T123</f>
        <v>175</v>
      </c>
      <c r="X123" s="58">
        <v>154</v>
      </c>
      <c r="Y123" s="58">
        <v>185</v>
      </c>
      <c r="Z123" s="58">
        <v>156</v>
      </c>
      <c r="AA123" s="59">
        <v>98</v>
      </c>
      <c r="AB123" s="58">
        <v>79</v>
      </c>
      <c r="AC123" s="58">
        <v>64</v>
      </c>
      <c r="AD123" s="58">
        <v>72</v>
      </c>
      <c r="AE123" s="59">
        <v>97</v>
      </c>
      <c r="AF123" s="58">
        <v>58</v>
      </c>
      <c r="AG123" s="58">
        <v>73</v>
      </c>
      <c r="AH123" s="58">
        <v>100</v>
      </c>
      <c r="AI123" s="59">
        <v>89</v>
      </c>
      <c r="AJ123" s="58">
        <v>87</v>
      </c>
      <c r="AK123" s="58">
        <v>52</v>
      </c>
      <c r="AL123" s="58">
        <v>81</v>
      </c>
      <c r="AM123" s="130">
        <f>356-SUM(AJ123:AL123)</f>
        <v>136</v>
      </c>
      <c r="AN123" s="58">
        <v>85</v>
      </c>
      <c r="AO123" s="58">
        <v>96</v>
      </c>
      <c r="AP123" s="58">
        <v>94</v>
      </c>
      <c r="AQ123" s="638">
        <v>131</v>
      </c>
      <c r="AR123" s="58">
        <v>87</v>
      </c>
      <c r="AS123" s="58">
        <v>252</v>
      </c>
      <c r="AT123" s="58">
        <v>303</v>
      </c>
      <c r="AU123" s="638">
        <v>161</v>
      </c>
      <c r="AV123" s="58">
        <v>97</v>
      </c>
      <c r="AW123" s="58">
        <v>109</v>
      </c>
      <c r="AX123" s="58">
        <v>104</v>
      </c>
      <c r="AY123" s="638">
        <v>330</v>
      </c>
      <c r="AZ123" s="58">
        <v>185</v>
      </c>
      <c r="BA123" s="58"/>
      <c r="BB123" s="61"/>
      <c r="BC123" s="60"/>
      <c r="BD123" s="58"/>
      <c r="BE123" s="58"/>
      <c r="BF123" s="61"/>
      <c r="BG123" s="60"/>
      <c r="BH123" s="58"/>
      <c r="BI123" s="58"/>
      <c r="BJ123" s="61"/>
      <c r="BK123" s="60"/>
      <c r="BL123" s="110"/>
      <c r="BM123" s="62"/>
      <c r="BN123" s="62">
        <f t="shared" si="294"/>
        <v>1206</v>
      </c>
      <c r="BO123" s="62">
        <f t="shared" si="295"/>
        <v>1296</v>
      </c>
      <c r="BP123" s="62">
        <f t="shared" si="296"/>
        <v>252</v>
      </c>
      <c r="BQ123" s="63">
        <f t="shared" si="297"/>
        <v>578</v>
      </c>
      <c r="BR123" s="63">
        <f t="shared" si="298"/>
        <v>593</v>
      </c>
      <c r="BS123" s="63">
        <f t="shared" si="299"/>
        <v>312</v>
      </c>
      <c r="BT123" s="63">
        <f t="shared" si="300"/>
        <v>320</v>
      </c>
      <c r="BU123" s="120">
        <f t="shared" si="301"/>
        <v>356</v>
      </c>
      <c r="BV123" s="63"/>
      <c r="BW123" s="63"/>
      <c r="BX123" s="63"/>
      <c r="BY123" s="63"/>
      <c r="BZ123" s="63"/>
      <c r="CA123" s="120"/>
      <c r="CB123" s="110"/>
      <c r="CH123" s="818"/>
      <c r="CI123" s="807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806"/>
    </row>
    <row r="124" spans="1:98" ht="14.25" customHeight="1">
      <c r="B124" s="57" t="str">
        <f>B135</f>
        <v>North America</v>
      </c>
      <c r="D124" s="58">
        <v>0</v>
      </c>
      <c r="E124" s="58">
        <v>0</v>
      </c>
      <c r="F124" s="58">
        <v>0</v>
      </c>
      <c r="G124" s="59">
        <f>0-F124-E124-D124</f>
        <v>0</v>
      </c>
      <c r="H124" s="58">
        <v>467</v>
      </c>
      <c r="I124" s="58">
        <v>369</v>
      </c>
      <c r="J124" s="58">
        <v>342</v>
      </c>
      <c r="K124" s="59">
        <f>1554-J124-I124-H124</f>
        <v>376</v>
      </c>
      <c r="L124" s="58">
        <v>488</v>
      </c>
      <c r="M124" s="58">
        <v>341</v>
      </c>
      <c r="N124" s="58">
        <v>276</v>
      </c>
      <c r="O124" s="59">
        <f>1520-N124-M124-L124</f>
        <v>415</v>
      </c>
      <c r="P124" s="58">
        <v>383</v>
      </c>
      <c r="Q124" s="58">
        <v>212</v>
      </c>
      <c r="R124" s="58">
        <v>139</v>
      </c>
      <c r="S124" s="59">
        <f>966-R124-Q124-P124</f>
        <v>232</v>
      </c>
      <c r="T124" s="58">
        <v>241</v>
      </c>
      <c r="U124" s="58">
        <v>230</v>
      </c>
      <c r="V124" s="58">
        <v>294</v>
      </c>
      <c r="W124" s="59">
        <f>1147-V124-U124-T124</f>
        <v>382</v>
      </c>
      <c r="X124" s="58">
        <v>610</v>
      </c>
      <c r="Y124" s="58">
        <v>467</v>
      </c>
      <c r="Z124" s="58">
        <v>451</v>
      </c>
      <c r="AA124" s="59">
        <v>434</v>
      </c>
      <c r="AB124" s="58">
        <v>417</v>
      </c>
      <c r="AC124" s="58">
        <v>518</v>
      </c>
      <c r="AD124" s="58">
        <v>441</v>
      </c>
      <c r="AE124" s="59">
        <v>373</v>
      </c>
      <c r="AF124" s="58">
        <v>401</v>
      </c>
      <c r="AG124" s="58">
        <v>362</v>
      </c>
      <c r="AH124" s="58">
        <v>353</v>
      </c>
      <c r="AI124" s="59">
        <v>357</v>
      </c>
      <c r="AJ124" s="58">
        <v>280</v>
      </c>
      <c r="AK124" s="58">
        <v>370</v>
      </c>
      <c r="AL124" s="58">
        <v>683</v>
      </c>
      <c r="AM124" s="130">
        <f>1966-SUM(AJ124:AL124)</f>
        <v>633</v>
      </c>
      <c r="AN124" s="58">
        <v>529</v>
      </c>
      <c r="AO124" s="58">
        <v>472</v>
      </c>
      <c r="AP124" s="58">
        <v>650</v>
      </c>
      <c r="AQ124" s="638">
        <v>524</v>
      </c>
      <c r="AR124" s="58">
        <v>293</v>
      </c>
      <c r="AS124" s="58">
        <v>272</v>
      </c>
      <c r="AT124" s="58">
        <v>289</v>
      </c>
      <c r="AU124" s="638">
        <v>289</v>
      </c>
      <c r="AV124" s="58">
        <v>317</v>
      </c>
      <c r="AW124" s="58">
        <v>383</v>
      </c>
      <c r="AX124" s="58">
        <v>359</v>
      </c>
      <c r="AY124" s="638">
        <v>415</v>
      </c>
      <c r="AZ124" s="58">
        <v>371</v>
      </c>
      <c r="BA124" s="58"/>
      <c r="BB124" s="61"/>
      <c r="BC124" s="60"/>
      <c r="BD124" s="58"/>
      <c r="BE124" s="58"/>
      <c r="BF124" s="61"/>
      <c r="BG124" s="60"/>
      <c r="BH124" s="58"/>
      <c r="BI124" s="58"/>
      <c r="BJ124" s="61"/>
      <c r="BK124" s="60"/>
      <c r="BL124" s="110"/>
      <c r="BM124" s="62"/>
      <c r="BN124" s="62">
        <f t="shared" si="294"/>
        <v>1554</v>
      </c>
      <c r="BO124" s="62">
        <f t="shared" si="295"/>
        <v>1520</v>
      </c>
      <c r="BP124" s="62">
        <f t="shared" si="296"/>
        <v>966</v>
      </c>
      <c r="BQ124" s="63">
        <f t="shared" si="297"/>
        <v>1147</v>
      </c>
      <c r="BR124" s="63">
        <f t="shared" si="298"/>
        <v>1962</v>
      </c>
      <c r="BS124" s="63">
        <f t="shared" si="299"/>
        <v>1749</v>
      </c>
      <c r="BT124" s="63">
        <f t="shared" si="300"/>
        <v>1473</v>
      </c>
      <c r="BU124" s="120">
        <f t="shared" si="301"/>
        <v>1966</v>
      </c>
      <c r="BV124" s="63"/>
      <c r="BW124" s="63"/>
      <c r="BX124" s="63"/>
      <c r="BY124" s="63"/>
      <c r="BZ124" s="63"/>
      <c r="CA124" s="120"/>
      <c r="CB124" s="110"/>
      <c r="CH124" s="818"/>
      <c r="CI124" s="807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806"/>
    </row>
    <row r="125" spans="1:98" ht="14.25" customHeight="1">
      <c r="B125" s="57" t="str">
        <f>B136</f>
        <v>Europe</v>
      </c>
      <c r="D125" s="58">
        <f>14.242+13.088+3.008</f>
        <v>30.337999999999997</v>
      </c>
      <c r="E125" s="58">
        <f>7.287+4.855+4.287</f>
        <v>16.428999999999998</v>
      </c>
      <c r="F125" s="58">
        <v>19.797999999999998</v>
      </c>
      <c r="G125" s="59">
        <f>35.684+31.387+9.809+4.919-F125-E125-D125</f>
        <v>15.233999999999991</v>
      </c>
      <c r="H125" s="58">
        <v>254</v>
      </c>
      <c r="I125" s="58">
        <v>176</v>
      </c>
      <c r="J125" s="58">
        <v>247</v>
      </c>
      <c r="K125" s="59">
        <f>956-J125-I125-H125</f>
        <v>279</v>
      </c>
      <c r="L125" s="58">
        <v>216</v>
      </c>
      <c r="M125" s="58">
        <v>165</v>
      </c>
      <c r="N125" s="58">
        <v>204</v>
      </c>
      <c r="O125" s="59">
        <f>949-N125-M125-L125</f>
        <v>364</v>
      </c>
      <c r="P125" s="58">
        <v>197</v>
      </c>
      <c r="Q125" s="58">
        <v>231</v>
      </c>
      <c r="R125" s="58">
        <v>174</v>
      </c>
      <c r="S125" s="59">
        <f>753-R125-Q125-P125</f>
        <v>151</v>
      </c>
      <c r="T125" s="58">
        <v>310</v>
      </c>
      <c r="U125" s="58">
        <v>165</v>
      </c>
      <c r="V125" s="58">
        <v>285</v>
      </c>
      <c r="W125" s="59">
        <f>981-V125-U125-T125</f>
        <v>221</v>
      </c>
      <c r="X125" s="58">
        <v>278</v>
      </c>
      <c r="Y125" s="58">
        <v>312</v>
      </c>
      <c r="Z125" s="58">
        <v>259</v>
      </c>
      <c r="AA125" s="59">
        <v>271</v>
      </c>
      <c r="AB125" s="58">
        <v>179</v>
      </c>
      <c r="AC125" s="58">
        <v>229</v>
      </c>
      <c r="AD125" s="58">
        <v>184</v>
      </c>
      <c r="AE125" s="59">
        <v>271</v>
      </c>
      <c r="AF125" s="58">
        <v>119</v>
      </c>
      <c r="AG125" s="58">
        <v>144</v>
      </c>
      <c r="AH125" s="58">
        <v>175</v>
      </c>
      <c r="AI125" s="59">
        <v>242</v>
      </c>
      <c r="AJ125" s="58">
        <v>164</v>
      </c>
      <c r="AK125" s="58">
        <v>156</v>
      </c>
      <c r="AL125" s="58">
        <v>160</v>
      </c>
      <c r="AM125" s="130">
        <f>658-SUM(AJ125:AL125)</f>
        <v>178</v>
      </c>
      <c r="AN125" s="58">
        <v>143</v>
      </c>
      <c r="AO125" s="58">
        <v>169</v>
      </c>
      <c r="AP125" s="58">
        <v>134</v>
      </c>
      <c r="AQ125" s="638">
        <v>140</v>
      </c>
      <c r="AR125" s="58">
        <v>138</v>
      </c>
      <c r="AS125" s="58">
        <v>97</v>
      </c>
      <c r="AT125" s="58">
        <v>124</v>
      </c>
      <c r="AU125" s="638">
        <v>256</v>
      </c>
      <c r="AV125" s="58">
        <v>209</v>
      </c>
      <c r="AW125" s="58">
        <v>189</v>
      </c>
      <c r="AX125" s="58">
        <v>191</v>
      </c>
      <c r="AY125" s="638">
        <v>227</v>
      </c>
      <c r="AZ125" s="58">
        <v>264</v>
      </c>
      <c r="BA125" s="58"/>
      <c r="BB125" s="61"/>
      <c r="BC125" s="60"/>
      <c r="BD125" s="58"/>
      <c r="BE125" s="58"/>
      <c r="BF125" s="61"/>
      <c r="BG125" s="60"/>
      <c r="BH125" s="58"/>
      <c r="BI125" s="58"/>
      <c r="BJ125" s="61"/>
      <c r="BK125" s="60"/>
      <c r="BL125" s="110"/>
      <c r="BM125" s="62"/>
      <c r="BN125" s="62">
        <f t="shared" si="294"/>
        <v>956</v>
      </c>
      <c r="BO125" s="62">
        <f t="shared" si="295"/>
        <v>949</v>
      </c>
      <c r="BP125" s="62">
        <f t="shared" si="296"/>
        <v>753</v>
      </c>
      <c r="BQ125" s="63">
        <f t="shared" si="297"/>
        <v>981</v>
      </c>
      <c r="BR125" s="63">
        <f t="shared" si="298"/>
        <v>1120</v>
      </c>
      <c r="BS125" s="63">
        <f t="shared" si="299"/>
        <v>863</v>
      </c>
      <c r="BT125" s="63">
        <f t="shared" si="300"/>
        <v>680</v>
      </c>
      <c r="BU125" s="120">
        <f t="shared" si="301"/>
        <v>658</v>
      </c>
      <c r="BV125" s="63"/>
      <c r="BW125" s="63"/>
      <c r="BX125" s="63"/>
      <c r="BY125" s="63"/>
      <c r="BZ125" s="63"/>
      <c r="CA125" s="120"/>
      <c r="CB125" s="110"/>
      <c r="CH125" s="818"/>
      <c r="CI125" s="807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806"/>
    </row>
    <row r="126" spans="1:98" s="64" customFormat="1" ht="14.25" customHeight="1">
      <c r="B126" s="65" t="s">
        <v>206</v>
      </c>
      <c r="D126" s="66">
        <f t="shared" ref="D126:AI126" si="302">SUM(D119:D125)</f>
        <v>136.875</v>
      </c>
      <c r="E126" s="66">
        <f t="shared" si="302"/>
        <v>137.65600000000001</v>
      </c>
      <c r="F126" s="66">
        <f t="shared" si="302"/>
        <v>134.381</v>
      </c>
      <c r="G126" s="67">
        <f t="shared" si="302"/>
        <v>119.23099999999999</v>
      </c>
      <c r="H126" s="66">
        <f t="shared" si="302"/>
        <v>2277</v>
      </c>
      <c r="I126" s="66">
        <f t="shared" si="302"/>
        <v>2530</v>
      </c>
      <c r="J126" s="66">
        <f t="shared" si="302"/>
        <v>2561</v>
      </c>
      <c r="K126" s="67">
        <f t="shared" si="302"/>
        <v>2367</v>
      </c>
      <c r="L126" s="66">
        <f t="shared" si="302"/>
        <v>2087</v>
      </c>
      <c r="M126" s="66">
        <f t="shared" si="302"/>
        <v>2150</v>
      </c>
      <c r="N126" s="66">
        <f t="shared" si="302"/>
        <v>1848</v>
      </c>
      <c r="O126" s="67">
        <f t="shared" si="302"/>
        <v>2044</v>
      </c>
      <c r="P126" s="66">
        <f t="shared" si="302"/>
        <v>1333</v>
      </c>
      <c r="Q126" s="66">
        <f t="shared" si="302"/>
        <v>1020</v>
      </c>
      <c r="R126" s="66">
        <f t="shared" si="302"/>
        <v>1134</v>
      </c>
      <c r="S126" s="67">
        <f t="shared" si="302"/>
        <v>1527</v>
      </c>
      <c r="T126" s="66">
        <f t="shared" si="302"/>
        <v>1849</v>
      </c>
      <c r="U126" s="66">
        <f t="shared" si="302"/>
        <v>2296</v>
      </c>
      <c r="V126" s="66">
        <f t="shared" si="302"/>
        <v>2518</v>
      </c>
      <c r="W126" s="67">
        <f t="shared" si="302"/>
        <v>2886</v>
      </c>
      <c r="X126" s="66">
        <f t="shared" si="302"/>
        <v>2686</v>
      </c>
      <c r="Y126" s="66">
        <f t="shared" si="302"/>
        <v>2862</v>
      </c>
      <c r="Z126" s="66">
        <f t="shared" si="302"/>
        <v>2787</v>
      </c>
      <c r="AA126" s="67">
        <f t="shared" si="302"/>
        <v>2182</v>
      </c>
      <c r="AB126" s="66">
        <f t="shared" si="302"/>
        <v>2189</v>
      </c>
      <c r="AC126" s="66">
        <f t="shared" si="302"/>
        <v>2541</v>
      </c>
      <c r="AD126" s="66">
        <f t="shared" si="302"/>
        <v>2343</v>
      </c>
      <c r="AE126" s="67">
        <f t="shared" si="302"/>
        <v>1646</v>
      </c>
      <c r="AF126" s="66">
        <f t="shared" si="302"/>
        <v>1573</v>
      </c>
      <c r="AG126" s="66">
        <f t="shared" si="302"/>
        <v>1973</v>
      </c>
      <c r="AH126" s="66">
        <f t="shared" si="302"/>
        <v>1975</v>
      </c>
      <c r="AI126" s="67">
        <f t="shared" si="302"/>
        <v>1988</v>
      </c>
      <c r="AJ126" s="66">
        <f t="shared" ref="AJ126:AO126" si="303">SUM(AJ119:AJ125)</f>
        <v>2190</v>
      </c>
      <c r="AK126" s="66">
        <f t="shared" si="303"/>
        <v>2353</v>
      </c>
      <c r="AL126" s="66">
        <f t="shared" si="303"/>
        <v>2265</v>
      </c>
      <c r="AM126" s="67">
        <f t="shared" si="303"/>
        <v>2264</v>
      </c>
      <c r="AN126" s="66">
        <f t="shared" si="303"/>
        <v>2359</v>
      </c>
      <c r="AO126" s="66">
        <f t="shared" si="303"/>
        <v>2442</v>
      </c>
      <c r="AP126" s="66">
        <f t="shared" ref="AP126:AU126" si="304">SUM(AP119:AP125)</f>
        <v>2490</v>
      </c>
      <c r="AQ126" s="67">
        <f t="shared" si="304"/>
        <v>2368</v>
      </c>
      <c r="AR126" s="66">
        <f t="shared" si="304"/>
        <v>2257</v>
      </c>
      <c r="AS126" s="66">
        <f t="shared" si="304"/>
        <v>2450</v>
      </c>
      <c r="AT126" s="66">
        <f t="shared" si="304"/>
        <v>2821</v>
      </c>
      <c r="AU126" s="67">
        <f t="shared" si="304"/>
        <v>3297</v>
      </c>
      <c r="AV126" s="66">
        <f t="shared" ref="AV126:AY126" si="305">SUM(AV119:AV125)</f>
        <v>3278</v>
      </c>
      <c r="AW126" s="66">
        <f t="shared" si="305"/>
        <v>3546</v>
      </c>
      <c r="AX126" s="66">
        <f t="shared" si="305"/>
        <v>3744</v>
      </c>
      <c r="AY126" s="67">
        <f t="shared" si="305"/>
        <v>3969</v>
      </c>
      <c r="AZ126" s="66">
        <f t="shared" ref="AZ126" si="306">SUM(AZ119:AZ125)</f>
        <v>4204</v>
      </c>
      <c r="BA126" s="66"/>
      <c r="BB126" s="69"/>
      <c r="BC126" s="68"/>
      <c r="BD126" s="66"/>
      <c r="BE126" s="66"/>
      <c r="BF126" s="69"/>
      <c r="BG126" s="68"/>
      <c r="BH126" s="66"/>
      <c r="BI126" s="66"/>
      <c r="BJ126" s="69"/>
      <c r="BK126" s="68"/>
      <c r="BL126" s="111"/>
      <c r="BM126" s="70"/>
      <c r="BN126" s="70">
        <f t="shared" ref="BN126:BU126" si="307">SUM(BN119:BN125)</f>
        <v>9735</v>
      </c>
      <c r="BO126" s="70">
        <f t="shared" si="307"/>
        <v>8129</v>
      </c>
      <c r="BP126" s="70">
        <f t="shared" si="307"/>
        <v>5014</v>
      </c>
      <c r="BQ126" s="70">
        <f t="shared" si="307"/>
        <v>9549</v>
      </c>
      <c r="BR126" s="70">
        <f t="shared" si="307"/>
        <v>10517</v>
      </c>
      <c r="BS126" s="71">
        <f t="shared" si="307"/>
        <v>8719</v>
      </c>
      <c r="BT126" s="71">
        <f t="shared" si="307"/>
        <v>7509</v>
      </c>
      <c r="BU126" s="121">
        <f t="shared" si="307"/>
        <v>9072</v>
      </c>
      <c r="BV126" s="71"/>
      <c r="BW126" s="71"/>
      <c r="BX126" s="71"/>
      <c r="BY126" s="71"/>
      <c r="BZ126" s="71"/>
      <c r="CA126" s="121"/>
      <c r="CB126" s="111"/>
      <c r="CH126" s="819"/>
      <c r="CI126" s="808"/>
      <c r="CJ126" s="70"/>
      <c r="CK126" s="71"/>
      <c r="CL126" s="71"/>
      <c r="CM126" s="71"/>
      <c r="CN126" s="71"/>
      <c r="CO126" s="71"/>
      <c r="CP126" s="71"/>
      <c r="CQ126" s="71"/>
      <c r="CR126" s="71"/>
      <c r="CS126" s="71"/>
      <c r="CT126" s="813"/>
    </row>
    <row r="127" spans="1:98" ht="14.25" customHeight="1">
      <c r="B127" s="57"/>
      <c r="G127" s="22"/>
      <c r="K127" s="22"/>
      <c r="O127" s="22"/>
      <c r="S127" s="22"/>
      <c r="W127" s="22"/>
      <c r="AA127" s="22"/>
      <c r="AE127" s="22"/>
      <c r="AI127" s="22"/>
      <c r="AM127" s="22"/>
      <c r="AQ127" s="22"/>
      <c r="AU127" s="22"/>
      <c r="AY127" s="22"/>
      <c r="BC127" s="22"/>
      <c r="BG127" s="22"/>
      <c r="BK127" s="22"/>
      <c r="BL127" s="110"/>
      <c r="BU127" s="22"/>
      <c r="CA127" s="22"/>
      <c r="CB127" s="110"/>
      <c r="CH127" s="818"/>
      <c r="CI127" s="806"/>
      <c r="CT127" s="806"/>
    </row>
    <row r="128" spans="1:98" ht="14.25" customHeight="1">
      <c r="A128" s="18"/>
      <c r="B128" s="26" t="s">
        <v>194</v>
      </c>
      <c r="C128" s="26"/>
      <c r="D128" s="44">
        <f t="shared" ref="D128:AS128" si="308">IF(ABS(D77-D126)&lt;1,"OK",D77-D126)</f>
        <v>-136.875</v>
      </c>
      <c r="E128" s="44">
        <f t="shared" si="308"/>
        <v>-137.65600000000001</v>
      </c>
      <c r="F128" s="44">
        <f t="shared" si="308"/>
        <v>-134.381</v>
      </c>
      <c r="G128" s="45">
        <f t="shared" si="308"/>
        <v>-119.23099999999999</v>
      </c>
      <c r="H128" s="44">
        <f t="shared" si="308"/>
        <v>-2277</v>
      </c>
      <c r="I128" s="44">
        <f t="shared" si="308"/>
        <v>-2530</v>
      </c>
      <c r="J128" s="44">
        <f t="shared" si="308"/>
        <v>-2561</v>
      </c>
      <c r="K128" s="45">
        <f t="shared" si="308"/>
        <v>-2367</v>
      </c>
      <c r="L128" s="44">
        <f t="shared" si="308"/>
        <v>-2087</v>
      </c>
      <c r="M128" s="44">
        <f t="shared" si="308"/>
        <v>-2150</v>
      </c>
      <c r="N128" s="44">
        <f t="shared" si="308"/>
        <v>-1848</v>
      </c>
      <c r="O128" s="45">
        <f t="shared" si="308"/>
        <v>-2044</v>
      </c>
      <c r="P128" s="44">
        <f t="shared" si="308"/>
        <v>-1333</v>
      </c>
      <c r="Q128" s="44">
        <f t="shared" si="308"/>
        <v>-1020</v>
      </c>
      <c r="R128" s="44">
        <f t="shared" si="308"/>
        <v>-1134</v>
      </c>
      <c r="S128" s="45">
        <f t="shared" si="308"/>
        <v>-1527</v>
      </c>
      <c r="T128" s="44">
        <f t="shared" si="308"/>
        <v>-1849</v>
      </c>
      <c r="U128" s="44">
        <f t="shared" si="308"/>
        <v>-2296</v>
      </c>
      <c r="V128" s="44">
        <f t="shared" si="308"/>
        <v>-2518</v>
      </c>
      <c r="W128" s="45">
        <f t="shared" si="308"/>
        <v>-2886</v>
      </c>
      <c r="X128" s="44">
        <f t="shared" si="308"/>
        <v>-2686</v>
      </c>
      <c r="Y128" s="44">
        <f t="shared" si="308"/>
        <v>-2862</v>
      </c>
      <c r="Z128" s="44">
        <f t="shared" si="308"/>
        <v>-2787</v>
      </c>
      <c r="AA128" s="45">
        <f t="shared" si="308"/>
        <v>-2182</v>
      </c>
      <c r="AB128" s="44">
        <f t="shared" si="308"/>
        <v>-2189</v>
      </c>
      <c r="AC128" s="44">
        <f t="shared" si="308"/>
        <v>-2541</v>
      </c>
      <c r="AD128" s="44">
        <f t="shared" si="308"/>
        <v>-2343</v>
      </c>
      <c r="AE128" s="45">
        <f t="shared" si="308"/>
        <v>-1646</v>
      </c>
      <c r="AF128" s="44">
        <f t="shared" si="308"/>
        <v>-1573</v>
      </c>
      <c r="AG128" s="44">
        <f t="shared" si="308"/>
        <v>-1973</v>
      </c>
      <c r="AH128" s="44">
        <f t="shared" si="308"/>
        <v>-1975</v>
      </c>
      <c r="AI128" s="45">
        <f t="shared" si="308"/>
        <v>-1988</v>
      </c>
      <c r="AJ128" s="44">
        <f t="shared" si="308"/>
        <v>-2190</v>
      </c>
      <c r="AK128" s="44">
        <f t="shared" si="308"/>
        <v>-2353</v>
      </c>
      <c r="AL128" s="44">
        <f t="shared" si="308"/>
        <v>-2265</v>
      </c>
      <c r="AM128" s="45">
        <f t="shared" si="308"/>
        <v>-2264</v>
      </c>
      <c r="AN128" s="44" t="str">
        <f t="shared" si="308"/>
        <v>OK</v>
      </c>
      <c r="AO128" s="44" t="str">
        <f t="shared" si="308"/>
        <v>OK</v>
      </c>
      <c r="AP128" s="44" t="str">
        <f t="shared" si="308"/>
        <v>OK</v>
      </c>
      <c r="AQ128" s="45" t="str">
        <f t="shared" si="308"/>
        <v>OK</v>
      </c>
      <c r="AR128" s="44" t="str">
        <f t="shared" si="308"/>
        <v>OK</v>
      </c>
      <c r="AS128" s="44" t="str">
        <f t="shared" si="308"/>
        <v>OK</v>
      </c>
      <c r="AT128" s="44" t="str">
        <f>IF(ABS(AT77-AT126)&lt;1,"OK",AT77-AT126)</f>
        <v>OK</v>
      </c>
      <c r="AU128" s="45" t="str">
        <f>IF(ABS(AU77-AU126)&lt;1,"OK",AU77-AU126)</f>
        <v>OK</v>
      </c>
      <c r="AV128" s="44" t="str">
        <f t="shared" ref="AV128:AX128" si="309">IF(ABS(AV77-AV126)&lt;1,"OK",AV77-AV126)</f>
        <v>OK</v>
      </c>
      <c r="AW128" s="44" t="str">
        <f t="shared" si="309"/>
        <v>OK</v>
      </c>
      <c r="AX128" s="44" t="str">
        <f t="shared" si="309"/>
        <v>OK</v>
      </c>
      <c r="AY128" s="45" t="str">
        <f>IF(ABS(AY77-AY126)&lt;1,"OK",AY77-AY126)</f>
        <v>OK</v>
      </c>
      <c r="AZ128" s="44" t="str">
        <f t="shared" ref="AZ128" si="310">IF(ABS(AZ77-AZ126)&lt;1,"OK",AZ77-AZ126)</f>
        <v>OK</v>
      </c>
      <c r="BA128" s="44"/>
      <c r="BB128" s="42"/>
      <c r="BC128" s="43"/>
      <c r="BD128" s="44"/>
      <c r="BE128" s="44"/>
      <c r="BF128" s="42"/>
      <c r="BG128" s="43"/>
      <c r="BH128" s="44"/>
      <c r="BI128" s="44"/>
      <c r="BJ128" s="42"/>
      <c r="BK128" s="43"/>
      <c r="BL128" s="109"/>
      <c r="BM128" s="42"/>
      <c r="BN128" s="42">
        <f t="shared" ref="BN128:BU128" si="311">IF(ABS(BN77-BN126)&lt;1,"OK",BN77-BN126)</f>
        <v>-9735</v>
      </c>
      <c r="BO128" s="42">
        <f t="shared" si="311"/>
        <v>-8129</v>
      </c>
      <c r="BP128" s="42">
        <f t="shared" si="311"/>
        <v>-5014</v>
      </c>
      <c r="BQ128" s="42">
        <f t="shared" si="311"/>
        <v>-9549</v>
      </c>
      <c r="BR128" s="44">
        <f t="shared" si="311"/>
        <v>-10517</v>
      </c>
      <c r="BS128" s="44">
        <f t="shared" si="311"/>
        <v>-8719</v>
      </c>
      <c r="BT128" s="44">
        <f t="shared" si="311"/>
        <v>-7509</v>
      </c>
      <c r="BU128" s="45" t="str">
        <f t="shared" si="311"/>
        <v>OK</v>
      </c>
      <c r="BV128" s="42"/>
      <c r="BW128" s="42"/>
      <c r="BX128" s="42"/>
      <c r="BY128" s="42"/>
      <c r="BZ128" s="42"/>
      <c r="CA128" s="43"/>
      <c r="CB128" s="109"/>
      <c r="CC128" s="18"/>
      <c r="CD128" s="18"/>
      <c r="CE128" s="18"/>
      <c r="CF128" s="18"/>
      <c r="CG128" s="18"/>
      <c r="CH128" s="817"/>
      <c r="CI128" s="803"/>
      <c r="CJ128" s="44"/>
      <c r="CK128" s="44"/>
      <c r="CL128" s="44"/>
      <c r="CM128" s="44"/>
      <c r="CN128" s="44"/>
      <c r="CO128" s="44"/>
      <c r="CP128" s="42"/>
      <c r="CQ128" s="42"/>
      <c r="CR128" s="42"/>
      <c r="CS128" s="42"/>
      <c r="CT128" s="806"/>
    </row>
    <row r="129" spans="1:98" ht="14.25" customHeight="1">
      <c r="B129" s="57"/>
      <c r="G129" s="22"/>
      <c r="K129" s="22"/>
      <c r="O129" s="22"/>
      <c r="S129" s="22"/>
      <c r="W129" s="22"/>
      <c r="AA129" s="22"/>
      <c r="AE129" s="22"/>
      <c r="AI129" s="22"/>
      <c r="AM129" s="22"/>
      <c r="AQ129" s="22"/>
      <c r="AU129" s="22"/>
      <c r="AY129" s="22"/>
      <c r="BC129" s="22"/>
      <c r="BG129" s="22"/>
      <c r="BK129" s="22"/>
      <c r="BL129" s="110"/>
      <c r="BU129" s="22"/>
      <c r="CA129" s="22"/>
      <c r="CB129" s="110"/>
      <c r="CH129" s="818"/>
      <c r="CI129" s="806"/>
      <c r="CT129" s="806"/>
    </row>
    <row r="130" spans="1:98" ht="14.25" customHeight="1">
      <c r="B130" s="57"/>
      <c r="G130" s="22"/>
      <c r="K130" s="22"/>
      <c r="O130" s="22"/>
      <c r="S130" s="22"/>
      <c r="W130" s="22"/>
      <c r="AA130" s="22"/>
      <c r="AE130" s="22"/>
      <c r="AI130" s="22"/>
      <c r="AM130" s="22"/>
      <c r="AQ130" s="22"/>
      <c r="AU130" s="22"/>
      <c r="AY130" s="22"/>
      <c r="BC130" s="22"/>
      <c r="BG130" s="22"/>
      <c r="BK130" s="22"/>
      <c r="BL130" s="110"/>
      <c r="BU130" s="22"/>
      <c r="CA130" s="22"/>
      <c r="CB130" s="110"/>
      <c r="CH130" s="818"/>
      <c r="CI130" s="806"/>
      <c r="CT130" s="806"/>
    </row>
    <row r="131" spans="1:98" ht="14.25" customHeight="1">
      <c r="B131" s="57"/>
      <c r="G131" s="22"/>
      <c r="K131" s="22"/>
      <c r="O131" s="22"/>
      <c r="S131" s="22"/>
      <c r="W131" s="22"/>
      <c r="AA131" s="22"/>
      <c r="AE131" s="22"/>
      <c r="AI131" s="22"/>
      <c r="AM131" s="22"/>
      <c r="AQ131" s="22"/>
      <c r="AU131" s="22"/>
      <c r="AY131" s="22"/>
      <c r="BC131" s="22"/>
      <c r="BG131" s="22"/>
      <c r="BK131" s="22"/>
      <c r="BL131" s="110"/>
      <c r="BU131" s="22"/>
      <c r="CA131" s="22"/>
      <c r="CB131" s="826"/>
      <c r="CC131" s="57"/>
      <c r="CD131" s="57"/>
      <c r="CE131" s="57"/>
      <c r="CF131" s="57"/>
      <c r="CG131" s="57"/>
      <c r="CH131" s="818"/>
      <c r="CI131" s="806"/>
      <c r="CT131" s="806"/>
    </row>
    <row r="132" spans="1:98" ht="14.25" customHeight="1">
      <c r="A132" s="18"/>
      <c r="B132" s="99" t="s">
        <v>207</v>
      </c>
      <c r="C132" s="100"/>
      <c r="D132" s="94" t="str">
        <f t="shared" ref="D132:AI132" si="312">D6</f>
        <v>1Q06</v>
      </c>
      <c r="E132" s="95" t="str">
        <f t="shared" si="312"/>
        <v>2Q06</v>
      </c>
      <c r="F132" s="95" t="str">
        <f t="shared" si="312"/>
        <v>3Q06</v>
      </c>
      <c r="G132" s="96" t="str">
        <f t="shared" si="312"/>
        <v>4Q06</v>
      </c>
      <c r="H132" s="95" t="str">
        <f t="shared" si="312"/>
        <v>1Q07</v>
      </c>
      <c r="I132" s="95" t="str">
        <f t="shared" si="312"/>
        <v>2Q07</v>
      </c>
      <c r="J132" s="95" t="str">
        <f t="shared" si="312"/>
        <v>3Q07</v>
      </c>
      <c r="K132" s="96" t="str">
        <f t="shared" si="312"/>
        <v>4Q07</v>
      </c>
      <c r="L132" s="95" t="str">
        <f t="shared" si="312"/>
        <v>1Q08</v>
      </c>
      <c r="M132" s="95" t="str">
        <f t="shared" si="312"/>
        <v>2Q08</v>
      </c>
      <c r="N132" s="95" t="str">
        <f t="shared" si="312"/>
        <v>3Q08</v>
      </c>
      <c r="O132" s="96" t="str">
        <f t="shared" si="312"/>
        <v>4Q08</v>
      </c>
      <c r="P132" s="95" t="str">
        <f t="shared" si="312"/>
        <v>1Q09</v>
      </c>
      <c r="Q132" s="95" t="str">
        <f t="shared" si="312"/>
        <v>2Q09</v>
      </c>
      <c r="R132" s="95" t="str">
        <f t="shared" si="312"/>
        <v>3Q09</v>
      </c>
      <c r="S132" s="96" t="str">
        <f t="shared" si="312"/>
        <v>4Q09</v>
      </c>
      <c r="T132" s="95" t="str">
        <f t="shared" si="312"/>
        <v>1Q10</v>
      </c>
      <c r="U132" s="95" t="str">
        <f t="shared" si="312"/>
        <v>2Q10</v>
      </c>
      <c r="V132" s="95" t="str">
        <f t="shared" si="312"/>
        <v>3Q10</v>
      </c>
      <c r="W132" s="96" t="str">
        <f t="shared" si="312"/>
        <v>4Q10</v>
      </c>
      <c r="X132" s="95" t="str">
        <f t="shared" si="312"/>
        <v>1Q11</v>
      </c>
      <c r="Y132" s="95" t="str">
        <f t="shared" si="312"/>
        <v>2Q11</v>
      </c>
      <c r="Z132" s="95" t="str">
        <f t="shared" si="312"/>
        <v>3Q11</v>
      </c>
      <c r="AA132" s="96" t="str">
        <f t="shared" si="312"/>
        <v>4Q11</v>
      </c>
      <c r="AB132" s="95" t="str">
        <f t="shared" si="312"/>
        <v>1Q12</v>
      </c>
      <c r="AC132" s="95" t="str">
        <f t="shared" si="312"/>
        <v>2Q12</v>
      </c>
      <c r="AD132" s="95" t="str">
        <f t="shared" si="312"/>
        <v>3Q12</v>
      </c>
      <c r="AE132" s="96" t="str">
        <f t="shared" si="312"/>
        <v>4Q12</v>
      </c>
      <c r="AF132" s="95" t="str">
        <f t="shared" si="312"/>
        <v>1Q13</v>
      </c>
      <c r="AG132" s="95" t="str">
        <f t="shared" si="312"/>
        <v>2Q13</v>
      </c>
      <c r="AH132" s="95" t="str">
        <f t="shared" si="312"/>
        <v>3Q13</v>
      </c>
      <c r="AI132" s="96" t="str">
        <f t="shared" si="312"/>
        <v>4Q13</v>
      </c>
      <c r="AJ132" s="95" t="str">
        <f t="shared" ref="AJ132:BG132" si="313">AJ6</f>
        <v>1Q14</v>
      </c>
      <c r="AK132" s="95" t="str">
        <f t="shared" si="313"/>
        <v>2Q14</v>
      </c>
      <c r="AL132" s="95" t="str">
        <f t="shared" si="313"/>
        <v>3Q14</v>
      </c>
      <c r="AM132" s="96" t="str">
        <f t="shared" si="313"/>
        <v>4Q14</v>
      </c>
      <c r="AN132" s="95" t="str">
        <f t="shared" si="313"/>
        <v>1Q15</v>
      </c>
      <c r="AO132" s="95" t="str">
        <f t="shared" si="313"/>
        <v>2Q15</v>
      </c>
      <c r="AP132" s="95" t="str">
        <f t="shared" si="313"/>
        <v>3Q15</v>
      </c>
      <c r="AQ132" s="96" t="str">
        <f t="shared" si="313"/>
        <v>4Q15</v>
      </c>
      <c r="AR132" s="95" t="str">
        <f t="shared" si="313"/>
        <v>1Q16</v>
      </c>
      <c r="AS132" s="95" t="str">
        <f t="shared" si="313"/>
        <v>2Q16</v>
      </c>
      <c r="AT132" s="95" t="str">
        <f t="shared" si="313"/>
        <v>3Q16</v>
      </c>
      <c r="AU132" s="96" t="str">
        <f t="shared" si="313"/>
        <v>4Q16</v>
      </c>
      <c r="AV132" s="95" t="str">
        <f t="shared" ref="AV132:AW132" si="314">AV6</f>
        <v>1Q17</v>
      </c>
      <c r="AW132" s="95" t="str">
        <f t="shared" si="314"/>
        <v>2Q17</v>
      </c>
      <c r="AX132" s="95" t="str">
        <f t="shared" si="313"/>
        <v>3Q17</v>
      </c>
      <c r="AY132" s="96" t="str">
        <f t="shared" si="313"/>
        <v>4Q17</v>
      </c>
      <c r="AZ132" s="166" t="str">
        <f t="shared" si="313"/>
        <v>1Q18</v>
      </c>
      <c r="BA132" s="97" t="str">
        <f t="shared" si="313"/>
        <v>2Q18e</v>
      </c>
      <c r="BB132" s="97" t="str">
        <f t="shared" si="313"/>
        <v>3Q18e</v>
      </c>
      <c r="BC132" s="98" t="str">
        <f t="shared" si="313"/>
        <v>4Q18e</v>
      </c>
      <c r="BD132" s="97" t="str">
        <f t="shared" si="313"/>
        <v>1Q19e</v>
      </c>
      <c r="BE132" s="97" t="str">
        <f t="shared" si="313"/>
        <v>2Q19e</v>
      </c>
      <c r="BF132" s="97" t="str">
        <f t="shared" si="313"/>
        <v>3Q19e</v>
      </c>
      <c r="BG132" s="98" t="str">
        <f t="shared" si="313"/>
        <v>4Q19e</v>
      </c>
      <c r="BH132" s="97" t="str">
        <f t="shared" ref="BH132:BK132" si="315">BH6</f>
        <v>1Q20e</v>
      </c>
      <c r="BI132" s="97" t="str">
        <f t="shared" si="315"/>
        <v>2Q20e</v>
      </c>
      <c r="BJ132" s="97" t="str">
        <f t="shared" si="315"/>
        <v>3Q20e</v>
      </c>
      <c r="BK132" s="98" t="str">
        <f t="shared" si="315"/>
        <v>4Q20e</v>
      </c>
      <c r="BL132" s="109"/>
      <c r="BM132" s="104" t="str">
        <f>BM6</f>
        <v>FY2006A</v>
      </c>
      <c r="BN132" s="103">
        <v>2007</v>
      </c>
      <c r="BO132" s="103">
        <v>2008</v>
      </c>
      <c r="BP132" s="103">
        <v>2009</v>
      </c>
      <c r="BQ132" s="103">
        <v>2010</v>
      </c>
      <c r="BR132" s="103">
        <v>2011</v>
      </c>
      <c r="BS132" s="103">
        <v>2012</v>
      </c>
      <c r="BT132" s="103">
        <v>2013</v>
      </c>
      <c r="BU132" s="105">
        <v>2014</v>
      </c>
      <c r="BV132" s="101" t="str">
        <f t="shared" ref="BV132:CA132" si="316">BV6</f>
        <v>FY2015</v>
      </c>
      <c r="BW132" s="101" t="str">
        <f t="shared" si="316"/>
        <v>FY2016</v>
      </c>
      <c r="BX132" s="97" t="str">
        <f t="shared" si="316"/>
        <v>FY2017</v>
      </c>
      <c r="BY132" s="97" t="str">
        <f t="shared" si="316"/>
        <v>FY2018E</v>
      </c>
      <c r="BZ132" s="97" t="str">
        <f t="shared" si="316"/>
        <v>FY2019E</v>
      </c>
      <c r="CA132" s="102" t="str">
        <f t="shared" si="316"/>
        <v>FY2020E</v>
      </c>
      <c r="CB132" s="110"/>
      <c r="CH132" s="818"/>
      <c r="CI132" s="809"/>
      <c r="CJ132" s="103"/>
      <c r="CK132" s="103"/>
      <c r="CL132" s="103"/>
      <c r="CM132" s="103"/>
      <c r="CN132" s="103"/>
      <c r="CO132" s="103"/>
      <c r="CP132" s="101"/>
      <c r="CQ132" s="101"/>
      <c r="CR132" s="101"/>
      <c r="CS132" s="101"/>
      <c r="CT132" s="806"/>
    </row>
    <row r="133" spans="1:98" ht="14.25" customHeight="1">
      <c r="A133" s="22"/>
      <c r="B133" s="57" t="s">
        <v>81</v>
      </c>
      <c r="D133" s="80">
        <f t="shared" ref="D133:AL133" si="317">D119/D$126</f>
        <v>0.55579178082191782</v>
      </c>
      <c r="E133" s="80">
        <f t="shared" si="317"/>
        <v>0.66024728308246639</v>
      </c>
      <c r="F133" s="80">
        <f t="shared" si="317"/>
        <v>0.7765309083873464</v>
      </c>
      <c r="G133" s="41">
        <f t="shared" si="317"/>
        <v>0.78747976616819459</v>
      </c>
      <c r="H133" s="80">
        <f t="shared" si="317"/>
        <v>0</v>
      </c>
      <c r="I133" s="80">
        <f t="shared" si="317"/>
        <v>0</v>
      </c>
      <c r="J133" s="80">
        <f t="shared" si="317"/>
        <v>0</v>
      </c>
      <c r="K133" s="41">
        <f t="shared" si="317"/>
        <v>0</v>
      </c>
      <c r="L133" s="80">
        <f t="shared" si="317"/>
        <v>0</v>
      </c>
      <c r="M133" s="80">
        <f t="shared" si="317"/>
        <v>0</v>
      </c>
      <c r="N133" s="80">
        <f t="shared" si="317"/>
        <v>0</v>
      </c>
      <c r="O133" s="41">
        <f t="shared" si="317"/>
        <v>0</v>
      </c>
      <c r="P133" s="80">
        <f t="shared" si="317"/>
        <v>8.8522130532633164E-2</v>
      </c>
      <c r="Q133" s="80">
        <f t="shared" si="317"/>
        <v>0.12058823529411765</v>
      </c>
      <c r="R133" s="80">
        <f t="shared" si="317"/>
        <v>0.34656084656084657</v>
      </c>
      <c r="S133" s="41">
        <f t="shared" si="317"/>
        <v>6.5487884741322858E-4</v>
      </c>
      <c r="T133" s="80">
        <f t="shared" si="317"/>
        <v>7.7339102217414815E-2</v>
      </c>
      <c r="U133" s="80">
        <f t="shared" si="317"/>
        <v>0.10104529616724739</v>
      </c>
      <c r="V133" s="80">
        <f t="shared" si="317"/>
        <v>0.18625893566322479</v>
      </c>
      <c r="W133" s="41">
        <f t="shared" si="317"/>
        <v>0.24705474705474706</v>
      </c>
      <c r="X133" s="80">
        <f t="shared" si="317"/>
        <v>0.25093075204765453</v>
      </c>
      <c r="Y133" s="80">
        <f t="shared" si="317"/>
        <v>0.25890985324947591</v>
      </c>
      <c r="Z133" s="80">
        <f t="shared" si="317"/>
        <v>0.26946537495514888</v>
      </c>
      <c r="AA133" s="41">
        <f t="shared" si="317"/>
        <v>0.18698441796516957</v>
      </c>
      <c r="AB133" s="80">
        <f t="shared" si="317"/>
        <v>8.2229328460484238E-2</v>
      </c>
      <c r="AC133" s="80">
        <f t="shared" si="317"/>
        <v>6.1786698150334517E-2</v>
      </c>
      <c r="AD133" s="80">
        <f t="shared" si="317"/>
        <v>0.10840802390098164</v>
      </c>
      <c r="AE133" s="41">
        <f t="shared" si="317"/>
        <v>0.1166464155528554</v>
      </c>
      <c r="AF133" s="80">
        <f t="shared" si="317"/>
        <v>8.0737444373808004E-2</v>
      </c>
      <c r="AG133" s="80">
        <f t="shared" si="317"/>
        <v>9.2752154080081098E-2</v>
      </c>
      <c r="AH133" s="80">
        <f t="shared" si="317"/>
        <v>0.13822784810126582</v>
      </c>
      <c r="AI133" s="41">
        <f t="shared" si="317"/>
        <v>0.10261569416498995</v>
      </c>
      <c r="AJ133" s="80">
        <f t="shared" si="317"/>
        <v>0.26894977168949774</v>
      </c>
      <c r="AK133" s="80">
        <f t="shared" si="317"/>
        <v>0.18189545261368467</v>
      </c>
      <c r="AL133" s="80">
        <f t="shared" si="317"/>
        <v>0.1271523178807947</v>
      </c>
      <c r="AM133" s="41">
        <f t="shared" ref="AM133:AO134" si="318">AM119/AM$126</f>
        <v>0.13383392226148411</v>
      </c>
      <c r="AN133" s="80">
        <f t="shared" si="318"/>
        <v>0.16447647308181432</v>
      </c>
      <c r="AO133" s="80">
        <f t="shared" si="318"/>
        <v>0.17772317772317772</v>
      </c>
      <c r="AP133" s="80">
        <f t="shared" ref="AP133:AU134" si="319">AP119/AP$126</f>
        <v>0.11325301204819277</v>
      </c>
      <c r="AQ133" s="41">
        <f t="shared" si="319"/>
        <v>0.19003378378378377</v>
      </c>
      <c r="AR133" s="80">
        <f t="shared" si="319"/>
        <v>0.21931767833407179</v>
      </c>
      <c r="AS133" s="80">
        <f t="shared" si="319"/>
        <v>0.3069387755102041</v>
      </c>
      <c r="AT133" s="80">
        <f t="shared" si="319"/>
        <v>0.20241049273307338</v>
      </c>
      <c r="AU133" s="41">
        <f t="shared" si="319"/>
        <v>0.13375796178343949</v>
      </c>
      <c r="AV133" s="80">
        <f t="shared" ref="AV133:AW133" si="320">AV119/AV$126</f>
        <v>0.19737644905430141</v>
      </c>
      <c r="AW133" s="80">
        <f t="shared" si="320"/>
        <v>0.20530174844895657</v>
      </c>
      <c r="AX133" s="80">
        <f t="shared" ref="AX133:AZ133" si="321">AX119/AX$126</f>
        <v>0.20673076923076922</v>
      </c>
      <c r="AY133" s="41">
        <f t="shared" si="321"/>
        <v>0.15041572184429328</v>
      </c>
      <c r="AZ133" s="80">
        <f t="shared" si="321"/>
        <v>0.2181255946717412</v>
      </c>
      <c r="BA133" s="80"/>
      <c r="BB133" s="73"/>
      <c r="BC133" s="72"/>
      <c r="BD133" s="80"/>
      <c r="BE133" s="80"/>
      <c r="BF133" s="73"/>
      <c r="BG133" s="72"/>
      <c r="BH133" s="80"/>
      <c r="BI133" s="80"/>
      <c r="BJ133" s="73"/>
      <c r="BK133" s="72"/>
      <c r="BL133" s="110"/>
      <c r="BM133" s="89"/>
      <c r="BN133" s="89">
        <f t="shared" ref="BN133:BT134" si="322">BN119/BN$126</f>
        <v>0</v>
      </c>
      <c r="BO133" s="89">
        <f t="shared" si="322"/>
        <v>0</v>
      </c>
      <c r="BP133" s="89">
        <f t="shared" si="322"/>
        <v>0.12664539289988033</v>
      </c>
      <c r="BQ133" s="80">
        <f t="shared" si="322"/>
        <v>0.16305372290292178</v>
      </c>
      <c r="BR133" s="80">
        <f t="shared" si="322"/>
        <v>0.24474660074165636</v>
      </c>
      <c r="BS133" s="80">
        <f t="shared" si="322"/>
        <v>8.9803876591352222E-2</v>
      </c>
      <c r="BT133" s="74">
        <f t="shared" si="322"/>
        <v>0.10480756425622587</v>
      </c>
      <c r="BU133" s="131">
        <f>BU119/BU$126</f>
        <v>0.17724867724867724</v>
      </c>
      <c r="BV133" s="89"/>
      <c r="BW133" s="89"/>
      <c r="BX133" s="89"/>
      <c r="BY133" s="89"/>
      <c r="BZ133" s="89"/>
      <c r="CA133" s="122"/>
      <c r="CB133" s="826"/>
      <c r="CC133" s="57"/>
      <c r="CD133" s="57"/>
      <c r="CE133" s="57"/>
      <c r="CF133" s="57"/>
      <c r="CG133" s="57"/>
      <c r="CH133" s="818"/>
      <c r="CI133" s="810"/>
      <c r="CJ133" s="80"/>
      <c r="CK133" s="80"/>
      <c r="CL133" s="80"/>
      <c r="CM133" s="80"/>
      <c r="CN133" s="80"/>
      <c r="CO133" s="80"/>
      <c r="CP133" s="89"/>
      <c r="CQ133" s="89"/>
      <c r="CR133" s="89"/>
      <c r="CS133" s="89"/>
      <c r="CT133" s="806"/>
    </row>
    <row r="134" spans="1:98" ht="14.25" customHeight="1">
      <c r="A134" s="22"/>
      <c r="B134" s="57" t="s">
        <v>82</v>
      </c>
      <c r="D134" s="80">
        <f t="shared" ref="D134:Z134" si="323">D120/D$126</f>
        <v>0</v>
      </c>
      <c r="E134" s="80">
        <f t="shared" si="323"/>
        <v>0</v>
      </c>
      <c r="F134" s="80">
        <f t="shared" si="323"/>
        <v>0</v>
      </c>
      <c r="G134" s="41">
        <f t="shared" si="323"/>
        <v>0</v>
      </c>
      <c r="H134" s="80">
        <f t="shared" si="323"/>
        <v>0.2560386473429952</v>
      </c>
      <c r="I134" s="80">
        <f t="shared" si="323"/>
        <v>0.24782608695652175</v>
      </c>
      <c r="J134" s="80">
        <f t="shared" si="323"/>
        <v>0.34947286216321749</v>
      </c>
      <c r="K134" s="41">
        <f t="shared" si="323"/>
        <v>0.24250105618926912</v>
      </c>
      <c r="L134" s="80">
        <f t="shared" si="323"/>
        <v>0.29516051748921895</v>
      </c>
      <c r="M134" s="80">
        <f t="shared" si="323"/>
        <v>0.24139534883720931</v>
      </c>
      <c r="N134" s="80">
        <f t="shared" si="323"/>
        <v>0.17099567099567101</v>
      </c>
      <c r="O134" s="41">
        <f t="shared" si="323"/>
        <v>0.18884540117416829</v>
      </c>
      <c r="P134" s="80">
        <f t="shared" si="323"/>
        <v>0.10802700675168792</v>
      </c>
      <c r="Q134" s="80">
        <f t="shared" si="323"/>
        <v>0.1588235294117647</v>
      </c>
      <c r="R134" s="80">
        <f t="shared" si="323"/>
        <v>0.10229276895943562</v>
      </c>
      <c r="S134" s="41">
        <f t="shared" si="323"/>
        <v>0.39554682383759004</v>
      </c>
      <c r="T134" s="80">
        <f t="shared" si="323"/>
        <v>0.27798810167658194</v>
      </c>
      <c r="U134" s="80">
        <f t="shared" si="323"/>
        <v>0.30444250871080142</v>
      </c>
      <c r="V134" s="80">
        <f t="shared" si="323"/>
        <v>0.28077839555202544</v>
      </c>
      <c r="W134" s="41">
        <f t="shared" si="323"/>
        <v>0.28759528759528757</v>
      </c>
      <c r="X134" s="80">
        <f t="shared" si="323"/>
        <v>0.23641102010424422</v>
      </c>
      <c r="Y134" s="80">
        <f t="shared" si="323"/>
        <v>0.22711390635918938</v>
      </c>
      <c r="Z134" s="80">
        <f t="shared" si="323"/>
        <v>0.16289917473986365</v>
      </c>
      <c r="AA134" s="41">
        <f t="shared" ref="AA134:AL134" si="324">AA120/AA$126</f>
        <v>0.1617781851512374</v>
      </c>
      <c r="AB134" s="80">
        <f t="shared" si="324"/>
        <v>0.22338967565098219</v>
      </c>
      <c r="AC134" s="80">
        <f t="shared" si="324"/>
        <v>0.25737898465171194</v>
      </c>
      <c r="AD134" s="80">
        <f t="shared" si="324"/>
        <v>0.34613743064447289</v>
      </c>
      <c r="AE134" s="41">
        <f t="shared" si="324"/>
        <v>0.27764277035236939</v>
      </c>
      <c r="AF134" s="80">
        <f t="shared" si="324"/>
        <v>0.35918626827717737</v>
      </c>
      <c r="AG134" s="80">
        <f t="shared" si="324"/>
        <v>0.4196654840344653</v>
      </c>
      <c r="AH134" s="80">
        <f t="shared" si="324"/>
        <v>0.33316455696202529</v>
      </c>
      <c r="AI134" s="41">
        <f t="shared" si="324"/>
        <v>0.29627766599597588</v>
      </c>
      <c r="AJ134" s="80">
        <f t="shared" si="324"/>
        <v>0.32191780821917809</v>
      </c>
      <c r="AK134" s="80">
        <f t="shared" si="324"/>
        <v>0.33191670208244795</v>
      </c>
      <c r="AL134" s="80">
        <f t="shared" si="324"/>
        <v>0.26401766004415012</v>
      </c>
      <c r="AM134" s="41">
        <f t="shared" si="318"/>
        <v>0.27296819787985865</v>
      </c>
      <c r="AN134" s="80">
        <f t="shared" si="318"/>
        <v>0.22000847816871555</v>
      </c>
      <c r="AO134" s="80">
        <f t="shared" si="318"/>
        <v>0.18877968877968879</v>
      </c>
      <c r="AP134" s="80">
        <f t="shared" si="319"/>
        <v>0.30160642570281126</v>
      </c>
      <c r="AQ134" s="41">
        <f t="shared" si="319"/>
        <v>0.27491554054054052</v>
      </c>
      <c r="AR134" s="80">
        <f t="shared" si="319"/>
        <v>0.28223305272485599</v>
      </c>
      <c r="AS134" s="80">
        <f t="shared" si="319"/>
        <v>0.12693877551020408</v>
      </c>
      <c r="AT134" s="80">
        <f t="shared" si="319"/>
        <v>0.26267281105990781</v>
      </c>
      <c r="AU134" s="41">
        <f t="shared" si="319"/>
        <v>0.3500151653017895</v>
      </c>
      <c r="AV134" s="80">
        <f t="shared" ref="AV134:AW134" si="325">AV120/AV$126</f>
        <v>0.33648566198901769</v>
      </c>
      <c r="AW134" s="80">
        <f t="shared" si="325"/>
        <v>0.24337281443880429</v>
      </c>
      <c r="AX134" s="80">
        <f t="shared" ref="AX134:AZ134" si="326">AX120/AX$126</f>
        <v>0.16212606837606838</v>
      </c>
      <c r="AY134" s="41">
        <f t="shared" si="326"/>
        <v>0.18090199042579996</v>
      </c>
      <c r="AZ134" s="80">
        <f t="shared" si="326"/>
        <v>0.17982873453853473</v>
      </c>
      <c r="BA134" s="80"/>
      <c r="BB134" s="73"/>
      <c r="BC134" s="72"/>
      <c r="BD134" s="80"/>
      <c r="BE134" s="80"/>
      <c r="BF134" s="73"/>
      <c r="BG134" s="72"/>
      <c r="BH134" s="80"/>
      <c r="BI134" s="80"/>
      <c r="BJ134" s="73"/>
      <c r="BK134" s="72"/>
      <c r="BL134" s="110"/>
      <c r="BM134" s="89"/>
      <c r="BN134" s="89">
        <f t="shared" si="322"/>
        <v>0.27519260400616335</v>
      </c>
      <c r="BO134" s="89">
        <f t="shared" si="322"/>
        <v>0.22598105548037889</v>
      </c>
      <c r="BP134" s="89">
        <f t="shared" si="322"/>
        <v>0.20462704427602713</v>
      </c>
      <c r="BQ134" s="80">
        <f t="shared" si="322"/>
        <v>0.28798827102314378</v>
      </c>
      <c r="BR134" s="80">
        <f t="shared" si="322"/>
        <v>0.19891604069601598</v>
      </c>
      <c r="BS134" s="80">
        <f t="shared" si="322"/>
        <v>0.27652253698818674</v>
      </c>
      <c r="BT134" s="25">
        <f t="shared" si="322"/>
        <v>0.35157810627247305</v>
      </c>
      <c r="BU134" s="131">
        <f>BU120/BU$126</f>
        <v>0.2978395061728395</v>
      </c>
      <c r="BV134" s="89"/>
      <c r="BW134" s="89"/>
      <c r="BX134" s="89"/>
      <c r="BY134" s="89"/>
      <c r="BZ134" s="89"/>
      <c r="CA134" s="122"/>
      <c r="CB134" s="826"/>
      <c r="CC134" s="57"/>
      <c r="CD134" s="57"/>
      <c r="CE134" s="57"/>
      <c r="CF134" s="57"/>
      <c r="CG134" s="57"/>
      <c r="CH134" s="818"/>
      <c r="CI134" s="810"/>
      <c r="CJ134" s="80"/>
      <c r="CK134" s="80"/>
      <c r="CL134" s="80"/>
      <c r="CM134" s="80"/>
      <c r="CN134" s="80"/>
      <c r="CO134" s="80"/>
      <c r="CP134" s="89"/>
      <c r="CQ134" s="89"/>
      <c r="CR134" s="89"/>
      <c r="CS134" s="89"/>
      <c r="CT134" s="806"/>
    </row>
    <row r="135" spans="1:98" ht="14.25" customHeight="1">
      <c r="A135" s="22"/>
      <c r="B135" s="57" t="s">
        <v>211</v>
      </c>
      <c r="D135" s="80">
        <f t="shared" ref="D135:AO135" si="327">D124/D$126</f>
        <v>0</v>
      </c>
      <c r="E135" s="80">
        <f t="shared" si="327"/>
        <v>0</v>
      </c>
      <c r="F135" s="80">
        <f t="shared" si="327"/>
        <v>0</v>
      </c>
      <c r="G135" s="41">
        <f t="shared" si="327"/>
        <v>0</v>
      </c>
      <c r="H135" s="80">
        <f t="shared" si="327"/>
        <v>0.20509442248572685</v>
      </c>
      <c r="I135" s="80">
        <f t="shared" si="327"/>
        <v>0.14584980237154149</v>
      </c>
      <c r="J135" s="80">
        <f t="shared" si="327"/>
        <v>0.13354158531823507</v>
      </c>
      <c r="K135" s="41">
        <f t="shared" si="327"/>
        <v>0.15885086607520069</v>
      </c>
      <c r="L135" s="80">
        <f t="shared" si="327"/>
        <v>0.23382846190704359</v>
      </c>
      <c r="M135" s="80">
        <f t="shared" si="327"/>
        <v>0.15860465116279071</v>
      </c>
      <c r="N135" s="80">
        <f t="shared" si="327"/>
        <v>0.14935064935064934</v>
      </c>
      <c r="O135" s="41">
        <f t="shared" si="327"/>
        <v>0.20303326810176126</v>
      </c>
      <c r="P135" s="80">
        <f t="shared" si="327"/>
        <v>0.28732183045761439</v>
      </c>
      <c r="Q135" s="80">
        <f t="shared" si="327"/>
        <v>0.20784313725490197</v>
      </c>
      <c r="R135" s="80">
        <f t="shared" si="327"/>
        <v>0.12257495590828923</v>
      </c>
      <c r="S135" s="41">
        <f t="shared" si="327"/>
        <v>0.15193189259986903</v>
      </c>
      <c r="T135" s="80">
        <f t="shared" si="327"/>
        <v>0.13034072471606273</v>
      </c>
      <c r="U135" s="80">
        <f t="shared" si="327"/>
        <v>0.10017421602787456</v>
      </c>
      <c r="V135" s="80">
        <f t="shared" si="327"/>
        <v>0.11675933280381255</v>
      </c>
      <c r="W135" s="41">
        <f t="shared" si="327"/>
        <v>0.13236313236313235</v>
      </c>
      <c r="X135" s="80">
        <f t="shared" si="327"/>
        <v>0.22710349962769918</v>
      </c>
      <c r="Y135" s="80">
        <f t="shared" si="327"/>
        <v>0.16317260656883298</v>
      </c>
      <c r="Z135" s="80">
        <f t="shared" si="327"/>
        <v>0.16182274847506278</v>
      </c>
      <c r="AA135" s="41">
        <f t="shared" si="327"/>
        <v>0.19890009165902842</v>
      </c>
      <c r="AB135" s="80">
        <f t="shared" si="327"/>
        <v>0.19049794426678848</v>
      </c>
      <c r="AC135" s="80">
        <f t="shared" si="327"/>
        <v>0.20385674931129477</v>
      </c>
      <c r="AD135" s="80">
        <f t="shared" si="327"/>
        <v>0.18822023047375161</v>
      </c>
      <c r="AE135" s="41">
        <f t="shared" si="327"/>
        <v>0.22660996354799515</v>
      </c>
      <c r="AF135" s="80">
        <f t="shared" si="327"/>
        <v>0.25492689129052765</v>
      </c>
      <c r="AG135" s="80">
        <f t="shared" si="327"/>
        <v>0.18347693867207299</v>
      </c>
      <c r="AH135" s="80">
        <f t="shared" si="327"/>
        <v>0.17873417721518986</v>
      </c>
      <c r="AI135" s="41">
        <f t="shared" si="327"/>
        <v>0.1795774647887324</v>
      </c>
      <c r="AJ135" s="80">
        <f t="shared" si="327"/>
        <v>0.12785388127853881</v>
      </c>
      <c r="AK135" s="80">
        <f t="shared" si="327"/>
        <v>0.1572460688482788</v>
      </c>
      <c r="AL135" s="80">
        <f t="shared" si="327"/>
        <v>0.30154525386313463</v>
      </c>
      <c r="AM135" s="41">
        <f t="shared" si="327"/>
        <v>0.27959363957597172</v>
      </c>
      <c r="AN135" s="80">
        <f t="shared" si="327"/>
        <v>0.22424756252649428</v>
      </c>
      <c r="AO135" s="80">
        <f t="shared" si="327"/>
        <v>0.19328419328419327</v>
      </c>
      <c r="AP135" s="80">
        <f t="shared" ref="AP135:AU136" si="328">AP124/AP$126</f>
        <v>0.26104417670682734</v>
      </c>
      <c r="AQ135" s="41">
        <f t="shared" si="328"/>
        <v>0.22128378378378377</v>
      </c>
      <c r="AR135" s="80">
        <f t="shared" si="328"/>
        <v>0.12981834293309702</v>
      </c>
      <c r="AS135" s="80">
        <f t="shared" si="328"/>
        <v>0.11102040816326531</v>
      </c>
      <c r="AT135" s="80">
        <f t="shared" si="328"/>
        <v>0.10244594115561857</v>
      </c>
      <c r="AU135" s="41">
        <f t="shared" si="328"/>
        <v>8.7655444343342437E-2</v>
      </c>
      <c r="AV135" s="80">
        <f t="shared" ref="AV135:AW135" si="329">AV124/AV$126</f>
        <v>9.6705308114704083E-2</v>
      </c>
      <c r="AW135" s="80">
        <f t="shared" si="329"/>
        <v>0.10800902425267908</v>
      </c>
      <c r="AX135" s="80">
        <f t="shared" ref="AX135:AZ135" si="330">AX124/AX$126</f>
        <v>9.5886752136752143E-2</v>
      </c>
      <c r="AY135" s="41">
        <f t="shared" si="330"/>
        <v>0.10456034265558076</v>
      </c>
      <c r="AZ135" s="80">
        <f t="shared" si="330"/>
        <v>8.8249286393910567E-2</v>
      </c>
      <c r="BA135" s="80"/>
      <c r="BB135" s="73"/>
      <c r="BC135" s="72"/>
      <c r="BD135" s="80"/>
      <c r="BE135" s="80"/>
      <c r="BF135" s="73"/>
      <c r="BG135" s="72"/>
      <c r="BH135" s="80"/>
      <c r="BI135" s="80"/>
      <c r="BJ135" s="73"/>
      <c r="BK135" s="72"/>
      <c r="BL135" s="110"/>
      <c r="BM135" s="89"/>
      <c r="BN135" s="89">
        <f t="shared" ref="BN135:BU136" si="331">BN124/BN$126</f>
        <v>0.15963020030816641</v>
      </c>
      <c r="BO135" s="89">
        <f t="shared" si="331"/>
        <v>0.18698486898757535</v>
      </c>
      <c r="BP135" s="89">
        <f t="shared" si="331"/>
        <v>0.19266055045871561</v>
      </c>
      <c r="BQ135" s="80">
        <f t="shared" si="331"/>
        <v>0.12011728976856215</v>
      </c>
      <c r="BR135" s="80">
        <f t="shared" si="331"/>
        <v>0.18655510126461919</v>
      </c>
      <c r="BS135" s="80">
        <f t="shared" si="331"/>
        <v>0.20059639866957221</v>
      </c>
      <c r="BT135" s="25">
        <f t="shared" si="331"/>
        <v>0.19616460247702758</v>
      </c>
      <c r="BU135" s="131">
        <f t="shared" si="331"/>
        <v>0.21671075837742504</v>
      </c>
      <c r="BV135" s="89"/>
      <c r="BW135" s="89"/>
      <c r="BX135" s="89"/>
      <c r="BY135" s="89"/>
      <c r="BZ135" s="89"/>
      <c r="CA135" s="122"/>
      <c r="CB135" s="110"/>
      <c r="CH135" s="818"/>
      <c r="CI135" s="810"/>
      <c r="CJ135" s="80"/>
      <c r="CK135" s="80"/>
      <c r="CL135" s="80"/>
      <c r="CM135" s="80"/>
      <c r="CN135" s="80"/>
      <c r="CO135" s="80"/>
      <c r="CP135" s="89"/>
      <c r="CQ135" s="89"/>
      <c r="CR135" s="89"/>
      <c r="CS135" s="89"/>
      <c r="CT135" s="806"/>
    </row>
    <row r="136" spans="1:98" ht="14.25" customHeight="1">
      <c r="A136" s="22"/>
      <c r="B136" s="57" t="s">
        <v>83</v>
      </c>
      <c r="D136" s="80">
        <f t="shared" ref="D136:AO136" si="332">D125/D$126</f>
        <v>0.22164748858447486</v>
      </c>
      <c r="E136" s="80">
        <f t="shared" si="332"/>
        <v>0.11934823037136048</v>
      </c>
      <c r="F136" s="80">
        <f t="shared" si="332"/>
        <v>0.14732737514976074</v>
      </c>
      <c r="G136" s="41">
        <f t="shared" si="332"/>
        <v>0.12776878496364194</v>
      </c>
      <c r="H136" s="80">
        <f t="shared" si="332"/>
        <v>0.11155028546332894</v>
      </c>
      <c r="I136" s="80">
        <f t="shared" si="332"/>
        <v>6.9565217391304349E-2</v>
      </c>
      <c r="J136" s="80">
        <f t="shared" si="332"/>
        <v>9.6446700507614211E-2</v>
      </c>
      <c r="K136" s="41">
        <f t="shared" si="332"/>
        <v>0.11787072243346007</v>
      </c>
      <c r="L136" s="80">
        <f t="shared" si="332"/>
        <v>0.10349784379492094</v>
      </c>
      <c r="M136" s="80">
        <f t="shared" si="332"/>
        <v>7.6744186046511634E-2</v>
      </c>
      <c r="N136" s="80">
        <f t="shared" si="332"/>
        <v>0.11038961038961038</v>
      </c>
      <c r="O136" s="41">
        <f t="shared" si="332"/>
        <v>0.17808219178082191</v>
      </c>
      <c r="P136" s="80">
        <f t="shared" si="332"/>
        <v>0.14778694673668416</v>
      </c>
      <c r="Q136" s="80">
        <f t="shared" si="332"/>
        <v>0.22647058823529412</v>
      </c>
      <c r="R136" s="80">
        <f t="shared" si="332"/>
        <v>0.15343915343915343</v>
      </c>
      <c r="S136" s="41">
        <f t="shared" si="332"/>
        <v>9.8886705959397511E-2</v>
      </c>
      <c r="T136" s="80">
        <f t="shared" si="332"/>
        <v>0.167658193618172</v>
      </c>
      <c r="U136" s="80">
        <f t="shared" si="332"/>
        <v>7.1864111498257846E-2</v>
      </c>
      <c r="V136" s="80">
        <f t="shared" si="332"/>
        <v>0.11318506751389992</v>
      </c>
      <c r="W136" s="41">
        <f t="shared" si="332"/>
        <v>7.6576576576576572E-2</v>
      </c>
      <c r="X136" s="80">
        <f t="shared" si="332"/>
        <v>0.10349962769918093</v>
      </c>
      <c r="Y136" s="80">
        <f t="shared" si="332"/>
        <v>0.1090146750524109</v>
      </c>
      <c r="Z136" s="80">
        <f t="shared" si="332"/>
        <v>9.2931467527807676E-2</v>
      </c>
      <c r="AA136" s="41">
        <f t="shared" si="332"/>
        <v>0.12419798350137488</v>
      </c>
      <c r="AB136" s="80">
        <f t="shared" si="332"/>
        <v>8.1772498857925993E-2</v>
      </c>
      <c r="AC136" s="80">
        <f t="shared" si="332"/>
        <v>9.012199921290831E-2</v>
      </c>
      <c r="AD136" s="80">
        <f t="shared" si="332"/>
        <v>7.8531796841655996E-2</v>
      </c>
      <c r="AE136" s="41">
        <f t="shared" si="332"/>
        <v>0.1646415552855407</v>
      </c>
      <c r="AF136" s="80">
        <f t="shared" si="332"/>
        <v>7.5651621106166564E-2</v>
      </c>
      <c r="AG136" s="80">
        <f t="shared" si="332"/>
        <v>7.2985301571211358E-2</v>
      </c>
      <c r="AH136" s="80">
        <f t="shared" si="332"/>
        <v>8.8607594936708861E-2</v>
      </c>
      <c r="AI136" s="41">
        <f t="shared" si="332"/>
        <v>0.12173038229376258</v>
      </c>
      <c r="AJ136" s="80">
        <f t="shared" si="332"/>
        <v>7.4885844748858441E-2</v>
      </c>
      <c r="AK136" s="80">
        <f t="shared" si="332"/>
        <v>6.6298342541436461E-2</v>
      </c>
      <c r="AL136" s="80">
        <f t="shared" si="332"/>
        <v>7.0640176600441501E-2</v>
      </c>
      <c r="AM136" s="41">
        <f t="shared" si="332"/>
        <v>7.8621908127208484E-2</v>
      </c>
      <c r="AN136" s="80">
        <f t="shared" si="332"/>
        <v>6.0618906316235691E-2</v>
      </c>
      <c r="AO136" s="80">
        <f t="shared" si="332"/>
        <v>6.9205569205569209E-2</v>
      </c>
      <c r="AP136" s="80">
        <f t="shared" si="328"/>
        <v>5.3815261044176707E-2</v>
      </c>
      <c r="AQ136" s="41">
        <f t="shared" si="328"/>
        <v>5.9121621621621621E-2</v>
      </c>
      <c r="AR136" s="80">
        <f t="shared" si="328"/>
        <v>6.1143110323438193E-2</v>
      </c>
      <c r="AS136" s="80">
        <f t="shared" si="328"/>
        <v>3.959183673469388E-2</v>
      </c>
      <c r="AT136" s="80">
        <f t="shared" si="328"/>
        <v>4.3956043956043959E-2</v>
      </c>
      <c r="AU136" s="41">
        <f t="shared" si="328"/>
        <v>7.7646345162268732E-2</v>
      </c>
      <c r="AV136" s="80">
        <f t="shared" ref="AV136:AW136" si="333">AV125/AV$126</f>
        <v>6.3758389261744972E-2</v>
      </c>
      <c r="AW136" s="80">
        <f t="shared" si="333"/>
        <v>5.3299492385786802E-2</v>
      </c>
      <c r="AX136" s="80">
        <f t="shared" ref="AX136:AZ136" si="334">AX125/AX$126</f>
        <v>5.1014957264957264E-2</v>
      </c>
      <c r="AY136" s="41">
        <f t="shared" si="334"/>
        <v>5.7193247669438146E-2</v>
      </c>
      <c r="AZ136" s="80">
        <f t="shared" si="334"/>
        <v>6.2797335870599436E-2</v>
      </c>
      <c r="BA136" s="80"/>
      <c r="BB136" s="73"/>
      <c r="BC136" s="72"/>
      <c r="BD136" s="80"/>
      <c r="BE136" s="80"/>
      <c r="BF136" s="73"/>
      <c r="BG136" s="72"/>
      <c r="BH136" s="80"/>
      <c r="BI136" s="80"/>
      <c r="BJ136" s="73"/>
      <c r="BK136" s="72"/>
      <c r="BL136" s="110"/>
      <c r="BM136" s="89"/>
      <c r="BN136" s="89">
        <f t="shared" si="331"/>
        <v>9.8202362609142266E-2</v>
      </c>
      <c r="BO136" s="89">
        <f t="shared" si="331"/>
        <v>0.11674252675605856</v>
      </c>
      <c r="BP136" s="89">
        <f t="shared" si="331"/>
        <v>0.15017949740725967</v>
      </c>
      <c r="BQ136" s="80">
        <f t="shared" si="331"/>
        <v>0.10273327049952875</v>
      </c>
      <c r="BR136" s="80">
        <f t="shared" si="331"/>
        <v>0.10649424740895692</v>
      </c>
      <c r="BS136" s="80">
        <f t="shared" si="331"/>
        <v>9.8979240738616817E-2</v>
      </c>
      <c r="BT136" s="25">
        <f t="shared" si="331"/>
        <v>9.0557997070182444E-2</v>
      </c>
      <c r="BU136" s="131">
        <f t="shared" si="331"/>
        <v>7.2530864197530867E-2</v>
      </c>
      <c r="BV136" s="89"/>
      <c r="BW136" s="89"/>
      <c r="BX136" s="89"/>
      <c r="BY136" s="89"/>
      <c r="BZ136" s="89"/>
      <c r="CA136" s="122"/>
      <c r="CB136" s="110"/>
      <c r="CH136" s="818"/>
      <c r="CI136" s="810"/>
      <c r="CJ136" s="80"/>
      <c r="CK136" s="80"/>
      <c r="CL136" s="80"/>
      <c r="CM136" s="80"/>
      <c r="CN136" s="80"/>
      <c r="CO136" s="80"/>
      <c r="CP136" s="89"/>
      <c r="CQ136" s="89"/>
      <c r="CR136" s="89"/>
      <c r="CS136" s="89"/>
      <c r="CT136" s="806"/>
    </row>
    <row r="137" spans="1:98" ht="14.25" customHeight="1">
      <c r="A137" s="22"/>
      <c r="B137" s="57" t="s">
        <v>244</v>
      </c>
      <c r="D137" s="80"/>
      <c r="E137" s="80"/>
      <c r="F137" s="80"/>
      <c r="G137" s="41"/>
      <c r="H137" s="80"/>
      <c r="I137" s="80"/>
      <c r="J137" s="80"/>
      <c r="K137" s="41"/>
      <c r="L137" s="80"/>
      <c r="M137" s="80"/>
      <c r="N137" s="80"/>
      <c r="O137" s="41"/>
      <c r="P137" s="80"/>
      <c r="Q137" s="80"/>
      <c r="R137" s="80"/>
      <c r="S137" s="41"/>
      <c r="T137" s="80"/>
      <c r="U137" s="80"/>
      <c r="V137" s="80"/>
      <c r="W137" s="41"/>
      <c r="X137" s="80"/>
      <c r="Y137" s="80"/>
      <c r="Z137" s="80"/>
      <c r="AA137" s="41"/>
      <c r="AB137" s="80"/>
      <c r="AC137" s="80"/>
      <c r="AD137" s="80"/>
      <c r="AE137" s="41"/>
      <c r="AF137" s="80"/>
      <c r="AG137" s="80"/>
      <c r="AH137" s="80"/>
      <c r="AI137" s="41"/>
      <c r="AJ137" s="80"/>
      <c r="AK137" s="80"/>
      <c r="AL137" s="80"/>
      <c r="AM137" s="41"/>
      <c r="AN137" s="80"/>
      <c r="AO137" s="80"/>
      <c r="AP137" s="80"/>
      <c r="AQ137" s="41"/>
      <c r="AR137" s="80"/>
      <c r="AS137" s="80"/>
      <c r="AT137" s="80"/>
      <c r="AU137" s="41"/>
      <c r="AV137" s="80"/>
      <c r="AW137" s="80"/>
      <c r="AX137" s="80"/>
      <c r="AY137" s="41"/>
      <c r="AZ137" s="80"/>
      <c r="BA137" s="80"/>
      <c r="BB137" s="73"/>
      <c r="BC137" s="72"/>
      <c r="BD137" s="80"/>
      <c r="BE137" s="80"/>
      <c r="BF137" s="73"/>
      <c r="BG137" s="72"/>
      <c r="BH137" s="80"/>
      <c r="BI137" s="80"/>
      <c r="BJ137" s="73"/>
      <c r="BK137" s="72"/>
      <c r="BL137" s="110"/>
      <c r="BM137" s="89"/>
      <c r="BN137" s="89">
        <f>BN138+BN139+BN140</f>
        <v>0.46697483307652798</v>
      </c>
      <c r="BO137" s="89">
        <f t="shared" ref="BO137:BT137" si="335">BO138+BO139+BO140</f>
        <v>0.47029154877598722</v>
      </c>
      <c r="BP137" s="89">
        <f t="shared" si="335"/>
        <v>0.32588751495811724</v>
      </c>
      <c r="BQ137" s="89">
        <f t="shared" si="335"/>
        <v>0.32610744580584361</v>
      </c>
      <c r="BR137" s="89">
        <f t="shared" si="335"/>
        <v>0.26328800988875156</v>
      </c>
      <c r="BS137" s="89">
        <f t="shared" si="335"/>
        <v>0.33409794701227202</v>
      </c>
      <c r="BT137" s="89">
        <f t="shared" si="335"/>
        <v>0.25689172992409109</v>
      </c>
      <c r="BU137" s="131">
        <f>BU138+BU139+BU140</f>
        <v>0.23567019400352734</v>
      </c>
      <c r="BV137" s="89"/>
      <c r="BW137" s="89"/>
      <c r="BX137" s="89"/>
      <c r="BY137" s="89"/>
      <c r="BZ137" s="89"/>
      <c r="CA137" s="122"/>
      <c r="CB137" s="826"/>
      <c r="CC137" s="57"/>
      <c r="CD137" s="57"/>
      <c r="CE137" s="57"/>
      <c r="CF137" s="57"/>
      <c r="CG137" s="57"/>
      <c r="CH137" s="818"/>
      <c r="CI137" s="810"/>
      <c r="CJ137" s="89"/>
      <c r="CK137" s="89"/>
      <c r="CL137" s="89"/>
      <c r="CM137" s="89"/>
      <c r="CN137" s="89"/>
      <c r="CO137" s="89"/>
      <c r="CP137" s="89"/>
      <c r="CQ137" s="89"/>
      <c r="CR137" s="89"/>
      <c r="CS137" s="89"/>
      <c r="CT137" s="806"/>
    </row>
    <row r="138" spans="1:98" ht="14.25" customHeight="1">
      <c r="A138" s="22"/>
      <c r="B138" s="57" t="s">
        <v>208</v>
      </c>
      <c r="D138" s="80">
        <f t="shared" ref="D138:Z138" si="336">D121/D$126</f>
        <v>0</v>
      </c>
      <c r="E138" s="80">
        <f t="shared" si="336"/>
        <v>0</v>
      </c>
      <c r="F138" s="80">
        <f t="shared" si="336"/>
        <v>0</v>
      </c>
      <c r="G138" s="41">
        <f t="shared" si="336"/>
        <v>0</v>
      </c>
      <c r="H138" s="80">
        <f t="shared" si="336"/>
        <v>0.11462450592885376</v>
      </c>
      <c r="I138" s="80">
        <f t="shared" si="336"/>
        <v>0.18418972332015809</v>
      </c>
      <c r="J138" s="80">
        <f t="shared" si="336"/>
        <v>0.13158922295978134</v>
      </c>
      <c r="K138" s="41">
        <f t="shared" si="336"/>
        <v>0.18124207858048164</v>
      </c>
      <c r="L138" s="80">
        <f t="shared" si="336"/>
        <v>0.15237182558696694</v>
      </c>
      <c r="M138" s="80">
        <f t="shared" si="336"/>
        <v>0.16883720930232557</v>
      </c>
      <c r="N138" s="80">
        <f t="shared" si="336"/>
        <v>0.14177489177489178</v>
      </c>
      <c r="O138" s="41">
        <f t="shared" si="336"/>
        <v>0.13454011741682975</v>
      </c>
      <c r="P138" s="80">
        <f t="shared" si="336"/>
        <v>0.16204051012753187</v>
      </c>
      <c r="Q138" s="80">
        <f t="shared" si="336"/>
        <v>0.15196078431372548</v>
      </c>
      <c r="R138" s="80">
        <f t="shared" si="336"/>
        <v>0.11375661375661375</v>
      </c>
      <c r="S138" s="41">
        <f t="shared" si="336"/>
        <v>0.14276358873608383</v>
      </c>
      <c r="T138" s="80">
        <f t="shared" si="336"/>
        <v>9.4104921579232018E-2</v>
      </c>
      <c r="U138" s="80">
        <f t="shared" si="336"/>
        <v>0.1014808362369338</v>
      </c>
      <c r="V138" s="80">
        <f t="shared" si="336"/>
        <v>8.061953931691819E-2</v>
      </c>
      <c r="W138" s="41">
        <f t="shared" si="336"/>
        <v>5.4747054747054748E-2</v>
      </c>
      <c r="X138" s="80">
        <f t="shared" si="336"/>
        <v>6.1801935964259119E-2</v>
      </c>
      <c r="Y138" s="80">
        <f t="shared" si="336"/>
        <v>7.2676450034940596E-2</v>
      </c>
      <c r="Z138" s="80">
        <f t="shared" si="336"/>
        <v>0.155005382131324</v>
      </c>
      <c r="AA138" s="41">
        <f t="shared" ref="AA138:AL138" si="337">AA121/AA$126</f>
        <v>0.11686526122823097</v>
      </c>
      <c r="AB138" s="80">
        <f t="shared" si="337"/>
        <v>9.913202375513934E-2</v>
      </c>
      <c r="AC138" s="80">
        <f t="shared" si="337"/>
        <v>6.6509248327430145E-2</v>
      </c>
      <c r="AD138" s="80">
        <f t="shared" si="337"/>
        <v>8.0665813060179253E-2</v>
      </c>
      <c r="AE138" s="41">
        <f t="shared" si="337"/>
        <v>7.8371810449574725E-2</v>
      </c>
      <c r="AF138" s="80">
        <f t="shared" si="337"/>
        <v>6.2301335028607754E-2</v>
      </c>
      <c r="AG138" s="80">
        <f t="shared" si="337"/>
        <v>7.9574252407501267E-2</v>
      </c>
      <c r="AH138" s="80">
        <f t="shared" si="337"/>
        <v>7.7974683544303799E-2</v>
      </c>
      <c r="AI138" s="41">
        <f t="shared" si="337"/>
        <v>0.13883299798792756</v>
      </c>
      <c r="AJ138" s="80">
        <f t="shared" si="337"/>
        <v>7.4885844748858441E-2</v>
      </c>
      <c r="AK138" s="80">
        <f t="shared" si="337"/>
        <v>9.1372715682107947E-2</v>
      </c>
      <c r="AL138" s="80">
        <f t="shared" si="337"/>
        <v>0.1011037527593819</v>
      </c>
      <c r="AM138" s="41">
        <f t="shared" ref="AM138:AO140" si="338">AM121/AM$126</f>
        <v>9.2314487632508838E-2</v>
      </c>
      <c r="AN138" s="80">
        <f t="shared" si="338"/>
        <v>9.7922848664688422E-2</v>
      </c>
      <c r="AO138" s="80">
        <f t="shared" si="338"/>
        <v>0.1122031122031122</v>
      </c>
      <c r="AP138" s="80">
        <f t="shared" ref="AP138:AS140" si="339">AP121/AP$126</f>
        <v>0.10883534136546184</v>
      </c>
      <c r="AQ138" s="41">
        <f t="shared" si="339"/>
        <v>0.10810810810810811</v>
      </c>
      <c r="AR138" s="80">
        <f t="shared" si="339"/>
        <v>0.1479840496233939</v>
      </c>
      <c r="AS138" s="80">
        <f t="shared" si="339"/>
        <v>0.10612244897959183</v>
      </c>
      <c r="AT138" s="80">
        <f t="shared" ref="AT138:AW140" si="340">AT121/AT$126</f>
        <v>0.11378943637008153</v>
      </c>
      <c r="AU138" s="41">
        <f t="shared" si="340"/>
        <v>0.11040339702760085</v>
      </c>
      <c r="AV138" s="80">
        <f t="shared" si="340"/>
        <v>7.1690054911531423E-2</v>
      </c>
      <c r="AW138" s="80">
        <f t="shared" si="340"/>
        <v>9.3626621545403271E-2</v>
      </c>
      <c r="AX138" s="80">
        <f t="shared" ref="AX138:AZ138" si="341">AX121/AX$126</f>
        <v>0.11858974358974358</v>
      </c>
      <c r="AY138" s="41">
        <f t="shared" si="341"/>
        <v>0.12773998488284202</v>
      </c>
      <c r="AZ138" s="80">
        <f t="shared" si="341"/>
        <v>0.11441484300666033</v>
      </c>
      <c r="BA138" s="80"/>
      <c r="BB138" s="73"/>
      <c r="BC138" s="72"/>
      <c r="BD138" s="80"/>
      <c r="BE138" s="80"/>
      <c r="BF138" s="73"/>
      <c r="BG138" s="72"/>
      <c r="BH138" s="80"/>
      <c r="BI138" s="80"/>
      <c r="BJ138" s="73"/>
      <c r="BK138" s="72"/>
      <c r="BL138" s="110"/>
      <c r="BM138" s="89"/>
      <c r="BN138" s="89">
        <f t="shared" ref="BN138:BU140" si="342">BN121/BN$126</f>
        <v>0.15336414997431946</v>
      </c>
      <c r="BO138" s="89">
        <f t="shared" si="342"/>
        <v>0.14983392791241235</v>
      </c>
      <c r="BP138" s="89">
        <f t="shared" si="342"/>
        <v>0.1431990426804946</v>
      </c>
      <c r="BQ138" s="80">
        <f t="shared" si="342"/>
        <v>8.0427269871190699E-2</v>
      </c>
      <c r="BR138" s="80">
        <f t="shared" si="342"/>
        <v>0.10088428259009223</v>
      </c>
      <c r="BS138" s="80">
        <f t="shared" si="342"/>
        <v>8.0743204495928436E-2</v>
      </c>
      <c r="BT138" s="25">
        <f t="shared" si="342"/>
        <v>9.1223864695698501E-2</v>
      </c>
      <c r="BU138" s="131">
        <f t="shared" si="342"/>
        <v>9.0057319223985896E-2</v>
      </c>
      <c r="BV138" s="89"/>
      <c r="BW138" s="89"/>
      <c r="BX138" s="89"/>
      <c r="BY138" s="89"/>
      <c r="BZ138" s="89"/>
      <c r="CA138" s="122"/>
      <c r="CB138" s="826"/>
      <c r="CC138" s="57"/>
      <c r="CD138" s="57"/>
      <c r="CE138" s="57"/>
      <c r="CF138" s="57"/>
      <c r="CG138" s="57"/>
      <c r="CH138" s="818"/>
      <c r="CI138" s="810"/>
      <c r="CJ138" s="80"/>
      <c r="CK138" s="80"/>
      <c r="CL138" s="80"/>
      <c r="CM138" s="80"/>
      <c r="CN138" s="80"/>
      <c r="CO138" s="80"/>
      <c r="CP138" s="89"/>
      <c r="CQ138" s="89"/>
      <c r="CR138" s="89"/>
      <c r="CS138" s="89"/>
      <c r="CT138" s="806"/>
    </row>
    <row r="139" spans="1:98" ht="14.25" customHeight="1">
      <c r="A139" s="22"/>
      <c r="B139" s="57" t="s">
        <v>209</v>
      </c>
      <c r="D139" s="80">
        <f t="shared" ref="D139:Z139" si="343">D122/D$126</f>
        <v>0.20434703196347032</v>
      </c>
      <c r="E139" s="80">
        <f t="shared" si="343"/>
        <v>0.2112584994478991</v>
      </c>
      <c r="F139" s="80">
        <f t="shared" si="343"/>
        <v>7.3842284251493889E-2</v>
      </c>
      <c r="G139" s="41">
        <f t="shared" si="343"/>
        <v>7.5693401883738215E-2</v>
      </c>
      <c r="H139" s="80">
        <f t="shared" si="343"/>
        <v>0.20860781730346947</v>
      </c>
      <c r="I139" s="80">
        <f t="shared" si="343"/>
        <v>0.19802371541501976</v>
      </c>
      <c r="J139" s="80">
        <f t="shared" si="343"/>
        <v>0.15501757126122609</v>
      </c>
      <c r="K139" s="41">
        <f t="shared" si="343"/>
        <v>0.2002534854245881</v>
      </c>
      <c r="L139" s="80">
        <f t="shared" si="343"/>
        <v>9.7268806899856258E-2</v>
      </c>
      <c r="M139" s="80">
        <f t="shared" si="343"/>
        <v>0.2</v>
      </c>
      <c r="N139" s="80">
        <f t="shared" si="343"/>
        <v>0.18831168831168832</v>
      </c>
      <c r="O139" s="41">
        <f t="shared" si="343"/>
        <v>0.16046966731898238</v>
      </c>
      <c r="P139" s="80">
        <f t="shared" si="343"/>
        <v>0.14028507126781695</v>
      </c>
      <c r="Q139" s="80">
        <f t="shared" si="343"/>
        <v>9.4117647058823528E-2</v>
      </c>
      <c r="R139" s="80">
        <f t="shared" si="343"/>
        <v>0.1146384479717813</v>
      </c>
      <c r="S139" s="41">
        <f t="shared" si="343"/>
        <v>0.16437459070072036</v>
      </c>
      <c r="T139" s="80">
        <f t="shared" si="343"/>
        <v>0.17901568415359653</v>
      </c>
      <c r="U139" s="80">
        <f t="shared" si="343"/>
        <v>0.27526132404181186</v>
      </c>
      <c r="V139" s="80">
        <f t="shared" si="343"/>
        <v>0.15806195393169181</v>
      </c>
      <c r="W139" s="41">
        <f t="shared" si="343"/>
        <v>0.14102564102564102</v>
      </c>
      <c r="X139" s="80">
        <f t="shared" si="343"/>
        <v>6.2918838421444523E-2</v>
      </c>
      <c r="Y139" s="80">
        <f t="shared" si="343"/>
        <v>0.10447239692522711</v>
      </c>
      <c r="Z139" s="80">
        <f t="shared" si="343"/>
        <v>0.10190168640114819</v>
      </c>
      <c r="AA139" s="41">
        <f t="shared" ref="AA139:AL139" si="344">AA122/AA$126</f>
        <v>0.16636113657195234</v>
      </c>
      <c r="AB139" s="80">
        <f t="shared" si="344"/>
        <v>0.28688899040657834</v>
      </c>
      <c r="AC139" s="80">
        <f t="shared" si="344"/>
        <v>0.29515938606847697</v>
      </c>
      <c r="AD139" s="80">
        <f t="shared" si="344"/>
        <v>0.16730687153222365</v>
      </c>
      <c r="AE139" s="41">
        <f t="shared" si="344"/>
        <v>7.7156743620899151E-2</v>
      </c>
      <c r="AF139" s="80">
        <f t="shared" si="344"/>
        <v>0.13032422123331214</v>
      </c>
      <c r="AG139" s="80">
        <f t="shared" si="344"/>
        <v>0.11454637607704005</v>
      </c>
      <c r="AH139" s="80">
        <f t="shared" si="344"/>
        <v>0.13265822784810127</v>
      </c>
      <c r="AI139" s="41">
        <f t="shared" si="344"/>
        <v>0.11619718309859155</v>
      </c>
      <c r="AJ139" s="80">
        <f t="shared" si="344"/>
        <v>9.1780821917808217E-2</v>
      </c>
      <c r="AK139" s="80">
        <f t="shared" si="344"/>
        <v>0.14917127071823205</v>
      </c>
      <c r="AL139" s="80">
        <f t="shared" si="344"/>
        <v>9.9779249448123622E-2</v>
      </c>
      <c r="AM139" s="41">
        <f t="shared" si="338"/>
        <v>8.2597173144876329E-2</v>
      </c>
      <c r="AN139" s="80">
        <f t="shared" si="338"/>
        <v>0.19669351420093259</v>
      </c>
      <c r="AO139" s="80">
        <f t="shared" si="338"/>
        <v>0.2194922194922195</v>
      </c>
      <c r="AP139" s="80">
        <f t="shared" si="339"/>
        <v>0.12369477911646587</v>
      </c>
      <c r="AQ139" s="41">
        <f t="shared" si="339"/>
        <v>9.1216216216216214E-2</v>
      </c>
      <c r="AR139" s="80">
        <f t="shared" si="339"/>
        <v>0.12095702259636686</v>
      </c>
      <c r="AS139" s="80">
        <f t="shared" si="339"/>
        <v>0.20653061224489797</v>
      </c>
      <c r="AT139" s="80">
        <f t="shared" si="340"/>
        <v>0.1673165544133286</v>
      </c>
      <c r="AU139" s="41">
        <f t="shared" si="340"/>
        <v>0.19168941461935093</v>
      </c>
      <c r="AV139" s="80">
        <f t="shared" si="340"/>
        <v>0.20439292251372787</v>
      </c>
      <c r="AW139" s="80">
        <f t="shared" si="340"/>
        <v>0.26565143824027071</v>
      </c>
      <c r="AX139" s="80">
        <f t="shared" ref="AX139:AZ139" si="345">AX122/AX$126</f>
        <v>0.33787393162393164</v>
      </c>
      <c r="AY139" s="41">
        <f t="shared" si="345"/>
        <v>0.29604434366339127</v>
      </c>
      <c r="AZ139" s="80">
        <f t="shared" si="345"/>
        <v>0.29257849666983826</v>
      </c>
      <c r="BA139" s="80"/>
      <c r="BB139" s="73"/>
      <c r="BC139" s="72"/>
      <c r="BD139" s="80"/>
      <c r="BE139" s="80"/>
      <c r="BF139" s="73"/>
      <c r="BG139" s="72"/>
      <c r="BH139" s="80"/>
      <c r="BI139" s="80"/>
      <c r="BJ139" s="73"/>
      <c r="BK139" s="72"/>
      <c r="BL139" s="110"/>
      <c r="BM139" s="89"/>
      <c r="BN139" s="89">
        <f t="shared" si="342"/>
        <v>0.18972778633795584</v>
      </c>
      <c r="BO139" s="89">
        <f t="shared" si="342"/>
        <v>0.16102841677943167</v>
      </c>
      <c r="BP139" s="89">
        <f t="shared" si="342"/>
        <v>0.13242919824491425</v>
      </c>
      <c r="BQ139" s="80">
        <f t="shared" si="342"/>
        <v>0.18515027751597027</v>
      </c>
      <c r="BR139" s="80">
        <f t="shared" si="342"/>
        <v>0.10601882666159551</v>
      </c>
      <c r="BS139" s="80">
        <f t="shared" si="342"/>
        <v>0.21757082234201169</v>
      </c>
      <c r="BT139" s="25">
        <f t="shared" si="342"/>
        <v>0.12305233719536555</v>
      </c>
      <c r="BU139" s="131">
        <f t="shared" si="342"/>
        <v>0.10637125220458554</v>
      </c>
      <c r="BV139" s="89"/>
      <c r="BW139" s="89"/>
      <c r="BX139" s="89"/>
      <c r="BY139" s="89"/>
      <c r="BZ139" s="89"/>
      <c r="CA139" s="122"/>
      <c r="CB139" s="110"/>
      <c r="CH139" s="818"/>
      <c r="CI139" s="810"/>
      <c r="CJ139" s="80"/>
      <c r="CK139" s="80"/>
      <c r="CL139" s="80"/>
      <c r="CM139" s="80"/>
      <c r="CN139" s="80"/>
      <c r="CO139" s="80"/>
      <c r="CP139" s="89"/>
      <c r="CQ139" s="89"/>
      <c r="CR139" s="89"/>
      <c r="CS139" s="89"/>
      <c r="CT139" s="806"/>
    </row>
    <row r="140" spans="1:98" ht="14.25" customHeight="1">
      <c r="A140" s="22"/>
      <c r="B140" s="57" t="s">
        <v>210</v>
      </c>
      <c r="D140" s="80">
        <f t="shared" ref="D140:Z140" si="346">D123/D$126</f>
        <v>1.8213698630136985E-2</v>
      </c>
      <c r="E140" s="80">
        <f t="shared" si="346"/>
        <v>9.1459870982739579E-3</v>
      </c>
      <c r="F140" s="80">
        <f t="shared" si="346"/>
        <v>2.2994322113989328E-3</v>
      </c>
      <c r="G140" s="41">
        <f t="shared" si="346"/>
        <v>9.0580469844251926E-3</v>
      </c>
      <c r="H140" s="80">
        <f t="shared" si="346"/>
        <v>0.10408432147562582</v>
      </c>
      <c r="I140" s="80">
        <f t="shared" si="346"/>
        <v>0.15454545454545454</v>
      </c>
      <c r="J140" s="80">
        <f t="shared" si="346"/>
        <v>0.13393205778992581</v>
      </c>
      <c r="K140" s="41">
        <f t="shared" si="346"/>
        <v>9.9281791297000418E-2</v>
      </c>
      <c r="L140" s="80">
        <f t="shared" si="346"/>
        <v>0.11787254432199329</v>
      </c>
      <c r="M140" s="80">
        <f t="shared" si="346"/>
        <v>0.15441860465116278</v>
      </c>
      <c r="N140" s="80">
        <f t="shared" si="346"/>
        <v>0.23917748917748918</v>
      </c>
      <c r="O140" s="41">
        <f t="shared" si="346"/>
        <v>0.13502935420743639</v>
      </c>
      <c r="P140" s="80">
        <f t="shared" si="346"/>
        <v>6.6016504126031508E-2</v>
      </c>
      <c r="Q140" s="80">
        <f t="shared" si="346"/>
        <v>4.0196078431372552E-2</v>
      </c>
      <c r="R140" s="80">
        <f t="shared" si="346"/>
        <v>4.6737213403880068E-2</v>
      </c>
      <c r="S140" s="41">
        <f t="shared" si="346"/>
        <v>4.5841519318926001E-2</v>
      </c>
      <c r="T140" s="80">
        <f t="shared" si="346"/>
        <v>7.3553272038939965E-2</v>
      </c>
      <c r="U140" s="80">
        <f t="shared" si="346"/>
        <v>4.573170731707317E-2</v>
      </c>
      <c r="V140" s="80">
        <f t="shared" si="346"/>
        <v>6.4336775218427317E-2</v>
      </c>
      <c r="W140" s="41">
        <f t="shared" si="346"/>
        <v>6.0637560637560636E-2</v>
      </c>
      <c r="X140" s="80">
        <f t="shared" si="346"/>
        <v>5.7334326135517498E-2</v>
      </c>
      <c r="Y140" s="80">
        <f t="shared" si="346"/>
        <v>6.4640111809923129E-2</v>
      </c>
      <c r="Z140" s="80">
        <f t="shared" si="346"/>
        <v>5.5974165769644778E-2</v>
      </c>
      <c r="AA140" s="41">
        <f t="shared" ref="AA140:AL140" si="347">AA123/AA$126</f>
        <v>4.4912923923006415E-2</v>
      </c>
      <c r="AB140" s="80">
        <f t="shared" si="347"/>
        <v>3.6089538602101415E-2</v>
      </c>
      <c r="AC140" s="80">
        <f t="shared" si="347"/>
        <v>2.5186934277843367E-2</v>
      </c>
      <c r="AD140" s="80">
        <f t="shared" si="347"/>
        <v>3.0729833546734954E-2</v>
      </c>
      <c r="AE140" s="41">
        <f t="shared" si="347"/>
        <v>5.8930741190765495E-2</v>
      </c>
      <c r="AF140" s="80">
        <f t="shared" si="347"/>
        <v>3.6872218690400506E-2</v>
      </c>
      <c r="AG140" s="80">
        <f t="shared" si="347"/>
        <v>3.6999493157627975E-2</v>
      </c>
      <c r="AH140" s="80">
        <f t="shared" si="347"/>
        <v>5.0632911392405063E-2</v>
      </c>
      <c r="AI140" s="41">
        <f t="shared" si="347"/>
        <v>4.4768611670020123E-2</v>
      </c>
      <c r="AJ140" s="80">
        <f t="shared" si="347"/>
        <v>3.9726027397260277E-2</v>
      </c>
      <c r="AK140" s="80">
        <f t="shared" si="347"/>
        <v>2.2099447513812154E-2</v>
      </c>
      <c r="AL140" s="80">
        <f t="shared" si="347"/>
        <v>3.5761589403973511E-2</v>
      </c>
      <c r="AM140" s="41">
        <f t="shared" si="338"/>
        <v>6.0070671378091869E-2</v>
      </c>
      <c r="AN140" s="80">
        <f t="shared" si="338"/>
        <v>3.603221704111912E-2</v>
      </c>
      <c r="AO140" s="80">
        <f t="shared" si="338"/>
        <v>3.9312039312039311E-2</v>
      </c>
      <c r="AP140" s="80">
        <f t="shared" si="339"/>
        <v>3.7751004016064259E-2</v>
      </c>
      <c r="AQ140" s="41">
        <f t="shared" si="339"/>
        <v>5.5320945945945943E-2</v>
      </c>
      <c r="AR140" s="80">
        <f t="shared" si="339"/>
        <v>3.8546743464776254E-2</v>
      </c>
      <c r="AS140" s="80">
        <f t="shared" si="339"/>
        <v>0.10285714285714286</v>
      </c>
      <c r="AT140" s="80">
        <f t="shared" si="340"/>
        <v>0.10740872031194612</v>
      </c>
      <c r="AU140" s="41">
        <f t="shared" si="340"/>
        <v>4.8832271762208071E-2</v>
      </c>
      <c r="AV140" s="80">
        <f t="shared" si="340"/>
        <v>2.9591214154972543E-2</v>
      </c>
      <c r="AW140" s="80">
        <f t="shared" si="340"/>
        <v>3.0738860688099268E-2</v>
      </c>
      <c r="AX140" s="80">
        <f t="shared" ref="AX140:AZ140" si="348">AX123/AX$126</f>
        <v>2.7777777777777776E-2</v>
      </c>
      <c r="AY140" s="41">
        <f t="shared" si="348"/>
        <v>8.3144368858654574E-2</v>
      </c>
      <c r="AZ140" s="80">
        <f t="shared" si="348"/>
        <v>4.4005708848715512E-2</v>
      </c>
      <c r="BA140" s="80"/>
      <c r="BB140" s="73"/>
      <c r="BC140" s="72"/>
      <c r="BD140" s="80"/>
      <c r="BE140" s="80"/>
      <c r="BF140" s="73"/>
      <c r="BG140" s="72"/>
      <c r="BH140" s="80"/>
      <c r="BI140" s="80"/>
      <c r="BJ140" s="73"/>
      <c r="BK140" s="72"/>
      <c r="BL140" s="110"/>
      <c r="BM140" s="89"/>
      <c r="BN140" s="89">
        <f t="shared" si="342"/>
        <v>0.1238828967642527</v>
      </c>
      <c r="BO140" s="89">
        <f t="shared" si="342"/>
        <v>0.15942920408414318</v>
      </c>
      <c r="BP140" s="89">
        <f t="shared" si="342"/>
        <v>5.0259274032708419E-2</v>
      </c>
      <c r="BQ140" s="80">
        <f t="shared" si="342"/>
        <v>6.0529898418682587E-2</v>
      </c>
      <c r="BR140" s="80">
        <f t="shared" si="342"/>
        <v>5.6384900637063799E-2</v>
      </c>
      <c r="BS140" s="80">
        <f t="shared" si="342"/>
        <v>3.5783920174331921E-2</v>
      </c>
      <c r="BT140" s="25">
        <f t="shared" si="342"/>
        <v>4.2615528033027032E-2</v>
      </c>
      <c r="BU140" s="131">
        <f t="shared" si="342"/>
        <v>3.9241622574955906E-2</v>
      </c>
      <c r="BV140" s="89"/>
      <c r="BW140" s="89"/>
      <c r="BX140" s="89"/>
      <c r="BY140" s="89"/>
      <c r="BZ140" s="89"/>
      <c r="CA140" s="122"/>
      <c r="CB140" s="110"/>
      <c r="CH140" s="818"/>
      <c r="CI140" s="810"/>
      <c r="CJ140" s="80"/>
      <c r="CK140" s="80"/>
      <c r="CL140" s="80"/>
      <c r="CM140" s="80"/>
      <c r="CN140" s="80"/>
      <c r="CO140" s="80"/>
      <c r="CP140" s="89"/>
      <c r="CQ140" s="89"/>
      <c r="CR140" s="89"/>
      <c r="CS140" s="89"/>
      <c r="CT140" s="806"/>
    </row>
    <row r="141" spans="1:98" ht="14.25" customHeight="1">
      <c r="A141" s="22"/>
      <c r="B141" s="57"/>
      <c r="D141" s="80"/>
      <c r="E141" s="80"/>
      <c r="F141" s="80"/>
      <c r="G141" s="41"/>
      <c r="H141" s="80"/>
      <c r="I141" s="80"/>
      <c r="J141" s="80"/>
      <c r="K141" s="41"/>
      <c r="L141" s="80"/>
      <c r="M141" s="80"/>
      <c r="N141" s="80"/>
      <c r="O141" s="41"/>
      <c r="P141" s="80"/>
      <c r="Q141" s="80"/>
      <c r="R141" s="80"/>
      <c r="S141" s="41"/>
      <c r="T141" s="80"/>
      <c r="U141" s="80"/>
      <c r="V141" s="80"/>
      <c r="W141" s="41"/>
      <c r="X141" s="80"/>
      <c r="Y141" s="80"/>
      <c r="Z141" s="80"/>
      <c r="AA141" s="41"/>
      <c r="AB141" s="80"/>
      <c r="AC141" s="80"/>
      <c r="AD141" s="80"/>
      <c r="AE141" s="41"/>
      <c r="AF141" s="80"/>
      <c r="AG141" s="80"/>
      <c r="AH141" s="80"/>
      <c r="AI141" s="41"/>
      <c r="AJ141" s="80"/>
      <c r="AK141" s="80"/>
      <c r="AL141" s="80"/>
      <c r="AM141" s="41"/>
      <c r="AN141" s="80"/>
      <c r="AO141" s="80"/>
      <c r="AP141" s="80"/>
      <c r="AQ141" s="41"/>
      <c r="AR141" s="80"/>
      <c r="AS141" s="80"/>
      <c r="AT141" s="80"/>
      <c r="AU141" s="41"/>
      <c r="AV141" s="80"/>
      <c r="AW141" s="80"/>
      <c r="AX141" s="80"/>
      <c r="AY141" s="41"/>
      <c r="AZ141" s="80"/>
      <c r="BA141" s="80"/>
      <c r="BB141" s="73"/>
      <c r="BC141" s="72"/>
      <c r="BD141" s="80"/>
      <c r="BE141" s="80"/>
      <c r="BF141" s="73"/>
      <c r="BG141" s="72"/>
      <c r="BH141" s="80"/>
      <c r="BI141" s="80"/>
      <c r="BJ141" s="73"/>
      <c r="BK141" s="72"/>
      <c r="BL141" s="110"/>
      <c r="BM141" s="89"/>
      <c r="BN141" s="89"/>
      <c r="BO141" s="89"/>
      <c r="BP141" s="89"/>
      <c r="BQ141" s="80"/>
      <c r="BR141" s="80"/>
      <c r="BS141" s="80"/>
      <c r="BT141" s="25"/>
      <c r="BU141" s="131"/>
      <c r="BV141" s="89"/>
      <c r="BW141" s="89"/>
      <c r="BX141" s="89"/>
      <c r="BY141" s="89"/>
      <c r="BZ141" s="89"/>
      <c r="CA141" s="122"/>
      <c r="CB141" s="110"/>
      <c r="CH141" s="818"/>
      <c r="CI141" s="810"/>
      <c r="CJ141" s="80"/>
      <c r="CK141" s="80"/>
      <c r="CL141" s="80"/>
      <c r="CM141" s="80"/>
      <c r="CN141" s="80"/>
      <c r="CO141" s="80"/>
      <c r="CP141" s="89"/>
      <c r="CQ141" s="89"/>
      <c r="CR141" s="89"/>
      <c r="CS141" s="89"/>
      <c r="CT141" s="806"/>
    </row>
    <row r="142" spans="1:98" s="64" customFormat="1" ht="14.25" customHeight="1">
      <c r="A142" s="151"/>
      <c r="B142" s="90" t="s">
        <v>206</v>
      </c>
      <c r="D142" s="91">
        <f t="shared" ref="D142:AO142" si="349">SUM(D133:D140)</f>
        <v>1</v>
      </c>
      <c r="E142" s="91">
        <f t="shared" si="349"/>
        <v>0.99999999999999989</v>
      </c>
      <c r="F142" s="91">
        <f t="shared" si="349"/>
        <v>1</v>
      </c>
      <c r="G142" s="92">
        <f t="shared" si="349"/>
        <v>0.99999999999999989</v>
      </c>
      <c r="H142" s="91">
        <f t="shared" si="349"/>
        <v>1</v>
      </c>
      <c r="I142" s="91">
        <f t="shared" si="349"/>
        <v>1</v>
      </c>
      <c r="J142" s="91">
        <f t="shared" si="349"/>
        <v>1</v>
      </c>
      <c r="K142" s="92">
        <f t="shared" si="349"/>
        <v>1</v>
      </c>
      <c r="L142" s="91">
        <f t="shared" si="349"/>
        <v>1</v>
      </c>
      <c r="M142" s="91">
        <f t="shared" si="349"/>
        <v>0.99999999999999989</v>
      </c>
      <c r="N142" s="91">
        <f t="shared" si="349"/>
        <v>1</v>
      </c>
      <c r="O142" s="92">
        <f t="shared" si="349"/>
        <v>1</v>
      </c>
      <c r="P142" s="91">
        <f t="shared" si="349"/>
        <v>1</v>
      </c>
      <c r="Q142" s="91">
        <f t="shared" si="349"/>
        <v>1</v>
      </c>
      <c r="R142" s="91">
        <f t="shared" si="349"/>
        <v>0.99999999999999989</v>
      </c>
      <c r="S142" s="92">
        <f t="shared" si="349"/>
        <v>1</v>
      </c>
      <c r="T142" s="91">
        <f t="shared" si="349"/>
        <v>1</v>
      </c>
      <c r="U142" s="91">
        <f t="shared" si="349"/>
        <v>1</v>
      </c>
      <c r="V142" s="91">
        <f t="shared" si="349"/>
        <v>1.0000000000000002</v>
      </c>
      <c r="W142" s="92">
        <f t="shared" si="349"/>
        <v>1</v>
      </c>
      <c r="X142" s="91">
        <f t="shared" si="349"/>
        <v>1</v>
      </c>
      <c r="Y142" s="91">
        <f t="shared" si="349"/>
        <v>1</v>
      </c>
      <c r="Z142" s="91">
        <f t="shared" si="349"/>
        <v>0.99999999999999989</v>
      </c>
      <c r="AA142" s="92">
        <f t="shared" si="349"/>
        <v>1</v>
      </c>
      <c r="AB142" s="91">
        <f t="shared" si="349"/>
        <v>1</v>
      </c>
      <c r="AC142" s="91">
        <f t="shared" si="349"/>
        <v>0.99999999999999989</v>
      </c>
      <c r="AD142" s="91">
        <f t="shared" si="349"/>
        <v>1</v>
      </c>
      <c r="AE142" s="92">
        <f t="shared" si="349"/>
        <v>1</v>
      </c>
      <c r="AF142" s="91">
        <f t="shared" si="349"/>
        <v>0.99999999999999989</v>
      </c>
      <c r="AG142" s="91">
        <f t="shared" si="349"/>
        <v>1.0000000000000002</v>
      </c>
      <c r="AH142" s="91">
        <f t="shared" si="349"/>
        <v>1</v>
      </c>
      <c r="AI142" s="92">
        <f t="shared" si="349"/>
        <v>1</v>
      </c>
      <c r="AJ142" s="91">
        <f t="shared" si="349"/>
        <v>0.99999999999999989</v>
      </c>
      <c r="AK142" s="91">
        <f t="shared" si="349"/>
        <v>1</v>
      </c>
      <c r="AL142" s="91">
        <f t="shared" si="349"/>
        <v>1</v>
      </c>
      <c r="AM142" s="92">
        <f t="shared" si="349"/>
        <v>1</v>
      </c>
      <c r="AN142" s="91">
        <f t="shared" si="349"/>
        <v>0.99999999999999989</v>
      </c>
      <c r="AO142" s="91">
        <f t="shared" si="349"/>
        <v>1</v>
      </c>
      <c r="AP142" s="91">
        <f t="shared" ref="AP142:AU142" si="350">SUM(AP133:AP140)</f>
        <v>1</v>
      </c>
      <c r="AQ142" s="92">
        <f t="shared" si="350"/>
        <v>1</v>
      </c>
      <c r="AR142" s="91">
        <f t="shared" si="350"/>
        <v>1</v>
      </c>
      <c r="AS142" s="91">
        <f t="shared" si="350"/>
        <v>1</v>
      </c>
      <c r="AT142" s="91">
        <f t="shared" si="350"/>
        <v>1</v>
      </c>
      <c r="AU142" s="92">
        <f t="shared" si="350"/>
        <v>1</v>
      </c>
      <c r="AV142" s="91">
        <f t="shared" ref="AV142:AW142" si="351">SUM(AV133:AV140)</f>
        <v>1</v>
      </c>
      <c r="AW142" s="91">
        <f t="shared" si="351"/>
        <v>1</v>
      </c>
      <c r="AX142" s="91">
        <f t="shared" ref="AX142:AZ142" si="352">SUM(AX133:AX140)</f>
        <v>1</v>
      </c>
      <c r="AY142" s="92">
        <f t="shared" si="352"/>
        <v>1</v>
      </c>
      <c r="AZ142" s="91">
        <f t="shared" si="352"/>
        <v>1</v>
      </c>
      <c r="BA142" s="91"/>
      <c r="BB142" s="76"/>
      <c r="BC142" s="75"/>
      <c r="BD142" s="91"/>
      <c r="BE142" s="91"/>
      <c r="BF142" s="76"/>
      <c r="BG142" s="75"/>
      <c r="BH142" s="91"/>
      <c r="BI142" s="91"/>
      <c r="BJ142" s="76"/>
      <c r="BK142" s="75"/>
      <c r="BL142" s="111"/>
      <c r="BM142" s="93"/>
      <c r="BN142" s="93">
        <f>SUM(BN133:BN137)</f>
        <v>1</v>
      </c>
      <c r="BO142" s="93">
        <f t="shared" ref="BO142:BT142" si="353">SUM(BO133:BO137)</f>
        <v>1</v>
      </c>
      <c r="BP142" s="93">
        <f t="shared" si="353"/>
        <v>1</v>
      </c>
      <c r="BQ142" s="93">
        <f t="shared" si="353"/>
        <v>1</v>
      </c>
      <c r="BR142" s="93">
        <f t="shared" si="353"/>
        <v>1</v>
      </c>
      <c r="BS142" s="93">
        <f t="shared" si="353"/>
        <v>1</v>
      </c>
      <c r="BT142" s="93">
        <f t="shared" si="353"/>
        <v>1</v>
      </c>
      <c r="BU142" s="132">
        <f>SUM(BU133:BU137)</f>
        <v>1</v>
      </c>
      <c r="BV142" s="93"/>
      <c r="BW142" s="93"/>
      <c r="BX142" s="93"/>
      <c r="BY142" s="93"/>
      <c r="BZ142" s="93"/>
      <c r="CA142" s="123"/>
      <c r="CB142" s="111"/>
      <c r="CH142" s="819"/>
      <c r="CI142" s="811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813"/>
    </row>
    <row r="143" spans="1:98" ht="14.25" customHeight="1">
      <c r="A143" s="22"/>
      <c r="G143" s="22"/>
      <c r="K143" s="22"/>
      <c r="O143" s="22"/>
      <c r="S143" s="22"/>
      <c r="W143" s="22"/>
      <c r="AA143" s="22"/>
      <c r="AE143" s="22"/>
      <c r="AI143" s="22"/>
      <c r="AM143" s="22"/>
      <c r="AQ143" s="22"/>
      <c r="AU143" s="22"/>
      <c r="AY143" s="22"/>
      <c r="BC143" s="22"/>
      <c r="BG143" s="22"/>
      <c r="BK143" s="22"/>
      <c r="BL143" s="110"/>
      <c r="BU143" s="133"/>
      <c r="CA143" s="22"/>
      <c r="CB143" s="110"/>
      <c r="CH143" s="818"/>
      <c r="CI143" s="806"/>
      <c r="CT143" s="806"/>
    </row>
    <row r="144" spans="1:98" ht="14.25" customHeight="1">
      <c r="A144" s="23"/>
      <c r="B144" s="26" t="s">
        <v>195</v>
      </c>
      <c r="C144" s="26"/>
      <c r="D144" s="44" t="str">
        <f t="shared" ref="D144:AM144" si="354">IF(ROUND(D142,1)=1,"OK",D142)</f>
        <v>OK</v>
      </c>
      <c r="E144" s="44" t="str">
        <f t="shared" si="354"/>
        <v>OK</v>
      </c>
      <c r="F144" s="44" t="str">
        <f t="shared" si="354"/>
        <v>OK</v>
      </c>
      <c r="G144" s="45" t="str">
        <f t="shared" si="354"/>
        <v>OK</v>
      </c>
      <c r="H144" s="44" t="str">
        <f t="shared" si="354"/>
        <v>OK</v>
      </c>
      <c r="I144" s="44" t="str">
        <f t="shared" si="354"/>
        <v>OK</v>
      </c>
      <c r="J144" s="44" t="str">
        <f t="shared" si="354"/>
        <v>OK</v>
      </c>
      <c r="K144" s="45" t="str">
        <f t="shared" si="354"/>
        <v>OK</v>
      </c>
      <c r="L144" s="44" t="str">
        <f t="shared" si="354"/>
        <v>OK</v>
      </c>
      <c r="M144" s="44" t="str">
        <f t="shared" si="354"/>
        <v>OK</v>
      </c>
      <c r="N144" s="44" t="str">
        <f t="shared" si="354"/>
        <v>OK</v>
      </c>
      <c r="O144" s="45" t="str">
        <f t="shared" si="354"/>
        <v>OK</v>
      </c>
      <c r="P144" s="44" t="str">
        <f t="shared" si="354"/>
        <v>OK</v>
      </c>
      <c r="Q144" s="44" t="str">
        <f t="shared" si="354"/>
        <v>OK</v>
      </c>
      <c r="R144" s="44" t="str">
        <f t="shared" si="354"/>
        <v>OK</v>
      </c>
      <c r="S144" s="45" t="str">
        <f t="shared" si="354"/>
        <v>OK</v>
      </c>
      <c r="T144" s="44" t="str">
        <f t="shared" si="354"/>
        <v>OK</v>
      </c>
      <c r="U144" s="44" t="str">
        <f t="shared" si="354"/>
        <v>OK</v>
      </c>
      <c r="V144" s="44" t="str">
        <f t="shared" si="354"/>
        <v>OK</v>
      </c>
      <c r="W144" s="45" t="str">
        <f t="shared" si="354"/>
        <v>OK</v>
      </c>
      <c r="X144" s="44" t="str">
        <f t="shared" si="354"/>
        <v>OK</v>
      </c>
      <c r="Y144" s="44" t="str">
        <f t="shared" si="354"/>
        <v>OK</v>
      </c>
      <c r="Z144" s="44" t="str">
        <f t="shared" si="354"/>
        <v>OK</v>
      </c>
      <c r="AA144" s="45" t="str">
        <f t="shared" si="354"/>
        <v>OK</v>
      </c>
      <c r="AB144" s="44" t="str">
        <f t="shared" si="354"/>
        <v>OK</v>
      </c>
      <c r="AC144" s="44" t="str">
        <f t="shared" si="354"/>
        <v>OK</v>
      </c>
      <c r="AD144" s="44" t="str">
        <f t="shared" si="354"/>
        <v>OK</v>
      </c>
      <c r="AE144" s="45" t="str">
        <f t="shared" si="354"/>
        <v>OK</v>
      </c>
      <c r="AF144" s="44" t="str">
        <f t="shared" si="354"/>
        <v>OK</v>
      </c>
      <c r="AG144" s="44" t="str">
        <f t="shared" si="354"/>
        <v>OK</v>
      </c>
      <c r="AH144" s="44" t="str">
        <f t="shared" si="354"/>
        <v>OK</v>
      </c>
      <c r="AI144" s="45" t="str">
        <f t="shared" si="354"/>
        <v>OK</v>
      </c>
      <c r="AJ144" s="44" t="str">
        <f t="shared" si="354"/>
        <v>OK</v>
      </c>
      <c r="AK144" s="44" t="str">
        <f t="shared" si="354"/>
        <v>OK</v>
      </c>
      <c r="AL144" s="44" t="str">
        <f t="shared" si="354"/>
        <v>OK</v>
      </c>
      <c r="AM144" s="45" t="str">
        <f t="shared" si="354"/>
        <v>OK</v>
      </c>
      <c r="AN144" s="44" t="str">
        <f t="shared" ref="AN144:AU144" si="355">IF(ROUND(AN142,1)=1,"OK",AN142)</f>
        <v>OK</v>
      </c>
      <c r="AO144" s="44" t="str">
        <f t="shared" si="355"/>
        <v>OK</v>
      </c>
      <c r="AP144" s="44" t="str">
        <f t="shared" si="355"/>
        <v>OK</v>
      </c>
      <c r="AQ144" s="45" t="str">
        <f t="shared" si="355"/>
        <v>OK</v>
      </c>
      <c r="AR144" s="44" t="str">
        <f t="shared" si="355"/>
        <v>OK</v>
      </c>
      <c r="AS144" s="44" t="str">
        <f t="shared" si="355"/>
        <v>OK</v>
      </c>
      <c r="AT144" s="44" t="str">
        <f t="shared" si="355"/>
        <v>OK</v>
      </c>
      <c r="AU144" s="45" t="str">
        <f t="shared" si="355"/>
        <v>OK</v>
      </c>
      <c r="AV144" s="44" t="str">
        <f t="shared" ref="AV144:AW144" si="356">IF(ROUND(AV142,1)=1,"OK",AV142)</f>
        <v>OK</v>
      </c>
      <c r="AW144" s="44" t="str">
        <f t="shared" si="356"/>
        <v>OK</v>
      </c>
      <c r="AX144" s="44" t="str">
        <f t="shared" ref="AX144:AZ144" si="357">IF(ROUND(AX142,1)=1,"OK",AX142)</f>
        <v>OK</v>
      </c>
      <c r="AY144" s="45" t="str">
        <f t="shared" si="357"/>
        <v>OK</v>
      </c>
      <c r="AZ144" s="44" t="str">
        <f t="shared" si="357"/>
        <v>OK</v>
      </c>
      <c r="BA144" s="42"/>
      <c r="BB144" s="42"/>
      <c r="BC144" s="43"/>
      <c r="BD144" s="42"/>
      <c r="BE144" s="42"/>
      <c r="BF144" s="42"/>
      <c r="BG144" s="43"/>
      <c r="BH144" s="42"/>
      <c r="BI144" s="42"/>
      <c r="BJ144" s="42"/>
      <c r="BK144" s="43"/>
      <c r="BL144" s="109"/>
      <c r="BM144" s="44"/>
      <c r="BN144" s="44" t="str">
        <f t="shared" ref="BN144:BT144" si="358">IF(ROUND(BN142,1)=1,"OK",BN142)</f>
        <v>OK</v>
      </c>
      <c r="BO144" s="44" t="str">
        <f t="shared" si="358"/>
        <v>OK</v>
      </c>
      <c r="BP144" s="44" t="str">
        <f t="shared" si="358"/>
        <v>OK</v>
      </c>
      <c r="BQ144" s="44" t="str">
        <f t="shared" si="358"/>
        <v>OK</v>
      </c>
      <c r="BR144" s="44" t="str">
        <f t="shared" si="358"/>
        <v>OK</v>
      </c>
      <c r="BS144" s="44" t="str">
        <f t="shared" si="358"/>
        <v>OK</v>
      </c>
      <c r="BT144" s="44" t="str">
        <f t="shared" si="358"/>
        <v>OK</v>
      </c>
      <c r="BU144" s="134" t="str">
        <f>IF(ROUND(BU142,1)=1,"OK",BU142)</f>
        <v>OK</v>
      </c>
      <c r="BV144" s="44"/>
      <c r="BW144" s="44"/>
      <c r="BX144" s="44"/>
      <c r="BY144" s="44"/>
      <c r="BZ144" s="44"/>
      <c r="CA144" s="45"/>
      <c r="CB144" s="110"/>
      <c r="CH144" s="818"/>
      <c r="CI144" s="80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806"/>
    </row>
    <row r="145" spans="1:98" ht="14.25" customHeight="1">
      <c r="A145" s="23"/>
      <c r="B145" s="648"/>
      <c r="C145" s="649"/>
      <c r="D145" s="113"/>
      <c r="E145" s="113"/>
      <c r="F145" s="113"/>
      <c r="G145" s="124"/>
      <c r="H145" s="113"/>
      <c r="I145" s="113"/>
      <c r="J145" s="113"/>
      <c r="K145" s="124"/>
      <c r="L145" s="113"/>
      <c r="M145" s="113"/>
      <c r="N145" s="113"/>
      <c r="O145" s="124"/>
      <c r="P145" s="113"/>
      <c r="Q145" s="113"/>
      <c r="R145" s="113"/>
      <c r="S145" s="124"/>
      <c r="T145" s="113"/>
      <c r="U145" s="113"/>
      <c r="V145" s="113"/>
      <c r="W145" s="124"/>
      <c r="X145" s="113"/>
      <c r="Y145" s="113"/>
      <c r="Z145" s="113"/>
      <c r="AA145" s="124"/>
      <c r="AB145" s="113"/>
      <c r="AC145" s="113"/>
      <c r="AD145" s="113"/>
      <c r="AE145" s="124"/>
      <c r="AF145" s="113"/>
      <c r="AG145" s="113"/>
      <c r="AH145" s="113"/>
      <c r="AI145" s="124"/>
      <c r="AJ145" s="113"/>
      <c r="AK145" s="113"/>
      <c r="AL145" s="113"/>
      <c r="AM145" s="124"/>
      <c r="AN145" s="113"/>
      <c r="AO145" s="113"/>
      <c r="AP145" s="113"/>
      <c r="AQ145" s="124"/>
      <c r="AR145" s="113"/>
      <c r="AS145" s="113"/>
      <c r="AT145" s="113"/>
      <c r="AU145" s="124"/>
      <c r="AV145" s="113"/>
      <c r="AW145" s="113"/>
      <c r="AX145" s="113"/>
      <c r="AY145" s="124"/>
      <c r="AZ145" s="113"/>
      <c r="BA145" s="113"/>
      <c r="BB145" s="113"/>
      <c r="BC145" s="124"/>
      <c r="BD145" s="113"/>
      <c r="BE145" s="113"/>
      <c r="BF145" s="113"/>
      <c r="BG145" s="124"/>
      <c r="BH145" s="113"/>
      <c r="BI145" s="113"/>
      <c r="BJ145" s="113"/>
      <c r="BK145" s="124"/>
      <c r="BL145" s="109"/>
      <c r="BM145" s="112"/>
      <c r="BN145" s="113"/>
      <c r="BO145" s="113"/>
      <c r="BP145" s="113"/>
      <c r="BQ145" s="113"/>
      <c r="BR145" s="113"/>
      <c r="BS145" s="113"/>
      <c r="BT145" s="113"/>
      <c r="BU145" s="124"/>
      <c r="BV145" s="113"/>
      <c r="BW145" s="113"/>
      <c r="BX145" s="113"/>
      <c r="BY145" s="113"/>
      <c r="BZ145" s="113"/>
      <c r="CA145" s="124"/>
      <c r="CB145" s="110"/>
      <c r="CH145" s="818"/>
      <c r="CI145" s="812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806"/>
    </row>
    <row r="148" spans="1:98" ht="14.25" hidden="1" customHeight="1" outlineLevel="1">
      <c r="B148" s="672" t="s">
        <v>428</v>
      </c>
      <c r="C148" s="672"/>
      <c r="D148" s="672"/>
      <c r="E148" s="672"/>
      <c r="F148" s="672"/>
      <c r="G148" s="672"/>
      <c r="H148" s="672"/>
      <c r="I148" s="672"/>
      <c r="J148" s="672"/>
      <c r="K148" s="672"/>
      <c r="L148" s="672"/>
      <c r="M148" s="672"/>
      <c r="N148" s="672"/>
      <c r="O148" s="672"/>
      <c r="P148" s="672"/>
      <c r="Q148" s="672"/>
      <c r="R148" s="672"/>
      <c r="S148" s="672"/>
      <c r="T148" s="672"/>
      <c r="U148" s="672"/>
      <c r="V148" s="672"/>
      <c r="W148" s="672"/>
      <c r="X148" s="672"/>
      <c r="Y148" s="672"/>
      <c r="Z148" s="672"/>
      <c r="AA148" s="672"/>
      <c r="AB148" s="672"/>
      <c r="AC148" s="672"/>
      <c r="AD148" s="672"/>
      <c r="AE148" s="672"/>
      <c r="AF148" s="672"/>
      <c r="AG148" s="672"/>
      <c r="AH148" s="672"/>
      <c r="AI148" s="672"/>
      <c r="AJ148" s="672"/>
      <c r="AK148" s="672"/>
      <c r="AL148" s="672"/>
      <c r="AM148" s="672"/>
      <c r="AN148" s="672"/>
      <c r="AO148" s="672"/>
      <c r="AP148" s="672"/>
      <c r="AQ148" s="672"/>
      <c r="AR148" s="672"/>
      <c r="AS148" s="672"/>
      <c r="AT148" s="672"/>
      <c r="AU148" s="672"/>
      <c r="AV148" s="672"/>
      <c r="AW148" s="672"/>
      <c r="AX148" s="672"/>
      <c r="AY148" s="672"/>
      <c r="AZ148" s="672"/>
      <c r="BA148" s="672"/>
      <c r="BB148" s="672"/>
      <c r="BC148" s="672"/>
      <c r="BD148" s="672"/>
      <c r="BE148" s="672"/>
      <c r="BF148" s="672"/>
      <c r="BG148" s="672"/>
      <c r="BH148" s="672"/>
      <c r="BI148" s="672"/>
      <c r="BJ148" s="672"/>
      <c r="BK148" s="672"/>
      <c r="BL148" s="672"/>
      <c r="BM148" s="672"/>
      <c r="BN148" s="672"/>
      <c r="BO148" s="672"/>
      <c r="BP148" s="672"/>
      <c r="BQ148" s="672"/>
      <c r="BR148" s="672"/>
      <c r="BS148" s="672"/>
      <c r="BT148" s="672"/>
      <c r="BU148" s="672"/>
      <c r="BV148" s="672"/>
      <c r="BW148" s="672"/>
      <c r="BX148" s="672"/>
      <c r="BY148" s="672"/>
      <c r="BZ148" s="672"/>
      <c r="CA148" s="672"/>
    </row>
    <row r="149" spans="1:98" ht="14.25" hidden="1" customHeight="1" outlineLevel="1">
      <c r="D149" s="20" t="s">
        <v>25</v>
      </c>
      <c r="E149" s="20" t="s">
        <v>26</v>
      </c>
      <c r="F149" s="20" t="s">
        <v>27</v>
      </c>
      <c r="G149" s="20" t="s">
        <v>28</v>
      </c>
      <c r="H149" s="20" t="s">
        <v>29</v>
      </c>
      <c r="I149" s="20" t="s">
        <v>30</v>
      </c>
      <c r="J149" s="20" t="s">
        <v>31</v>
      </c>
      <c r="K149" s="20" t="s">
        <v>32</v>
      </c>
      <c r="L149" s="20" t="s">
        <v>33</v>
      </c>
      <c r="M149" s="20" t="s">
        <v>34</v>
      </c>
      <c r="N149" s="20" t="s">
        <v>35</v>
      </c>
      <c r="O149" s="20" t="s">
        <v>36</v>
      </c>
      <c r="P149" s="20" t="s">
        <v>37</v>
      </c>
      <c r="Q149" s="20" t="s">
        <v>38</v>
      </c>
      <c r="R149" s="20" t="s">
        <v>39</v>
      </c>
      <c r="S149" s="20" t="s">
        <v>40</v>
      </c>
      <c r="T149" s="20" t="s">
        <v>41</v>
      </c>
      <c r="U149" s="20" t="s">
        <v>42</v>
      </c>
      <c r="V149" s="20" t="s">
        <v>43</v>
      </c>
      <c r="W149" s="20" t="s">
        <v>44</v>
      </c>
      <c r="X149" s="20" t="s">
        <v>45</v>
      </c>
      <c r="Y149" s="20" t="s">
        <v>46</v>
      </c>
      <c r="Z149" s="20" t="s">
        <v>47</v>
      </c>
      <c r="AA149" s="20" t="s">
        <v>48</v>
      </c>
      <c r="AB149" s="20" t="s">
        <v>49</v>
      </c>
      <c r="AC149" s="20" t="s">
        <v>50</v>
      </c>
      <c r="AD149" s="20" t="s">
        <v>51</v>
      </c>
      <c r="AE149" s="20" t="s">
        <v>52</v>
      </c>
      <c r="AF149" s="20" t="s">
        <v>53</v>
      </c>
      <c r="AG149" s="20" t="s">
        <v>54</v>
      </c>
      <c r="AH149" s="20" t="s">
        <v>55</v>
      </c>
      <c r="AI149" s="20" t="s">
        <v>56</v>
      </c>
      <c r="AJ149" s="20" t="s">
        <v>57</v>
      </c>
      <c r="AK149" s="20" t="s">
        <v>58</v>
      </c>
      <c r="AL149" s="20" t="s">
        <v>59</v>
      </c>
      <c r="AM149" s="20" t="s">
        <v>60</v>
      </c>
      <c r="AN149" s="20" t="s">
        <v>61</v>
      </c>
      <c r="AO149" s="20" t="s">
        <v>62</v>
      </c>
      <c r="AP149" s="20" t="s">
        <v>63</v>
      </c>
      <c r="AQ149" s="20" t="s">
        <v>64</v>
      </c>
      <c r="AR149" s="20" t="s">
        <v>141</v>
      </c>
      <c r="AS149" s="20" t="s">
        <v>142</v>
      </c>
      <c r="BM149" s="20" t="s">
        <v>212</v>
      </c>
      <c r="BN149" s="20" t="s">
        <v>213</v>
      </c>
      <c r="BO149" s="20" t="s">
        <v>214</v>
      </c>
      <c r="BP149" s="20" t="s">
        <v>215</v>
      </c>
      <c r="BQ149" s="20" t="s">
        <v>216</v>
      </c>
      <c r="BR149" s="20" t="s">
        <v>217</v>
      </c>
      <c r="BS149" s="20" t="s">
        <v>218</v>
      </c>
      <c r="BT149" s="20" t="s">
        <v>219</v>
      </c>
      <c r="BU149" s="20" t="s">
        <v>220</v>
      </c>
      <c r="BV149" s="20" t="s">
        <v>221</v>
      </c>
      <c r="CI149" s="20" t="s">
        <v>245</v>
      </c>
      <c r="CJ149" s="20" t="s">
        <v>246</v>
      </c>
      <c r="CK149" s="20" t="s">
        <v>247</v>
      </c>
      <c r="CL149" s="20" t="s">
        <v>248</v>
      </c>
      <c r="CM149" s="20" t="s">
        <v>249</v>
      </c>
      <c r="CN149" s="20" t="s">
        <v>250</v>
      </c>
      <c r="CO149" s="20" t="s">
        <v>251</v>
      </c>
      <c r="CP149" s="20" t="s">
        <v>252</v>
      </c>
      <c r="CQ149" s="20" t="s">
        <v>253</v>
      </c>
      <c r="CR149" s="20" t="s">
        <v>254</v>
      </c>
      <c r="CS149" s="20" t="s">
        <v>255</v>
      </c>
    </row>
    <row r="150" spans="1:98" s="171" customFormat="1" ht="14.25" hidden="1" customHeight="1" outlineLevel="1">
      <c r="A150" s="77"/>
      <c r="B150" s="163" t="s">
        <v>0</v>
      </c>
      <c r="C150" s="164"/>
      <c r="D150" s="165"/>
      <c r="E150" s="166"/>
      <c r="F150" s="166"/>
      <c r="G150" s="167"/>
      <c r="H150" s="166"/>
      <c r="I150" s="166"/>
      <c r="J150" s="166"/>
      <c r="K150" s="167"/>
      <c r="L150" s="166"/>
      <c r="M150" s="166"/>
      <c r="N150" s="166"/>
      <c r="O150" s="167"/>
      <c r="P150" s="166"/>
      <c r="Q150" s="166"/>
      <c r="R150" s="166"/>
      <c r="S150" s="167"/>
      <c r="T150" s="166"/>
      <c r="U150" s="166"/>
      <c r="V150" s="166"/>
      <c r="W150" s="167"/>
      <c r="X150" s="166"/>
      <c r="Y150" s="166"/>
      <c r="Z150" s="166"/>
      <c r="AA150" s="167"/>
      <c r="AB150" s="166"/>
      <c r="AC150" s="166"/>
      <c r="AD150" s="166"/>
      <c r="AE150" s="167"/>
      <c r="AF150" s="166"/>
      <c r="AG150" s="166"/>
      <c r="AH150" s="166"/>
      <c r="AI150" s="167"/>
      <c r="AJ150" s="166"/>
      <c r="AK150" s="166"/>
      <c r="AL150" s="166"/>
      <c r="AM150" s="167"/>
      <c r="AN150" s="166"/>
      <c r="AO150" s="166"/>
      <c r="AP150" s="166"/>
      <c r="AQ150" s="167"/>
      <c r="AR150" s="166"/>
      <c r="AS150" s="166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168"/>
      <c r="BM150" s="137"/>
      <c r="BN150" s="137"/>
      <c r="BO150" s="137"/>
      <c r="BP150" s="137"/>
      <c r="BQ150" s="169"/>
      <c r="BR150" s="169"/>
      <c r="BS150" s="169"/>
      <c r="BT150" s="169"/>
      <c r="BU150" s="170"/>
      <c r="BV150" s="166"/>
      <c r="BW150" s="20"/>
      <c r="BX150" s="20"/>
      <c r="BY150" s="20"/>
      <c r="BZ150" s="20"/>
      <c r="CA150" s="20"/>
      <c r="CH150" s="172"/>
      <c r="CI150" s="137"/>
      <c r="CJ150" s="169"/>
      <c r="CK150" s="169"/>
      <c r="CL150" s="169"/>
      <c r="CM150" s="169"/>
      <c r="CN150" s="169"/>
      <c r="CO150" s="169"/>
      <c r="CP150" s="167"/>
      <c r="CQ150" s="166"/>
      <c r="CR150" s="166"/>
      <c r="CS150" s="167"/>
    </row>
    <row r="151" spans="1:98" ht="14.25" hidden="1" customHeight="1" outlineLevel="1">
      <c r="A151" s="18"/>
      <c r="B151" s="9" t="s">
        <v>185</v>
      </c>
      <c r="C151" s="26"/>
      <c r="D151" s="28"/>
      <c r="E151" s="28"/>
      <c r="F151" s="28"/>
      <c r="G151" s="35"/>
      <c r="H151" s="161">
        <v>1490.2619999999999</v>
      </c>
      <c r="I151" s="161">
        <v>1737.9549999999999</v>
      </c>
      <c r="J151" s="161">
        <v>1772.0419999999999</v>
      </c>
      <c r="K151" s="162">
        <v>1511.4630000000004</v>
      </c>
      <c r="L151" s="161">
        <v>1237.329</v>
      </c>
      <c r="M151" s="161">
        <v>1267.808</v>
      </c>
      <c r="N151" s="161">
        <v>755.59199999999998</v>
      </c>
      <c r="O151" s="162">
        <v>744.41200000000003</v>
      </c>
      <c r="P151" s="161">
        <v>546.01099999999997</v>
      </c>
      <c r="Q151" s="161">
        <v>260.23099999999999</v>
      </c>
      <c r="R151" s="161">
        <v>497.67899999999997</v>
      </c>
      <c r="S151" s="162">
        <v>656.07899999999995</v>
      </c>
      <c r="T151" s="161">
        <v>970.16399999999999</v>
      </c>
      <c r="U151" s="161">
        <v>1404.2750000000001</v>
      </c>
      <c r="V151" s="161">
        <v>1446.74</v>
      </c>
      <c r="W151" s="162">
        <v>1482.8210000000001</v>
      </c>
      <c r="X151" s="161">
        <v>1496</v>
      </c>
      <c r="Y151" s="161">
        <v>1453</v>
      </c>
      <c r="Z151" s="161">
        <v>1398</v>
      </c>
      <c r="AA151" s="162">
        <v>1067</v>
      </c>
      <c r="AB151" s="161">
        <v>1344</v>
      </c>
      <c r="AC151" s="161">
        <v>1777</v>
      </c>
      <c r="AD151" s="161">
        <v>1545</v>
      </c>
      <c r="AE151" s="162">
        <v>870</v>
      </c>
      <c r="AF151" s="161">
        <v>969</v>
      </c>
      <c r="AG151" s="161">
        <v>1291</v>
      </c>
      <c r="AH151" s="161">
        <v>1272</v>
      </c>
      <c r="AI151" s="162">
        <v>1243</v>
      </c>
      <c r="AJ151" s="161">
        <v>1484</v>
      </c>
      <c r="AK151" s="161">
        <v>1584</v>
      </c>
      <c r="AL151" s="161">
        <v>1476</v>
      </c>
      <c r="AM151" s="162">
        <v>1434</v>
      </c>
      <c r="AN151" s="161">
        <v>1446</v>
      </c>
      <c r="AO151" s="161">
        <v>1560</v>
      </c>
      <c r="AP151" s="161">
        <v>1635</v>
      </c>
      <c r="AQ151" s="162">
        <v>1494</v>
      </c>
      <c r="AR151" s="161">
        <v>1373</v>
      </c>
      <c r="AS151" s="161">
        <v>1587</v>
      </c>
      <c r="BL151" s="36"/>
      <c r="BM151" s="34"/>
      <c r="BN151" s="34">
        <f>SUM(H151:K151)</f>
        <v>6511.7220000000007</v>
      </c>
      <c r="BO151" s="34">
        <f>SUM(L151:O151)</f>
        <v>4005.1409999999996</v>
      </c>
      <c r="BP151" s="34">
        <f>SUM(P151:S151)</f>
        <v>1959.9999999999998</v>
      </c>
      <c r="BQ151" s="34">
        <f>SUM(T151:W151)</f>
        <v>5304</v>
      </c>
      <c r="BR151" s="34">
        <f>SUM(X151:AA151)</f>
        <v>5414</v>
      </c>
      <c r="BS151" s="34">
        <f>SUM(AB151:AE151)</f>
        <v>5536</v>
      </c>
      <c r="BT151" s="34">
        <f>SUM(AF151:AI151)</f>
        <v>4775</v>
      </c>
      <c r="BU151" s="114">
        <f>SUM(AJ151:AM151)</f>
        <v>5978</v>
      </c>
      <c r="BV151" s="34">
        <f>SUM(AN151:AQ151)</f>
        <v>6135</v>
      </c>
      <c r="CB151" s="18"/>
      <c r="CC151" s="18"/>
      <c r="CD151" s="18"/>
      <c r="CE151" s="18"/>
      <c r="CF151" s="18"/>
      <c r="CG151" s="18"/>
      <c r="CH151" s="23"/>
      <c r="CI151" s="34">
        <f>SUM(U151:X151)</f>
        <v>5829.8360000000002</v>
      </c>
      <c r="CJ151" s="34">
        <f>SUM(Y151:AB151)</f>
        <v>5262</v>
      </c>
      <c r="CK151" s="34">
        <f>SUM(AC151:AF151)</f>
        <v>5161</v>
      </c>
      <c r="CL151" s="34">
        <f>SUM(AG151:AJ151)</f>
        <v>5290</v>
      </c>
      <c r="CM151" s="34">
        <f>SUM(AK151:AN151)</f>
        <v>5940</v>
      </c>
      <c r="CN151" s="34">
        <f>SUM(AO151:AR151)</f>
        <v>6062</v>
      </c>
      <c r="CO151" s="34">
        <f>SUM(AS151:AV151)</f>
        <v>1587</v>
      </c>
      <c r="CP151" s="34">
        <f>SUM(AW151:AY151)</f>
        <v>0</v>
      </c>
      <c r="CQ151" s="34"/>
      <c r="CR151" s="34"/>
      <c r="CS151" s="114"/>
      <c r="CT151" s="152"/>
    </row>
    <row r="152" spans="1:98" ht="14.25" hidden="1" customHeight="1" outlineLevel="1">
      <c r="A152" s="18"/>
      <c r="B152" s="9" t="s">
        <v>186</v>
      </c>
      <c r="C152" s="79"/>
      <c r="D152" s="80"/>
      <c r="E152" s="80"/>
      <c r="F152" s="80"/>
      <c r="G152" s="41"/>
      <c r="H152" s="80"/>
      <c r="I152" s="80">
        <f t="shared" ref="I152:AS152" si="359">I151/H151-1</f>
        <v>0.16620768697047894</v>
      </c>
      <c r="J152" s="80">
        <f t="shared" si="359"/>
        <v>1.9613281126381388E-2</v>
      </c>
      <c r="K152" s="41">
        <f t="shared" si="359"/>
        <v>-0.1470501263514068</v>
      </c>
      <c r="L152" s="80">
        <f t="shared" si="359"/>
        <v>-0.18136997068403293</v>
      </c>
      <c r="M152" s="80">
        <f t="shared" si="359"/>
        <v>2.4632898768233824E-2</v>
      </c>
      <c r="N152" s="80">
        <f t="shared" si="359"/>
        <v>-0.40401701203967799</v>
      </c>
      <c r="O152" s="41">
        <f t="shared" si="359"/>
        <v>-1.4796345117470744E-2</v>
      </c>
      <c r="P152" s="80">
        <f t="shared" si="359"/>
        <v>-0.26652042148702604</v>
      </c>
      <c r="Q152" s="80">
        <f t="shared" si="359"/>
        <v>-0.52339604879755175</v>
      </c>
      <c r="R152" s="80">
        <f t="shared" si="359"/>
        <v>0.91245086096583417</v>
      </c>
      <c r="S152" s="41">
        <f t="shared" si="359"/>
        <v>0.31827744389455859</v>
      </c>
      <c r="T152" s="80">
        <f t="shared" si="359"/>
        <v>0.4787304577649949</v>
      </c>
      <c r="U152" s="80">
        <f t="shared" si="359"/>
        <v>0.44746146012426768</v>
      </c>
      <c r="V152" s="80">
        <f t="shared" si="359"/>
        <v>3.023980345729993E-2</v>
      </c>
      <c r="W152" s="41">
        <f t="shared" si="359"/>
        <v>2.4939519194879578E-2</v>
      </c>
      <c r="X152" s="80">
        <f t="shared" si="359"/>
        <v>8.8877888834861807E-3</v>
      </c>
      <c r="Y152" s="80">
        <f t="shared" si="359"/>
        <v>-2.8743315508021339E-2</v>
      </c>
      <c r="Z152" s="80">
        <f t="shared" si="359"/>
        <v>-3.7852718513420536E-2</v>
      </c>
      <c r="AA152" s="41">
        <f t="shared" si="359"/>
        <v>-0.23676680972818309</v>
      </c>
      <c r="AB152" s="80">
        <f t="shared" si="359"/>
        <v>0.25960637300843481</v>
      </c>
      <c r="AC152" s="80">
        <f t="shared" si="359"/>
        <v>0.32217261904761907</v>
      </c>
      <c r="AD152" s="80">
        <f t="shared" si="359"/>
        <v>-0.13055711873944853</v>
      </c>
      <c r="AE152" s="41">
        <f t="shared" si="359"/>
        <v>-0.43689320388349517</v>
      </c>
      <c r="AF152" s="80">
        <f t="shared" si="359"/>
        <v>0.11379310344827576</v>
      </c>
      <c r="AG152" s="80">
        <f t="shared" si="359"/>
        <v>0.33230134158926727</v>
      </c>
      <c r="AH152" s="80">
        <f t="shared" si="359"/>
        <v>-1.4717273431448463E-2</v>
      </c>
      <c r="AI152" s="41">
        <f t="shared" si="359"/>
        <v>-2.2798742138364747E-2</v>
      </c>
      <c r="AJ152" s="80">
        <f t="shared" si="359"/>
        <v>0.19388576025744175</v>
      </c>
      <c r="AK152" s="80">
        <f t="shared" si="359"/>
        <v>6.7385444743935263E-2</v>
      </c>
      <c r="AL152" s="80">
        <f t="shared" si="359"/>
        <v>-6.8181818181818232E-2</v>
      </c>
      <c r="AM152" s="41">
        <f t="shared" si="359"/>
        <v>-2.8455284552845517E-2</v>
      </c>
      <c r="AN152" s="80">
        <f t="shared" si="359"/>
        <v>8.3682008368199945E-3</v>
      </c>
      <c r="AO152" s="80">
        <f t="shared" si="359"/>
        <v>7.8838174273858863E-2</v>
      </c>
      <c r="AP152" s="80">
        <f t="shared" si="359"/>
        <v>4.8076923076923128E-2</v>
      </c>
      <c r="AQ152" s="41">
        <f t="shared" si="359"/>
        <v>-8.6238532110091692E-2</v>
      </c>
      <c r="AR152" s="80">
        <f t="shared" si="359"/>
        <v>-8.0990629183400276E-2</v>
      </c>
      <c r="AS152" s="80">
        <f t="shared" si="359"/>
        <v>0.15586307356154405</v>
      </c>
      <c r="BL152" s="36"/>
      <c r="BM152" s="81"/>
      <c r="BN152" s="81"/>
      <c r="BO152" s="81"/>
      <c r="BP152" s="81"/>
      <c r="BQ152" s="81"/>
      <c r="BR152" s="81"/>
      <c r="BS152" s="81"/>
      <c r="BT152" s="81"/>
      <c r="BU152" s="115"/>
      <c r="BV152" s="81"/>
      <c r="CB152" s="18"/>
      <c r="CC152" s="18"/>
      <c r="CD152" s="18"/>
      <c r="CE152" s="18"/>
      <c r="CF152" s="18"/>
      <c r="CG152" s="18"/>
      <c r="CH152" s="23"/>
      <c r="CI152" s="81"/>
      <c r="CJ152" s="81"/>
      <c r="CK152" s="81"/>
      <c r="CL152" s="81"/>
      <c r="CM152" s="81"/>
      <c r="CN152" s="81"/>
      <c r="CO152" s="81"/>
      <c r="CP152" s="81"/>
      <c r="CQ152" s="81"/>
      <c r="CR152" s="81"/>
      <c r="CS152" s="115"/>
      <c r="CT152" s="152"/>
    </row>
    <row r="153" spans="1:98" ht="14.25" hidden="1" customHeight="1" outlineLevel="2">
      <c r="A153" s="18"/>
      <c r="B153" s="9" t="s">
        <v>187</v>
      </c>
      <c r="C153" s="82"/>
      <c r="D153" s="80"/>
      <c r="E153" s="80"/>
      <c r="F153" s="80"/>
      <c r="G153" s="41"/>
      <c r="H153" s="80"/>
      <c r="I153" s="80"/>
      <c r="J153" s="80"/>
      <c r="K153" s="41"/>
      <c r="L153" s="80">
        <f t="shared" ref="L153:AS153" si="360">L151/H151-1</f>
        <v>-0.1697238472161271</v>
      </c>
      <c r="M153" s="80">
        <f t="shared" si="360"/>
        <v>-0.27051736092131262</v>
      </c>
      <c r="N153" s="80">
        <f t="shared" si="360"/>
        <v>-0.57360378591478078</v>
      </c>
      <c r="O153" s="41">
        <f t="shared" si="360"/>
        <v>-0.50748910161876282</v>
      </c>
      <c r="P153" s="80">
        <f t="shared" si="360"/>
        <v>-0.55871801275166111</v>
      </c>
      <c r="Q153" s="80">
        <f t="shared" si="360"/>
        <v>-0.79473942426613498</v>
      </c>
      <c r="R153" s="80">
        <f t="shared" si="360"/>
        <v>-0.34133897659054091</v>
      </c>
      <c r="S153" s="41">
        <f t="shared" si="360"/>
        <v>-0.11866144017022839</v>
      </c>
      <c r="T153" s="80">
        <f t="shared" si="360"/>
        <v>0.77682134609009723</v>
      </c>
      <c r="U153" s="80">
        <f t="shared" si="360"/>
        <v>4.3962633198965539</v>
      </c>
      <c r="V153" s="80">
        <f t="shared" si="360"/>
        <v>1.9069741741162476</v>
      </c>
      <c r="W153" s="41">
        <f t="shared" si="360"/>
        <v>1.2601256860835361</v>
      </c>
      <c r="X153" s="80">
        <f t="shared" si="360"/>
        <v>0.54200733071934226</v>
      </c>
      <c r="Y153" s="80">
        <f t="shared" si="360"/>
        <v>3.4697619768207622E-2</v>
      </c>
      <c r="Z153" s="80">
        <f t="shared" si="360"/>
        <v>-3.3689536475109527E-2</v>
      </c>
      <c r="AA153" s="41">
        <f t="shared" si="360"/>
        <v>-0.28042562116398417</v>
      </c>
      <c r="AB153" s="80">
        <f t="shared" si="360"/>
        <v>-0.10160427807486627</v>
      </c>
      <c r="AC153" s="80">
        <f t="shared" si="360"/>
        <v>0.22298692360633177</v>
      </c>
      <c r="AD153" s="80">
        <f t="shared" si="360"/>
        <v>0.10515021459227469</v>
      </c>
      <c r="AE153" s="41">
        <f t="shared" si="360"/>
        <v>-0.18462980318650424</v>
      </c>
      <c r="AF153" s="80">
        <f t="shared" si="360"/>
        <v>-0.2790178571428571</v>
      </c>
      <c r="AG153" s="80">
        <f t="shared" si="360"/>
        <v>-0.27349465391108607</v>
      </c>
      <c r="AH153" s="80">
        <f t="shared" si="360"/>
        <v>-0.1766990291262136</v>
      </c>
      <c r="AI153" s="41">
        <f t="shared" si="360"/>
        <v>0.42873563218390798</v>
      </c>
      <c r="AJ153" s="80">
        <f t="shared" si="360"/>
        <v>0.53147574819401444</v>
      </c>
      <c r="AK153" s="80">
        <f t="shared" si="360"/>
        <v>0.2269558481797056</v>
      </c>
      <c r="AL153" s="80">
        <f t="shared" si="360"/>
        <v>0.16037735849056611</v>
      </c>
      <c r="AM153" s="41">
        <f t="shared" si="360"/>
        <v>0.15366049879324217</v>
      </c>
      <c r="AN153" s="80">
        <f t="shared" si="360"/>
        <v>-2.5606469002695365E-2</v>
      </c>
      <c r="AO153" s="80">
        <f t="shared" si="360"/>
        <v>-1.5151515151515138E-2</v>
      </c>
      <c r="AP153" s="80">
        <f t="shared" si="360"/>
        <v>0.10772357723577231</v>
      </c>
      <c r="AQ153" s="41">
        <f t="shared" si="360"/>
        <v>4.1841004184100417E-2</v>
      </c>
      <c r="AR153" s="80">
        <f t="shared" si="360"/>
        <v>-5.0484094052558826E-2</v>
      </c>
      <c r="AS153" s="80">
        <f t="shared" si="360"/>
        <v>1.7307692307692246E-2</v>
      </c>
      <c r="BL153" s="36"/>
      <c r="BM153" s="80"/>
      <c r="BN153" s="83"/>
      <c r="BO153" s="83">
        <f t="shared" ref="BO153:BV153" si="361">BO151/BN151-1</f>
        <v>-0.38493366270857399</v>
      </c>
      <c r="BP153" s="83">
        <f t="shared" si="361"/>
        <v>-0.51062896412385983</v>
      </c>
      <c r="BQ153" s="83">
        <f t="shared" si="361"/>
        <v>1.7061224489795923</v>
      </c>
      <c r="BR153" s="83">
        <f t="shared" si="361"/>
        <v>2.0739064856711842E-2</v>
      </c>
      <c r="BS153" s="83">
        <f t="shared" si="361"/>
        <v>2.2534170668636833E-2</v>
      </c>
      <c r="BT153" s="83">
        <f t="shared" si="361"/>
        <v>-0.13746387283236994</v>
      </c>
      <c r="BU153" s="117">
        <f t="shared" si="361"/>
        <v>0.25193717277486916</v>
      </c>
      <c r="BV153" s="83">
        <f t="shared" si="361"/>
        <v>2.626296420207419E-2</v>
      </c>
      <c r="CB153" s="18"/>
      <c r="CC153" s="18"/>
      <c r="CD153" s="18"/>
      <c r="CE153" s="18"/>
      <c r="CF153" s="18"/>
      <c r="CG153" s="18"/>
      <c r="CH153" s="23"/>
      <c r="CI153" s="80"/>
      <c r="CJ153" s="83"/>
      <c r="CK153" s="83"/>
      <c r="CL153" s="83"/>
      <c r="CM153" s="83"/>
      <c r="CN153" s="83"/>
      <c r="CO153" s="83"/>
      <c r="CP153" s="84"/>
      <c r="CQ153" s="84"/>
      <c r="CR153" s="84"/>
      <c r="CS153" s="116"/>
      <c r="CT153" s="152"/>
    </row>
    <row r="154" spans="1:98" ht="14.25" hidden="1" customHeight="1" outlineLevel="2">
      <c r="A154" s="18"/>
      <c r="B154" s="9" t="s">
        <v>188</v>
      </c>
      <c r="C154" s="79"/>
      <c r="D154" s="80"/>
      <c r="E154" s="80"/>
      <c r="F154" s="80"/>
      <c r="G154" s="41"/>
      <c r="H154" s="80" t="e">
        <f t="shared" ref="H154:AQ154" si="362">H151/H$73</f>
        <v>#DIV/0!</v>
      </c>
      <c r="I154" s="80" t="e">
        <f t="shared" si="362"/>
        <v>#DIV/0!</v>
      </c>
      <c r="J154" s="80" t="e">
        <f t="shared" si="362"/>
        <v>#DIV/0!</v>
      </c>
      <c r="K154" s="41" t="e">
        <f t="shared" si="362"/>
        <v>#DIV/0!</v>
      </c>
      <c r="L154" s="80" t="e">
        <f t="shared" si="362"/>
        <v>#DIV/0!</v>
      </c>
      <c r="M154" s="80" t="e">
        <f t="shared" si="362"/>
        <v>#DIV/0!</v>
      </c>
      <c r="N154" s="80" t="e">
        <f t="shared" si="362"/>
        <v>#DIV/0!</v>
      </c>
      <c r="O154" s="41" t="e">
        <f t="shared" si="362"/>
        <v>#DIV/0!</v>
      </c>
      <c r="P154" s="80" t="e">
        <f t="shared" si="362"/>
        <v>#DIV/0!</v>
      </c>
      <c r="Q154" s="80" t="e">
        <f t="shared" si="362"/>
        <v>#DIV/0!</v>
      </c>
      <c r="R154" s="80" t="e">
        <f t="shared" si="362"/>
        <v>#DIV/0!</v>
      </c>
      <c r="S154" s="41" t="e">
        <f t="shared" si="362"/>
        <v>#DIV/0!</v>
      </c>
      <c r="T154" s="80" t="e">
        <f t="shared" si="362"/>
        <v>#DIV/0!</v>
      </c>
      <c r="U154" s="80" t="e">
        <f t="shared" si="362"/>
        <v>#DIV/0!</v>
      </c>
      <c r="V154" s="80" t="e">
        <f t="shared" si="362"/>
        <v>#DIV/0!</v>
      </c>
      <c r="W154" s="41" t="e">
        <f t="shared" si="362"/>
        <v>#DIV/0!</v>
      </c>
      <c r="X154" s="80" t="e">
        <f t="shared" si="362"/>
        <v>#DIV/0!</v>
      </c>
      <c r="Y154" s="80" t="e">
        <f t="shared" si="362"/>
        <v>#DIV/0!</v>
      </c>
      <c r="Z154" s="80" t="e">
        <f t="shared" si="362"/>
        <v>#DIV/0!</v>
      </c>
      <c r="AA154" s="41" t="e">
        <f t="shared" si="362"/>
        <v>#DIV/0!</v>
      </c>
      <c r="AB154" s="80" t="e">
        <f t="shared" si="362"/>
        <v>#DIV/0!</v>
      </c>
      <c r="AC154" s="80" t="e">
        <f t="shared" si="362"/>
        <v>#DIV/0!</v>
      </c>
      <c r="AD154" s="80" t="e">
        <f t="shared" si="362"/>
        <v>#DIV/0!</v>
      </c>
      <c r="AE154" s="41" t="e">
        <f t="shared" si="362"/>
        <v>#DIV/0!</v>
      </c>
      <c r="AF154" s="80" t="e">
        <f t="shared" si="362"/>
        <v>#DIV/0!</v>
      </c>
      <c r="AG154" s="80" t="e">
        <f t="shared" si="362"/>
        <v>#DIV/0!</v>
      </c>
      <c r="AH154" s="80" t="e">
        <f t="shared" si="362"/>
        <v>#DIV/0!</v>
      </c>
      <c r="AI154" s="41" t="e">
        <f t="shared" si="362"/>
        <v>#DIV/0!</v>
      </c>
      <c r="AJ154" s="80" t="e">
        <f t="shared" si="362"/>
        <v>#DIV/0!</v>
      </c>
      <c r="AK154" s="80" t="e">
        <f t="shared" si="362"/>
        <v>#DIV/0!</v>
      </c>
      <c r="AL154" s="80" t="e">
        <f t="shared" si="362"/>
        <v>#DIV/0!</v>
      </c>
      <c r="AM154" s="41" t="e">
        <f t="shared" si="362"/>
        <v>#DIV/0!</v>
      </c>
      <c r="AN154" s="80">
        <f t="shared" si="362"/>
        <v>0.61297159813480284</v>
      </c>
      <c r="AO154" s="80">
        <f t="shared" si="362"/>
        <v>0.63882063882063878</v>
      </c>
      <c r="AP154" s="80">
        <f t="shared" si="362"/>
        <v>0.65662650602409633</v>
      </c>
      <c r="AQ154" s="41">
        <f t="shared" si="362"/>
        <v>0.63091216216216217</v>
      </c>
      <c r="AR154" s="80">
        <f>AR151/AR$73</f>
        <v>0.60832964111652632</v>
      </c>
      <c r="AS154" s="80">
        <f>AS151/AS$73</f>
        <v>0.64775510204081632</v>
      </c>
      <c r="BL154" s="36"/>
      <c r="BM154" s="83"/>
      <c r="BN154" s="83" t="e">
        <f t="shared" ref="BN154:BV154" si="363">BN151/BN$73</f>
        <v>#DIV/0!</v>
      </c>
      <c r="BO154" s="83" t="e">
        <f t="shared" si="363"/>
        <v>#DIV/0!</v>
      </c>
      <c r="BP154" s="83" t="e">
        <f t="shared" si="363"/>
        <v>#DIV/0!</v>
      </c>
      <c r="BQ154" s="83" t="e">
        <f t="shared" si="363"/>
        <v>#DIV/0!</v>
      </c>
      <c r="BR154" s="83" t="e">
        <f t="shared" si="363"/>
        <v>#DIV/0!</v>
      </c>
      <c r="BS154" s="83" t="e">
        <f t="shared" si="363"/>
        <v>#DIV/0!</v>
      </c>
      <c r="BT154" s="83" t="e">
        <f t="shared" si="363"/>
        <v>#DIV/0!</v>
      </c>
      <c r="BU154" s="117">
        <f t="shared" si="363"/>
        <v>0.65895061728395066</v>
      </c>
      <c r="BV154" s="83">
        <f t="shared" si="363"/>
        <v>0.63515891914276845</v>
      </c>
      <c r="CB154" s="18"/>
      <c r="CC154" s="18"/>
      <c r="CD154" s="18"/>
      <c r="CE154" s="18"/>
      <c r="CF154" s="18"/>
      <c r="CG154" s="18"/>
      <c r="CH154" s="23"/>
      <c r="CI154" s="83"/>
      <c r="CJ154" s="83"/>
      <c r="CK154" s="83"/>
      <c r="CL154" s="83"/>
      <c r="CM154" s="83"/>
      <c r="CN154" s="83"/>
      <c r="CO154" s="83"/>
      <c r="CP154" s="83"/>
      <c r="CQ154" s="83"/>
      <c r="CR154" s="83"/>
      <c r="CS154" s="117"/>
      <c r="CT154" s="152"/>
    </row>
    <row r="155" spans="1:98" ht="14.25" hidden="1" customHeight="1" outlineLevel="2">
      <c r="A155" s="18"/>
      <c r="B155" s="179" t="s">
        <v>424</v>
      </c>
      <c r="C155" s="79"/>
      <c r="D155" s="80"/>
      <c r="E155" s="80"/>
      <c r="F155" s="80"/>
      <c r="G155" s="41"/>
      <c r="H155" s="80"/>
      <c r="I155" s="80"/>
      <c r="J155" s="80"/>
      <c r="K155" s="41"/>
      <c r="L155" s="153">
        <f t="shared" ref="L155:AQ155" si="364">L156/L151</f>
        <v>0.8688069220070006</v>
      </c>
      <c r="M155" s="153">
        <f t="shared" si="364"/>
        <v>0.83687750826623586</v>
      </c>
      <c r="N155" s="153">
        <f t="shared" si="364"/>
        <v>1.0495082001926965</v>
      </c>
      <c r="O155" s="154">
        <f t="shared" si="364"/>
        <v>1.5609635524413898</v>
      </c>
      <c r="P155" s="153">
        <f t="shared" si="364"/>
        <v>0.45054037372873446</v>
      </c>
      <c r="Q155" s="153">
        <f t="shared" si="364"/>
        <v>0.99526958740503635</v>
      </c>
      <c r="R155" s="153">
        <f t="shared" si="364"/>
        <v>1.0890553951442596</v>
      </c>
      <c r="S155" s="154">
        <f t="shared" si="364"/>
        <v>0.95872600708146438</v>
      </c>
      <c r="T155" s="153">
        <f t="shared" si="364"/>
        <v>1.1699052943626027</v>
      </c>
      <c r="U155" s="153">
        <f t="shared" si="364"/>
        <v>1.0083495041925548</v>
      </c>
      <c r="V155" s="153">
        <f t="shared" si="364"/>
        <v>1.0610061241135242</v>
      </c>
      <c r="W155" s="154">
        <f t="shared" si="364"/>
        <v>1.128254860161813</v>
      </c>
      <c r="X155" s="153">
        <f t="shared" si="364"/>
        <v>1.0762032085561497</v>
      </c>
      <c r="Y155" s="153">
        <f t="shared" si="364"/>
        <v>1.1803165863730214</v>
      </c>
      <c r="Z155" s="153">
        <f t="shared" si="364"/>
        <v>0.88626609442060089</v>
      </c>
      <c r="AA155" s="154">
        <f t="shared" si="364"/>
        <v>0.86691658856607312</v>
      </c>
      <c r="AB155" s="153">
        <f t="shared" si="364"/>
        <v>1.0550595238095237</v>
      </c>
      <c r="AC155" s="153">
        <f t="shared" si="364"/>
        <v>1.108047270680923</v>
      </c>
      <c r="AD155" s="153">
        <f t="shared" si="364"/>
        <v>0.75469255663430423</v>
      </c>
      <c r="AE155" s="154">
        <f t="shared" si="364"/>
        <v>0.85172413793103452</v>
      </c>
      <c r="AF155" s="153">
        <f t="shared" si="364"/>
        <v>1.4035087719298245</v>
      </c>
      <c r="AG155" s="153">
        <f t="shared" si="364"/>
        <v>1.2013942680092951</v>
      </c>
      <c r="AH155" s="153">
        <f t="shared" si="364"/>
        <v>0.94575471698113212</v>
      </c>
      <c r="AI155" s="154">
        <f t="shared" si="364"/>
        <v>1.1182622687047463</v>
      </c>
      <c r="AJ155" s="153">
        <f t="shared" si="364"/>
        <v>1.0579514824797844</v>
      </c>
      <c r="AK155" s="153">
        <f t="shared" si="364"/>
        <v>1.047979797979798</v>
      </c>
      <c r="AL155" s="153">
        <f t="shared" si="364"/>
        <v>1.0636856368563685</v>
      </c>
      <c r="AM155" s="154">
        <f t="shared" si="364"/>
        <v>0.93026499302649934</v>
      </c>
      <c r="AN155" s="153">
        <f t="shared" si="364"/>
        <v>0.9861687413554634</v>
      </c>
      <c r="AO155" s="153">
        <f t="shared" si="364"/>
        <v>1.0923076923076922</v>
      </c>
      <c r="AP155" s="153">
        <f t="shared" si="364"/>
        <v>1.2275229357798165</v>
      </c>
      <c r="AQ155" s="154">
        <f t="shared" si="364"/>
        <v>0.96653279785809909</v>
      </c>
      <c r="AR155" s="153">
        <f>AR156/AR151</f>
        <v>0.92862345229424614</v>
      </c>
      <c r="AS155" s="153">
        <f>AS156/AS151</f>
        <v>1.2388153749212349</v>
      </c>
      <c r="BL155" s="36"/>
      <c r="BM155" s="83"/>
      <c r="BN155" s="83"/>
      <c r="BO155" s="83"/>
      <c r="BP155" s="83"/>
      <c r="BQ155" s="83"/>
      <c r="BR155" s="83"/>
      <c r="BS155" s="83"/>
      <c r="BT155" s="83"/>
      <c r="BU155" s="117"/>
      <c r="BV155" s="83"/>
      <c r="CB155" s="18"/>
      <c r="CC155" s="18"/>
      <c r="CD155" s="18"/>
      <c r="CE155" s="18"/>
      <c r="CF155" s="18"/>
      <c r="CG155" s="18"/>
      <c r="CH155" s="23"/>
      <c r="CI155" s="83"/>
      <c r="CJ155" s="83"/>
      <c r="CK155" s="156"/>
      <c r="CL155" s="156"/>
      <c r="CM155" s="156"/>
      <c r="CN155" s="156"/>
      <c r="CO155" s="156"/>
      <c r="CP155" s="156"/>
      <c r="CQ155" s="83"/>
      <c r="CR155" s="83"/>
      <c r="CS155" s="117"/>
      <c r="CT155" s="152"/>
    </row>
    <row r="156" spans="1:98" ht="14.25" hidden="1" customHeight="1" outlineLevel="2">
      <c r="A156" s="18"/>
      <c r="B156" s="179" t="s">
        <v>226</v>
      </c>
      <c r="C156" s="26"/>
      <c r="D156" s="28"/>
      <c r="E156" s="28"/>
      <c r="F156" s="28"/>
      <c r="G156" s="35"/>
      <c r="H156" s="149"/>
      <c r="I156" s="149"/>
      <c r="J156" s="149"/>
      <c r="K156" s="150"/>
      <c r="L156" s="161">
        <v>1075</v>
      </c>
      <c r="M156" s="161">
        <v>1061</v>
      </c>
      <c r="N156" s="161">
        <v>793</v>
      </c>
      <c r="O156" s="162">
        <v>1162</v>
      </c>
      <c r="P156" s="161">
        <v>246</v>
      </c>
      <c r="Q156" s="161">
        <v>259</v>
      </c>
      <c r="R156" s="161">
        <v>542</v>
      </c>
      <c r="S156" s="162">
        <v>629</v>
      </c>
      <c r="T156" s="161">
        <v>1135</v>
      </c>
      <c r="U156" s="161">
        <v>1416</v>
      </c>
      <c r="V156" s="161">
        <v>1535</v>
      </c>
      <c r="W156" s="162">
        <v>1673</v>
      </c>
      <c r="X156" s="161">
        <v>1610</v>
      </c>
      <c r="Y156" s="161">
        <v>1715</v>
      </c>
      <c r="Z156" s="161">
        <v>1239</v>
      </c>
      <c r="AA156" s="162">
        <v>925</v>
      </c>
      <c r="AB156" s="161">
        <v>1418</v>
      </c>
      <c r="AC156" s="161">
        <v>1969</v>
      </c>
      <c r="AD156" s="161">
        <v>1166</v>
      </c>
      <c r="AE156" s="162">
        <v>741</v>
      </c>
      <c r="AF156" s="161">
        <v>1360</v>
      </c>
      <c r="AG156" s="161">
        <v>1551</v>
      </c>
      <c r="AH156" s="161">
        <v>1203</v>
      </c>
      <c r="AI156" s="162">
        <v>1389.9999999999998</v>
      </c>
      <c r="AJ156" s="161">
        <v>1570</v>
      </c>
      <c r="AK156" s="161">
        <v>1660</v>
      </c>
      <c r="AL156" s="161">
        <v>1570</v>
      </c>
      <c r="AM156" s="162">
        <v>1334</v>
      </c>
      <c r="AN156" s="161">
        <v>1426</v>
      </c>
      <c r="AO156" s="161">
        <v>1704</v>
      </c>
      <c r="AP156" s="161">
        <v>2007</v>
      </c>
      <c r="AQ156" s="162">
        <v>1444</v>
      </c>
      <c r="AR156" s="161">
        <v>1275</v>
      </c>
      <c r="AS156" s="161">
        <v>1966</v>
      </c>
      <c r="BL156" s="36"/>
      <c r="BM156" s="34"/>
      <c r="BN156" s="34"/>
      <c r="BO156" s="34"/>
      <c r="BP156" s="34"/>
      <c r="BQ156" s="34"/>
      <c r="BR156" s="34"/>
      <c r="BS156" s="34"/>
      <c r="BT156" s="34"/>
      <c r="BU156" s="114"/>
      <c r="BV156" s="34">
        <f>SUM(AN156:AQ156)</f>
        <v>6581</v>
      </c>
      <c r="CB156" s="18"/>
      <c r="CC156" s="18"/>
      <c r="CD156" s="18"/>
      <c r="CE156" s="18"/>
      <c r="CF156" s="18"/>
      <c r="CG156" s="18"/>
      <c r="CH156" s="23"/>
      <c r="CI156" s="34">
        <f>SUM(U156:X156)</f>
        <v>6234</v>
      </c>
      <c r="CJ156" s="34">
        <f>SUM(Y156:AB156)</f>
        <v>5297</v>
      </c>
      <c r="CK156" s="34">
        <f>SUM(AC156:AF156)</f>
        <v>5236</v>
      </c>
      <c r="CL156" s="34">
        <f>SUM(AG156:AJ156)</f>
        <v>5714</v>
      </c>
      <c r="CM156" s="34">
        <f>SUM(AK156:AN156)</f>
        <v>5990</v>
      </c>
      <c r="CN156" s="34">
        <f>SUM(AO156:AR156)</f>
        <v>6430</v>
      </c>
      <c r="CO156" s="34">
        <f>SUM(AS156:AV156)</f>
        <v>1966</v>
      </c>
      <c r="CP156" s="34">
        <f>SUM(AW156:AY156)</f>
        <v>0</v>
      </c>
      <c r="CQ156" s="34"/>
      <c r="CR156" s="34"/>
      <c r="CS156" s="114"/>
      <c r="CT156" s="152"/>
    </row>
    <row r="157" spans="1:98" ht="14.25" hidden="1" customHeight="1" outlineLevel="2">
      <c r="A157" s="18"/>
      <c r="B157" s="179" t="s">
        <v>186</v>
      </c>
      <c r="C157" s="79"/>
      <c r="D157" s="80"/>
      <c r="E157" s="80"/>
      <c r="F157" s="80"/>
      <c r="G157" s="41"/>
      <c r="H157" s="80"/>
      <c r="I157" s="80"/>
      <c r="J157" s="80"/>
      <c r="K157" s="41"/>
      <c r="L157" s="80"/>
      <c r="M157" s="80">
        <f t="shared" ref="M157:AS157" si="365">M156/L156-1</f>
        <v>-1.3023255813953472E-2</v>
      </c>
      <c r="N157" s="80">
        <f t="shared" si="365"/>
        <v>-0.25259189443920826</v>
      </c>
      <c r="O157" s="41">
        <f t="shared" si="365"/>
        <v>0.46532156368221944</v>
      </c>
      <c r="P157" s="80">
        <f t="shared" si="365"/>
        <v>-0.7882960413080895</v>
      </c>
      <c r="Q157" s="80">
        <f t="shared" si="365"/>
        <v>5.2845528455284452E-2</v>
      </c>
      <c r="R157" s="80">
        <f t="shared" si="365"/>
        <v>1.0926640926640925</v>
      </c>
      <c r="S157" s="41">
        <f t="shared" si="365"/>
        <v>0.1605166051660516</v>
      </c>
      <c r="T157" s="80">
        <f t="shared" si="365"/>
        <v>0.8044515103338632</v>
      </c>
      <c r="U157" s="80">
        <f t="shared" si="365"/>
        <v>0.24757709251101323</v>
      </c>
      <c r="V157" s="80">
        <f t="shared" si="365"/>
        <v>8.4039548022598831E-2</v>
      </c>
      <c r="W157" s="41">
        <f t="shared" si="365"/>
        <v>8.9902280130293111E-2</v>
      </c>
      <c r="X157" s="80">
        <f t="shared" si="365"/>
        <v>-3.7656903765690419E-2</v>
      </c>
      <c r="Y157" s="80">
        <f t="shared" si="365"/>
        <v>6.5217391304347894E-2</v>
      </c>
      <c r="Z157" s="80">
        <f t="shared" si="365"/>
        <v>-0.27755102040816326</v>
      </c>
      <c r="AA157" s="41">
        <f t="shared" si="365"/>
        <v>-0.25343018563357544</v>
      </c>
      <c r="AB157" s="80">
        <f t="shared" si="365"/>
        <v>0.53297297297297308</v>
      </c>
      <c r="AC157" s="80">
        <f t="shared" si="365"/>
        <v>0.3885754583921015</v>
      </c>
      <c r="AD157" s="80">
        <f t="shared" si="365"/>
        <v>-0.40782122905027929</v>
      </c>
      <c r="AE157" s="41">
        <f t="shared" si="365"/>
        <v>-0.36449399656946824</v>
      </c>
      <c r="AF157" s="80">
        <f t="shared" si="365"/>
        <v>0.83535762483130904</v>
      </c>
      <c r="AG157" s="80">
        <f t="shared" si="365"/>
        <v>0.14044117647058818</v>
      </c>
      <c r="AH157" s="80">
        <f t="shared" si="365"/>
        <v>-0.22437137330754353</v>
      </c>
      <c r="AI157" s="41">
        <f t="shared" si="365"/>
        <v>0.15544472152950939</v>
      </c>
      <c r="AJ157" s="80">
        <f t="shared" si="365"/>
        <v>0.12949640287769792</v>
      </c>
      <c r="AK157" s="80">
        <f t="shared" si="365"/>
        <v>5.7324840764331197E-2</v>
      </c>
      <c r="AL157" s="80">
        <f t="shared" si="365"/>
        <v>-5.4216867469879526E-2</v>
      </c>
      <c r="AM157" s="41">
        <f t="shared" si="365"/>
        <v>-0.15031847133757958</v>
      </c>
      <c r="AN157" s="80">
        <f t="shared" si="365"/>
        <v>6.8965517241379226E-2</v>
      </c>
      <c r="AO157" s="80">
        <f t="shared" si="365"/>
        <v>0.19495091164095379</v>
      </c>
      <c r="AP157" s="80">
        <f t="shared" si="365"/>
        <v>0.17781690140845074</v>
      </c>
      <c r="AQ157" s="41">
        <f t="shared" si="365"/>
        <v>-0.28051818634778281</v>
      </c>
      <c r="AR157" s="80">
        <f t="shared" si="365"/>
        <v>-0.11703601108033246</v>
      </c>
      <c r="AS157" s="80">
        <f t="shared" si="365"/>
        <v>0.54196078431372552</v>
      </c>
      <c r="BL157" s="36"/>
      <c r="BM157" s="81"/>
      <c r="BN157" s="81"/>
      <c r="BO157" s="81"/>
      <c r="BP157" s="81"/>
      <c r="BQ157" s="81"/>
      <c r="BR157" s="81"/>
      <c r="BS157" s="81"/>
      <c r="BT157" s="81"/>
      <c r="BU157" s="115"/>
      <c r="BV157" s="81"/>
      <c r="CB157" s="18"/>
      <c r="CC157" s="18"/>
      <c r="CD157" s="18"/>
      <c r="CE157" s="18"/>
      <c r="CF157" s="18"/>
      <c r="CG157" s="18"/>
      <c r="CH157" s="23"/>
      <c r="CI157" s="81"/>
      <c r="CJ157" s="81"/>
      <c r="CK157" s="81"/>
      <c r="CL157" s="81"/>
      <c r="CM157" s="81"/>
      <c r="CN157" s="81"/>
      <c r="CO157" s="81"/>
      <c r="CP157" s="81"/>
      <c r="CQ157" s="81"/>
      <c r="CR157" s="81"/>
      <c r="CS157" s="115"/>
      <c r="CT157" s="152"/>
    </row>
    <row r="158" spans="1:98" ht="14.25" hidden="1" customHeight="1" outlineLevel="2">
      <c r="A158" s="18"/>
      <c r="B158" s="144" t="s">
        <v>227</v>
      </c>
      <c r="C158" s="26"/>
      <c r="D158" s="28"/>
      <c r="E158" s="28"/>
      <c r="F158" s="28"/>
      <c r="G158" s="35"/>
      <c r="H158" s="149"/>
      <c r="I158" s="149"/>
      <c r="J158" s="149"/>
      <c r="K158" s="150"/>
      <c r="L158" s="149"/>
      <c r="M158" s="149"/>
      <c r="N158" s="149"/>
      <c r="O158" s="150"/>
      <c r="P158" s="149"/>
      <c r="Q158" s="149"/>
      <c r="R158" s="149"/>
      <c r="S158" s="150"/>
      <c r="T158" s="161">
        <v>476.7</v>
      </c>
      <c r="U158" s="161">
        <v>523.91999999999996</v>
      </c>
      <c r="V158" s="161">
        <v>567.95000000000005</v>
      </c>
      <c r="W158" s="162">
        <v>786.31</v>
      </c>
      <c r="X158" s="161">
        <v>869.40000000000009</v>
      </c>
      <c r="Y158" s="161">
        <v>806.05</v>
      </c>
      <c r="Z158" s="161">
        <v>458.43</v>
      </c>
      <c r="AA158" s="162">
        <v>425.5</v>
      </c>
      <c r="AB158" s="161">
        <v>808.25999999999988</v>
      </c>
      <c r="AC158" s="161">
        <v>1417.6799999999998</v>
      </c>
      <c r="AD158" s="161">
        <v>676.28</v>
      </c>
      <c r="AE158" s="162">
        <v>348.27</v>
      </c>
      <c r="AF158" s="161">
        <v>992.8</v>
      </c>
      <c r="AG158" s="161">
        <v>1023.6600000000001</v>
      </c>
      <c r="AH158" s="161">
        <v>541.35</v>
      </c>
      <c r="AI158" s="162">
        <v>653.29999999999984</v>
      </c>
      <c r="AJ158" s="161">
        <v>942</v>
      </c>
      <c r="AK158" s="161">
        <v>830</v>
      </c>
      <c r="AL158" s="161">
        <v>785</v>
      </c>
      <c r="AM158" s="162">
        <v>667</v>
      </c>
      <c r="AN158" s="161">
        <v>484.84000000000003</v>
      </c>
      <c r="AO158" s="161">
        <v>613.43999999999994</v>
      </c>
      <c r="AP158" s="161">
        <v>642.24</v>
      </c>
      <c r="AQ158" s="162">
        <v>505.4</v>
      </c>
      <c r="AR158" s="161">
        <v>484.5</v>
      </c>
      <c r="AS158" s="161">
        <v>452.18</v>
      </c>
      <c r="BL158" s="36"/>
      <c r="BM158" s="34"/>
      <c r="BN158" s="34"/>
      <c r="BO158" s="34"/>
      <c r="BP158" s="34"/>
      <c r="BQ158" s="34">
        <f>SUM(T158:W158)</f>
        <v>2354.88</v>
      </c>
      <c r="BR158" s="34">
        <f>SUM(X158:AA158)</f>
        <v>2559.38</v>
      </c>
      <c r="BS158" s="34">
        <f>SUM(AB158:AE158)</f>
        <v>3250.4899999999993</v>
      </c>
      <c r="BT158" s="34">
        <f>SUM(AF158:AI158)</f>
        <v>3211.1099999999997</v>
      </c>
      <c r="BU158" s="114">
        <f>SUM(AJ158:AM158)</f>
        <v>3224</v>
      </c>
      <c r="BV158" s="34">
        <f>SUM(AN158:AQ158)</f>
        <v>2245.92</v>
      </c>
      <c r="CB158" s="18"/>
      <c r="CC158" s="18"/>
      <c r="CD158" s="18"/>
      <c r="CE158" s="18"/>
      <c r="CF158" s="18"/>
      <c r="CG158" s="18"/>
      <c r="CH158" s="23"/>
      <c r="CI158" s="34">
        <f>SUM(U158:X158)</f>
        <v>2747.58</v>
      </c>
      <c r="CJ158" s="34">
        <f>SUM(Y158:AB158)</f>
        <v>2498.2399999999998</v>
      </c>
      <c r="CK158" s="34">
        <f>SUM(AC158:AF158)</f>
        <v>3435.0299999999997</v>
      </c>
      <c r="CL158" s="34">
        <f>SUM(AG158:AJ158)</f>
        <v>3160.31</v>
      </c>
      <c r="CM158" s="34">
        <f>SUM(AK158:AN158)</f>
        <v>2766.84</v>
      </c>
      <c r="CN158" s="34">
        <f>SUM(AO158:AR158)</f>
        <v>2245.58</v>
      </c>
      <c r="CO158" s="34">
        <f>SUM(AS158:AV158)</f>
        <v>452.18</v>
      </c>
      <c r="CP158" s="34">
        <f>SUM(AW158:AY158)</f>
        <v>0</v>
      </c>
      <c r="CQ158" s="34"/>
      <c r="CR158" s="34"/>
      <c r="CS158" s="114"/>
      <c r="CT158" s="152"/>
    </row>
    <row r="159" spans="1:98" ht="14.25" hidden="1" customHeight="1" outlineLevel="2">
      <c r="A159" s="18"/>
      <c r="B159" s="144" t="s">
        <v>186</v>
      </c>
      <c r="C159" s="79"/>
      <c r="D159" s="80"/>
      <c r="E159" s="80"/>
      <c r="F159" s="80"/>
      <c r="G159" s="41"/>
      <c r="H159" s="80"/>
      <c r="I159" s="80"/>
      <c r="J159" s="80"/>
      <c r="K159" s="41"/>
      <c r="L159" s="80"/>
      <c r="M159" s="80"/>
      <c r="N159" s="80"/>
      <c r="O159" s="41"/>
      <c r="P159" s="80"/>
      <c r="Q159" s="80"/>
      <c r="R159" s="80"/>
      <c r="S159" s="41"/>
      <c r="T159" s="80"/>
      <c r="U159" s="80">
        <f t="shared" ref="U159:AS159" si="366">U158/T158-1</f>
        <v>9.905601006922593E-2</v>
      </c>
      <c r="V159" s="80">
        <f t="shared" si="366"/>
        <v>8.4039548022599053E-2</v>
      </c>
      <c r="W159" s="41">
        <f t="shared" si="366"/>
        <v>0.38447046394929107</v>
      </c>
      <c r="X159" s="80">
        <f t="shared" si="366"/>
        <v>0.10567079141814317</v>
      </c>
      <c r="Y159" s="80">
        <f t="shared" si="366"/>
        <v>-7.2866344605475142E-2</v>
      </c>
      <c r="Z159" s="80">
        <f t="shared" si="366"/>
        <v>-0.43126356925749021</v>
      </c>
      <c r="AA159" s="41">
        <f t="shared" si="366"/>
        <v>-7.1832122679580279E-2</v>
      </c>
      <c r="AB159" s="80">
        <f t="shared" si="366"/>
        <v>0.89955346650998802</v>
      </c>
      <c r="AC159" s="80">
        <f t="shared" si="366"/>
        <v>0.75399005270581254</v>
      </c>
      <c r="AD159" s="80">
        <f t="shared" si="366"/>
        <v>-0.52296710117939171</v>
      </c>
      <c r="AE159" s="41">
        <f t="shared" si="366"/>
        <v>-0.4850209972200864</v>
      </c>
      <c r="AF159" s="80">
        <f t="shared" si="366"/>
        <v>1.8506618428230972</v>
      </c>
      <c r="AG159" s="80">
        <f t="shared" si="366"/>
        <v>3.108380338436767E-2</v>
      </c>
      <c r="AH159" s="80">
        <f t="shared" si="366"/>
        <v>-0.4711622999824161</v>
      </c>
      <c r="AI159" s="41">
        <f t="shared" si="366"/>
        <v>0.20679782026415405</v>
      </c>
      <c r="AJ159" s="80">
        <f t="shared" si="366"/>
        <v>0.44191030154599753</v>
      </c>
      <c r="AK159" s="80">
        <f t="shared" si="366"/>
        <v>-0.11889596602972397</v>
      </c>
      <c r="AL159" s="80">
        <f t="shared" si="366"/>
        <v>-5.4216867469879526E-2</v>
      </c>
      <c r="AM159" s="41">
        <f t="shared" si="366"/>
        <v>-0.15031847133757958</v>
      </c>
      <c r="AN159" s="80">
        <f t="shared" si="366"/>
        <v>-0.27310344827586197</v>
      </c>
      <c r="AO159" s="80">
        <f t="shared" si="366"/>
        <v>0.26524214173748017</v>
      </c>
      <c r="AP159" s="80">
        <f t="shared" si="366"/>
        <v>4.6948356807511749E-2</v>
      </c>
      <c r="AQ159" s="41">
        <f t="shared" si="366"/>
        <v>-0.21306676631788746</v>
      </c>
      <c r="AR159" s="80">
        <f t="shared" si="366"/>
        <v>-4.1353383458646586E-2</v>
      </c>
      <c r="AS159" s="80">
        <f t="shared" si="366"/>
        <v>-6.6707946336429291E-2</v>
      </c>
      <c r="BL159" s="36"/>
      <c r="BM159" s="81"/>
      <c r="BN159" s="81"/>
      <c r="BO159" s="81"/>
      <c r="BP159" s="81"/>
      <c r="BQ159" s="81"/>
      <c r="BR159" s="81"/>
      <c r="BS159" s="81"/>
      <c r="BT159" s="81"/>
      <c r="BU159" s="115"/>
      <c r="BV159" s="81"/>
      <c r="CB159" s="18"/>
      <c r="CC159" s="18"/>
      <c r="CD159" s="18"/>
      <c r="CE159" s="18"/>
      <c r="CF159" s="18"/>
      <c r="CG159" s="18"/>
      <c r="CH159" s="23"/>
      <c r="CI159" s="81"/>
      <c r="CJ159" s="81"/>
      <c r="CK159" s="81"/>
      <c r="CL159" s="81"/>
      <c r="CM159" s="81"/>
      <c r="CN159" s="81"/>
      <c r="CO159" s="81"/>
      <c r="CP159" s="81"/>
      <c r="CQ159" s="81"/>
      <c r="CR159" s="81"/>
      <c r="CS159" s="115"/>
      <c r="CT159" s="152"/>
    </row>
    <row r="160" spans="1:98" ht="14.25" hidden="1" customHeight="1" outlineLevel="2">
      <c r="A160" s="18"/>
      <c r="B160" s="144" t="s">
        <v>187</v>
      </c>
      <c r="C160" s="79"/>
      <c r="D160" s="80"/>
      <c r="E160" s="80"/>
      <c r="F160" s="80"/>
      <c r="G160" s="41"/>
      <c r="H160" s="80"/>
      <c r="I160" s="80"/>
      <c r="J160" s="80"/>
      <c r="K160" s="41"/>
      <c r="L160" s="80"/>
      <c r="M160" s="80"/>
      <c r="N160" s="80"/>
      <c r="O160" s="41"/>
      <c r="P160" s="80"/>
      <c r="Q160" s="80"/>
      <c r="R160" s="80"/>
      <c r="S160" s="41"/>
      <c r="T160" s="80"/>
      <c r="U160" s="80"/>
      <c r="V160" s="80"/>
      <c r="W160" s="41"/>
      <c r="X160" s="80">
        <f t="shared" ref="X160:AS160" si="367">X158/T158-1</f>
        <v>0.82378854625550679</v>
      </c>
      <c r="Y160" s="80">
        <f t="shared" si="367"/>
        <v>0.53849824400671853</v>
      </c>
      <c r="Z160" s="80">
        <f t="shared" si="367"/>
        <v>-0.19283387622149839</v>
      </c>
      <c r="AA160" s="80">
        <f t="shared" si="367"/>
        <v>-0.45886482430593523</v>
      </c>
      <c r="AB160" s="80">
        <f t="shared" si="367"/>
        <v>-7.0324361628709697E-2</v>
      </c>
      <c r="AC160" s="80">
        <f t="shared" si="367"/>
        <v>0.75879908194280743</v>
      </c>
      <c r="AD160" s="80">
        <f t="shared" si="367"/>
        <v>0.47520886503937354</v>
      </c>
      <c r="AE160" s="80">
        <f t="shared" si="367"/>
        <v>-0.18150411280846068</v>
      </c>
      <c r="AF160" s="80">
        <f t="shared" si="367"/>
        <v>0.22831762056763916</v>
      </c>
      <c r="AG160" s="80">
        <f t="shared" si="367"/>
        <v>-0.27793296089385455</v>
      </c>
      <c r="AH160" s="80">
        <f t="shared" si="367"/>
        <v>-0.19951795114449633</v>
      </c>
      <c r="AI160" s="80">
        <f t="shared" si="367"/>
        <v>0.87584345479082293</v>
      </c>
      <c r="AJ160" s="80">
        <f t="shared" si="367"/>
        <v>-5.1168412570507638E-2</v>
      </c>
      <c r="AK160" s="80">
        <f t="shared" si="367"/>
        <v>-0.18918390871969215</v>
      </c>
      <c r="AL160" s="80">
        <f t="shared" si="367"/>
        <v>0.4500785074351159</v>
      </c>
      <c r="AM160" s="80">
        <f t="shared" si="367"/>
        <v>2.0970457676412257E-2</v>
      </c>
      <c r="AN160" s="80">
        <f t="shared" si="367"/>
        <v>-0.48530785562632694</v>
      </c>
      <c r="AO160" s="80">
        <f t="shared" si="367"/>
        <v>-0.26091566265060251</v>
      </c>
      <c r="AP160" s="80">
        <f t="shared" si="367"/>
        <v>-0.18185987261146497</v>
      </c>
      <c r="AQ160" s="80">
        <f t="shared" si="367"/>
        <v>-0.24227886056971515</v>
      </c>
      <c r="AR160" s="80">
        <f t="shared" si="367"/>
        <v>-7.0126227208977543E-4</v>
      </c>
      <c r="AS160" s="80">
        <f t="shared" si="367"/>
        <v>-0.2628781950965049</v>
      </c>
      <c r="BL160" s="36"/>
      <c r="BM160" s="81"/>
      <c r="BN160" s="81"/>
      <c r="BO160" s="81"/>
      <c r="BP160" s="81"/>
      <c r="BQ160" s="81"/>
      <c r="BR160" s="83">
        <f>BR158/BQ158-1</f>
        <v>8.6840943062916232E-2</v>
      </c>
      <c r="BS160" s="83">
        <f>BS158/BR158-1</f>
        <v>0.27003024169916112</v>
      </c>
      <c r="BT160" s="83">
        <f>BT158/BS158-1</f>
        <v>-1.2115096493144017E-2</v>
      </c>
      <c r="BU160" s="117">
        <f>BU158/BT158-1</f>
        <v>4.0141882402036089E-3</v>
      </c>
      <c r="BV160" s="83">
        <f>BV158/BU158-1</f>
        <v>-0.30337468982630267</v>
      </c>
      <c r="CB160" s="18"/>
      <c r="CC160" s="18"/>
      <c r="CD160" s="18"/>
      <c r="CE160" s="18"/>
      <c r="CF160" s="18"/>
      <c r="CG160" s="18"/>
      <c r="CH160" s="23"/>
      <c r="CI160" s="81"/>
      <c r="CJ160" s="81"/>
      <c r="CK160" s="81"/>
      <c r="CL160" s="81"/>
      <c r="CM160" s="81"/>
      <c r="CN160" s="81">
        <f>CN158/CM158-1</f>
        <v>-0.18839542582874336</v>
      </c>
      <c r="CO160" s="81">
        <f>CO158/CN158-1</f>
        <v>-0.79863554181993068</v>
      </c>
      <c r="CP160" s="83">
        <f>CP158/CO158-1</f>
        <v>-1</v>
      </c>
      <c r="CQ160" s="81"/>
      <c r="CR160" s="81"/>
      <c r="CS160" s="115"/>
      <c r="CT160" s="152"/>
    </row>
    <row r="161" spans="1:98" ht="14.25" hidden="1" customHeight="1" outlineLevel="2">
      <c r="A161" s="18"/>
      <c r="B161" s="144" t="s">
        <v>228</v>
      </c>
      <c r="C161" s="26"/>
      <c r="D161" s="28"/>
      <c r="E161" s="28"/>
      <c r="F161" s="28"/>
      <c r="G161" s="35"/>
      <c r="H161" s="149"/>
      <c r="I161" s="149"/>
      <c r="J161" s="149"/>
      <c r="K161" s="150"/>
      <c r="L161" s="149"/>
      <c r="M161" s="149"/>
      <c r="N161" s="149"/>
      <c r="O161" s="150"/>
      <c r="P161" s="149"/>
      <c r="Q161" s="149"/>
      <c r="R161" s="149"/>
      <c r="S161" s="150"/>
      <c r="T161" s="161">
        <v>408.59999999999997</v>
      </c>
      <c r="U161" s="161">
        <v>580.55999999999995</v>
      </c>
      <c r="V161" s="161">
        <v>491.2</v>
      </c>
      <c r="W161" s="162">
        <v>334.6</v>
      </c>
      <c r="X161" s="161">
        <v>209.3</v>
      </c>
      <c r="Y161" s="161">
        <v>205.79999999999998</v>
      </c>
      <c r="Z161" s="161">
        <v>185.85</v>
      </c>
      <c r="AA161" s="162">
        <v>64.75</v>
      </c>
      <c r="AB161" s="161">
        <v>141.80000000000001</v>
      </c>
      <c r="AC161" s="161">
        <v>78.760000000000005</v>
      </c>
      <c r="AD161" s="161">
        <v>116.60000000000001</v>
      </c>
      <c r="AE161" s="162">
        <v>37.050000000000004</v>
      </c>
      <c r="AF161" s="161">
        <v>95.2</v>
      </c>
      <c r="AG161" s="161">
        <v>155.10000000000002</v>
      </c>
      <c r="AH161" s="161">
        <v>168.42000000000002</v>
      </c>
      <c r="AI161" s="162">
        <v>152.89999999999998</v>
      </c>
      <c r="AJ161" s="161">
        <v>78.5</v>
      </c>
      <c r="AK161" s="161">
        <v>282.20000000000005</v>
      </c>
      <c r="AL161" s="161">
        <v>219.8</v>
      </c>
      <c r="AM161" s="162">
        <v>266.8</v>
      </c>
      <c r="AN161" s="161">
        <v>484.84000000000003</v>
      </c>
      <c r="AO161" s="161">
        <v>528.24</v>
      </c>
      <c r="AP161" s="161">
        <v>361.26</v>
      </c>
      <c r="AQ161" s="162">
        <v>303.24</v>
      </c>
      <c r="AR161" s="161">
        <v>369.75</v>
      </c>
      <c r="AS161" s="161">
        <v>334.22</v>
      </c>
      <c r="BL161" s="36"/>
      <c r="BM161" s="34"/>
      <c r="BN161" s="34"/>
      <c r="BO161" s="34"/>
      <c r="BP161" s="34"/>
      <c r="BQ161" s="34">
        <f>SUM(T161:W161)</f>
        <v>1814.96</v>
      </c>
      <c r="BR161" s="34">
        <f>SUM(X161:AA161)</f>
        <v>665.7</v>
      </c>
      <c r="BS161" s="34">
        <f>SUM(AB161:AE161)</f>
        <v>374.21000000000004</v>
      </c>
      <c r="BT161" s="34">
        <f>SUM(AF161:AI161)</f>
        <v>571.62</v>
      </c>
      <c r="BU161" s="114">
        <f>SUM(AJ161:AM161)</f>
        <v>847.3</v>
      </c>
      <c r="BV161" s="34">
        <f>SUM(AN161:AQ161)</f>
        <v>1677.5800000000002</v>
      </c>
      <c r="CB161" s="18"/>
      <c r="CC161" s="18"/>
      <c r="CD161" s="18"/>
      <c r="CE161" s="18"/>
      <c r="CF161" s="18"/>
      <c r="CG161" s="18"/>
      <c r="CH161" s="23"/>
      <c r="CI161" s="34">
        <f>SUM(U161:X161)</f>
        <v>1615.66</v>
      </c>
      <c r="CJ161" s="34">
        <f>SUM(Y161:AB161)</f>
        <v>598.20000000000005</v>
      </c>
      <c r="CK161" s="34">
        <f>SUM(AC161:AF161)</f>
        <v>327.61</v>
      </c>
      <c r="CL161" s="34">
        <f>SUM(AG161:AJ161)</f>
        <v>554.92000000000007</v>
      </c>
      <c r="CM161" s="34">
        <f>SUM(AK161:AN161)</f>
        <v>1253.6400000000001</v>
      </c>
      <c r="CN161" s="34">
        <f>SUM(AO161:AR161)</f>
        <v>1562.49</v>
      </c>
      <c r="CO161" s="34">
        <f>SUM(AS161:AV161)</f>
        <v>334.22</v>
      </c>
      <c r="CP161" s="34">
        <f>SUM(AW161:AY161)</f>
        <v>0</v>
      </c>
      <c r="CQ161" s="34"/>
      <c r="CR161" s="34"/>
      <c r="CS161" s="114"/>
      <c r="CT161" s="152"/>
    </row>
    <row r="162" spans="1:98" ht="14.25" hidden="1" customHeight="1" outlineLevel="2">
      <c r="A162" s="18"/>
      <c r="B162" s="144" t="s">
        <v>186</v>
      </c>
      <c r="C162" s="79"/>
      <c r="D162" s="80"/>
      <c r="E162" s="80"/>
      <c r="F162" s="80"/>
      <c r="G162" s="41"/>
      <c r="H162" s="80"/>
      <c r="I162" s="80"/>
      <c r="J162" s="80"/>
      <c r="K162" s="41"/>
      <c r="L162" s="80"/>
      <c r="M162" s="80"/>
      <c r="N162" s="80"/>
      <c r="O162" s="41"/>
      <c r="P162" s="80"/>
      <c r="Q162" s="80"/>
      <c r="R162" s="80"/>
      <c r="S162" s="41"/>
      <c r="T162" s="80"/>
      <c r="U162" s="80">
        <f t="shared" ref="U162:AS162" si="368">U161/T161-1</f>
        <v>0.42085168869309841</v>
      </c>
      <c r="V162" s="80">
        <f t="shared" si="368"/>
        <v>-0.15392035276284965</v>
      </c>
      <c r="W162" s="41">
        <f t="shared" si="368"/>
        <v>-0.31881107491856675</v>
      </c>
      <c r="X162" s="80">
        <f t="shared" si="368"/>
        <v>-0.37447698744769875</v>
      </c>
      <c r="Y162" s="80">
        <f t="shared" si="368"/>
        <v>-1.6722408026755953E-2</v>
      </c>
      <c r="Z162" s="80">
        <f t="shared" si="368"/>
        <v>-9.6938775510204023E-2</v>
      </c>
      <c r="AA162" s="41">
        <f t="shared" si="368"/>
        <v>-0.65160075329566847</v>
      </c>
      <c r="AB162" s="80">
        <f t="shared" si="368"/>
        <v>1.1899613899613901</v>
      </c>
      <c r="AC162" s="80">
        <f t="shared" si="368"/>
        <v>-0.44456981664315942</v>
      </c>
      <c r="AD162" s="80">
        <f t="shared" si="368"/>
        <v>0.48044692737430172</v>
      </c>
      <c r="AE162" s="41">
        <f t="shared" si="368"/>
        <v>-0.68224699828473412</v>
      </c>
      <c r="AF162" s="80">
        <f t="shared" si="368"/>
        <v>1.5695006747638325</v>
      </c>
      <c r="AG162" s="80">
        <f t="shared" si="368"/>
        <v>0.62920168067226911</v>
      </c>
      <c r="AH162" s="80">
        <f t="shared" si="368"/>
        <v>8.5880077369439034E-2</v>
      </c>
      <c r="AI162" s="41">
        <f t="shared" si="368"/>
        <v>-9.2150575941099877E-2</v>
      </c>
      <c r="AJ162" s="80">
        <f t="shared" si="368"/>
        <v>-0.48659254414650088</v>
      </c>
      <c r="AK162" s="80">
        <f t="shared" si="368"/>
        <v>2.5949044585987266</v>
      </c>
      <c r="AL162" s="80">
        <f t="shared" si="368"/>
        <v>-0.22111977321048915</v>
      </c>
      <c r="AM162" s="41">
        <f t="shared" si="368"/>
        <v>0.2138307552320291</v>
      </c>
      <c r="AN162" s="80">
        <f t="shared" si="368"/>
        <v>0.8172413793103448</v>
      </c>
      <c r="AO162" s="80">
        <f t="shared" si="368"/>
        <v>8.9514066496163558E-2</v>
      </c>
      <c r="AP162" s="80">
        <f t="shared" si="368"/>
        <v>-0.31610631531122224</v>
      </c>
      <c r="AQ162" s="41">
        <f t="shared" si="368"/>
        <v>-0.16060455073907987</v>
      </c>
      <c r="AR162" s="80">
        <f t="shared" si="368"/>
        <v>0.21933122279382666</v>
      </c>
      <c r="AS162" s="80">
        <f t="shared" si="368"/>
        <v>-9.6091954022988424E-2</v>
      </c>
      <c r="BL162" s="36"/>
      <c r="BM162" s="81"/>
      <c r="BN162" s="81"/>
      <c r="BO162" s="81"/>
      <c r="BP162" s="81"/>
      <c r="BQ162" s="81"/>
      <c r="BR162" s="81"/>
      <c r="BS162" s="81"/>
      <c r="BT162" s="81"/>
      <c r="BU162" s="115"/>
      <c r="BV162" s="81"/>
      <c r="CB162" s="18"/>
      <c r="CC162" s="18"/>
      <c r="CD162" s="18"/>
      <c r="CE162" s="18"/>
      <c r="CF162" s="18"/>
      <c r="CG162" s="18"/>
      <c r="CH162" s="23"/>
      <c r="CI162" s="81"/>
      <c r="CJ162" s="81"/>
      <c r="CK162" s="81"/>
      <c r="CL162" s="81"/>
      <c r="CM162" s="81"/>
      <c r="CN162" s="81"/>
      <c r="CO162" s="81"/>
      <c r="CP162" s="81"/>
      <c r="CQ162" s="81"/>
      <c r="CR162" s="81"/>
      <c r="CS162" s="115"/>
      <c r="CT162" s="152"/>
    </row>
    <row r="163" spans="1:98" ht="14.25" hidden="1" customHeight="1" outlineLevel="2">
      <c r="A163" s="18"/>
      <c r="B163" s="144" t="s">
        <v>187</v>
      </c>
      <c r="C163" s="79"/>
      <c r="D163" s="80"/>
      <c r="E163" s="80"/>
      <c r="F163" s="80"/>
      <c r="G163" s="41"/>
      <c r="H163" s="80"/>
      <c r="I163" s="80"/>
      <c r="J163" s="80"/>
      <c r="K163" s="41"/>
      <c r="L163" s="80"/>
      <c r="M163" s="80"/>
      <c r="N163" s="80"/>
      <c r="O163" s="41"/>
      <c r="P163" s="80"/>
      <c r="Q163" s="80"/>
      <c r="R163" s="80"/>
      <c r="S163" s="41"/>
      <c r="T163" s="80"/>
      <c r="U163" s="80"/>
      <c r="V163" s="80"/>
      <c r="W163" s="41"/>
      <c r="X163" s="80">
        <f t="shared" ref="X163:AS163" si="369">X161/T161-1</f>
        <v>-0.48776309348996572</v>
      </c>
      <c r="Y163" s="80">
        <f t="shared" si="369"/>
        <v>-0.64551467548573793</v>
      </c>
      <c r="Z163" s="80">
        <f t="shared" si="369"/>
        <v>-0.62164087947882729</v>
      </c>
      <c r="AA163" s="80">
        <f t="shared" si="369"/>
        <v>-0.80648535564853563</v>
      </c>
      <c r="AB163" s="80">
        <f t="shared" si="369"/>
        <v>-0.32250358337314855</v>
      </c>
      <c r="AC163" s="80">
        <f t="shared" si="369"/>
        <v>-0.61729834791059268</v>
      </c>
      <c r="AD163" s="80">
        <f t="shared" si="369"/>
        <v>-0.37261232176486403</v>
      </c>
      <c r="AE163" s="80">
        <f t="shared" si="369"/>
        <v>-0.42779922779922774</v>
      </c>
      <c r="AF163" s="80">
        <f t="shared" si="369"/>
        <v>-0.32863187588152332</v>
      </c>
      <c r="AG163" s="80">
        <f t="shared" si="369"/>
        <v>0.96927374301675995</v>
      </c>
      <c r="AH163" s="80">
        <f t="shared" si="369"/>
        <v>0.44442538593481995</v>
      </c>
      <c r="AI163" s="80">
        <f t="shared" si="369"/>
        <v>3.1268556005398098</v>
      </c>
      <c r="AJ163" s="80">
        <f t="shared" si="369"/>
        <v>-0.17542016806722693</v>
      </c>
      <c r="AK163" s="80">
        <f t="shared" si="369"/>
        <v>0.819471308833011</v>
      </c>
      <c r="AL163" s="80">
        <f t="shared" si="369"/>
        <v>0.30507065669160416</v>
      </c>
      <c r="AM163" s="80">
        <f t="shared" si="369"/>
        <v>0.74493132766514103</v>
      </c>
      <c r="AN163" s="80">
        <f t="shared" si="369"/>
        <v>5.1763057324840771</v>
      </c>
      <c r="AO163" s="80">
        <f t="shared" si="369"/>
        <v>0.8718639262934087</v>
      </c>
      <c r="AP163" s="80">
        <f t="shared" si="369"/>
        <v>0.64358507734303894</v>
      </c>
      <c r="AQ163" s="80">
        <f t="shared" si="369"/>
        <v>0.13658170914542733</v>
      </c>
      <c r="AR163" s="80">
        <f t="shared" si="369"/>
        <v>-0.23737727910238438</v>
      </c>
      <c r="AS163" s="80">
        <f t="shared" si="369"/>
        <v>-0.36729516886263813</v>
      </c>
      <c r="BL163" s="36"/>
      <c r="BM163" s="81"/>
      <c r="BN163" s="81"/>
      <c r="BO163" s="81"/>
      <c r="BP163" s="81"/>
      <c r="BQ163" s="81"/>
      <c r="BR163" s="83">
        <f>BR161/BQ161-1</f>
        <v>-0.63321505708114778</v>
      </c>
      <c r="BS163" s="83">
        <f>BS161/BR161-1</f>
        <v>-0.43786991137148867</v>
      </c>
      <c r="BT163" s="83">
        <f>BT161/BS161-1</f>
        <v>0.52753801341492723</v>
      </c>
      <c r="BU163" s="117">
        <f>BU161/BT161-1</f>
        <v>0.48227843672369741</v>
      </c>
      <c r="BV163" s="83">
        <f>BV161/BU161-1</f>
        <v>0.97991266375545871</v>
      </c>
      <c r="CB163" s="18"/>
      <c r="CC163" s="18"/>
      <c r="CD163" s="18"/>
      <c r="CE163" s="18"/>
      <c r="CF163" s="18"/>
      <c r="CG163" s="18"/>
      <c r="CH163" s="23"/>
      <c r="CI163" s="81"/>
      <c r="CJ163" s="81"/>
      <c r="CK163" s="81"/>
      <c r="CL163" s="81"/>
      <c r="CM163" s="81"/>
      <c r="CN163" s="81">
        <f>CN161/CM161-1</f>
        <v>0.2463625921317123</v>
      </c>
      <c r="CO163" s="81">
        <f>CO161/CN161-1</f>
        <v>-0.78609783102611852</v>
      </c>
      <c r="CP163" s="83">
        <f>CP161/CO161-1</f>
        <v>-1</v>
      </c>
      <c r="CQ163" s="81"/>
      <c r="CR163" s="81"/>
      <c r="CS163" s="115"/>
      <c r="CT163" s="152"/>
    </row>
    <row r="164" spans="1:98" ht="14.25" hidden="1" customHeight="1" outlineLevel="2">
      <c r="A164" s="18"/>
      <c r="B164" s="144" t="s">
        <v>230</v>
      </c>
      <c r="C164" s="26"/>
      <c r="D164" s="28"/>
      <c r="E164" s="28"/>
      <c r="F164" s="28"/>
      <c r="G164" s="35"/>
      <c r="H164" s="149"/>
      <c r="I164" s="149"/>
      <c r="J164" s="149"/>
      <c r="K164" s="150"/>
      <c r="L164" s="149"/>
      <c r="M164" s="149"/>
      <c r="N164" s="149"/>
      <c r="O164" s="150"/>
      <c r="P164" s="149"/>
      <c r="Q164" s="149"/>
      <c r="R164" s="149"/>
      <c r="S164" s="150"/>
      <c r="T164" s="161">
        <v>147.55000000000001</v>
      </c>
      <c r="U164" s="161">
        <v>141.6</v>
      </c>
      <c r="V164" s="161">
        <v>199.55</v>
      </c>
      <c r="W164" s="162">
        <v>150.57</v>
      </c>
      <c r="X164" s="161">
        <v>161</v>
      </c>
      <c r="Y164" s="161">
        <v>274.40000000000003</v>
      </c>
      <c r="Z164" s="161">
        <v>284.97000000000003</v>
      </c>
      <c r="AA164" s="162">
        <v>138.75</v>
      </c>
      <c r="AB164" s="161">
        <v>269.42</v>
      </c>
      <c r="AC164" s="161">
        <v>236.28</v>
      </c>
      <c r="AD164" s="161">
        <v>221.54</v>
      </c>
      <c r="AE164" s="162">
        <v>59.28</v>
      </c>
      <c r="AF164" s="161">
        <v>108.8</v>
      </c>
      <c r="AG164" s="161">
        <v>170.61</v>
      </c>
      <c r="AH164" s="161">
        <v>288.71999999999997</v>
      </c>
      <c r="AI164" s="162">
        <v>347.49999999999994</v>
      </c>
      <c r="AJ164" s="161">
        <v>423.90000000000003</v>
      </c>
      <c r="AK164" s="161">
        <v>348.59999999999997</v>
      </c>
      <c r="AL164" s="161">
        <v>345.4</v>
      </c>
      <c r="AM164" s="162">
        <v>160.07999999999998</v>
      </c>
      <c r="AN164" s="161">
        <v>256.68</v>
      </c>
      <c r="AO164" s="161">
        <v>357.84</v>
      </c>
      <c r="AP164" s="161">
        <v>782.73</v>
      </c>
      <c r="AQ164" s="162">
        <v>447.64</v>
      </c>
      <c r="AR164" s="161">
        <v>280.5</v>
      </c>
      <c r="AS164" s="161">
        <v>963.34</v>
      </c>
      <c r="BL164" s="36"/>
      <c r="BM164" s="34"/>
      <c r="BN164" s="34"/>
      <c r="BO164" s="34"/>
      <c r="BP164" s="34"/>
      <c r="BQ164" s="34">
        <f>SUM(T164:W164)</f>
        <v>639.27</v>
      </c>
      <c r="BR164" s="34">
        <f>SUM(X164:AA164)</f>
        <v>859.12000000000012</v>
      </c>
      <c r="BS164" s="34">
        <f>SUM(AB164:AE164)</f>
        <v>786.52</v>
      </c>
      <c r="BT164" s="34">
        <f>SUM(AF164:AI164)</f>
        <v>915.62999999999988</v>
      </c>
      <c r="BU164" s="114">
        <f>SUM(AJ164:AM164)</f>
        <v>1277.98</v>
      </c>
      <c r="BV164" s="34">
        <f>SUM(AN164:AQ164)</f>
        <v>1844.8899999999999</v>
      </c>
      <c r="CB164" s="18"/>
      <c r="CC164" s="18"/>
      <c r="CD164" s="18"/>
      <c r="CE164" s="18"/>
      <c r="CF164" s="18"/>
      <c r="CG164" s="18"/>
      <c r="CH164" s="23"/>
      <c r="CI164" s="34">
        <f>SUM(U164:X164)</f>
        <v>652.72</v>
      </c>
      <c r="CJ164" s="34">
        <f>SUM(Y164:AB164)</f>
        <v>967.54000000000019</v>
      </c>
      <c r="CK164" s="34">
        <f>SUM(AC164:AF164)</f>
        <v>625.9</v>
      </c>
      <c r="CL164" s="34">
        <f>SUM(AG164:AJ164)</f>
        <v>1230.73</v>
      </c>
      <c r="CM164" s="34">
        <f>SUM(AK164:AN164)</f>
        <v>1110.76</v>
      </c>
      <c r="CN164" s="34">
        <f>SUM(AO164:AR164)</f>
        <v>1868.71</v>
      </c>
      <c r="CO164" s="34">
        <f>SUM(AS164:AV164)</f>
        <v>963.34</v>
      </c>
      <c r="CP164" s="34">
        <f>SUM(AW164:AY164)</f>
        <v>0</v>
      </c>
      <c r="CQ164" s="34"/>
      <c r="CR164" s="34"/>
      <c r="CS164" s="114"/>
      <c r="CT164" s="152"/>
    </row>
    <row r="165" spans="1:98" ht="14.25" hidden="1" customHeight="1" outlineLevel="2">
      <c r="A165" s="18"/>
      <c r="B165" s="144" t="s">
        <v>186</v>
      </c>
      <c r="C165" s="79"/>
      <c r="D165" s="80"/>
      <c r="E165" s="80"/>
      <c r="F165" s="80"/>
      <c r="G165" s="41"/>
      <c r="H165" s="80"/>
      <c r="I165" s="80"/>
      <c r="J165" s="80"/>
      <c r="K165" s="41"/>
      <c r="L165" s="80"/>
      <c r="M165" s="80"/>
      <c r="N165" s="80"/>
      <c r="O165" s="41"/>
      <c r="P165" s="80"/>
      <c r="Q165" s="80"/>
      <c r="R165" s="80"/>
      <c r="S165" s="41"/>
      <c r="T165" s="80"/>
      <c r="U165" s="80">
        <f t="shared" ref="U165:AS165" si="370">U164/T164-1</f>
        <v>-4.0325313453066891E-2</v>
      </c>
      <c r="V165" s="80">
        <f t="shared" si="370"/>
        <v>0.40925141242937868</v>
      </c>
      <c r="W165" s="41">
        <f t="shared" si="370"/>
        <v>-0.24545226760210481</v>
      </c>
      <c r="X165" s="80">
        <f t="shared" si="370"/>
        <v>6.9270106927010744E-2</v>
      </c>
      <c r="Y165" s="80">
        <f t="shared" si="370"/>
        <v>0.70434782608695667</v>
      </c>
      <c r="Z165" s="80">
        <f t="shared" si="370"/>
        <v>3.8520408163265296E-2</v>
      </c>
      <c r="AA165" s="41">
        <f t="shared" si="370"/>
        <v>-0.5131066428045058</v>
      </c>
      <c r="AB165" s="80">
        <f t="shared" si="370"/>
        <v>0.94176576576576587</v>
      </c>
      <c r="AC165" s="80">
        <f t="shared" si="370"/>
        <v>-0.12300497364709384</v>
      </c>
      <c r="AD165" s="80">
        <f t="shared" si="370"/>
        <v>-6.2383612662942345E-2</v>
      </c>
      <c r="AE165" s="41">
        <f t="shared" si="370"/>
        <v>-0.73241852487135506</v>
      </c>
      <c r="AF165" s="80">
        <f t="shared" si="370"/>
        <v>0.83535762483130904</v>
      </c>
      <c r="AG165" s="80">
        <f t="shared" si="370"/>
        <v>0.56810661764705905</v>
      </c>
      <c r="AH165" s="80">
        <f t="shared" si="370"/>
        <v>0.69228064005626844</v>
      </c>
      <c r="AI165" s="41">
        <f t="shared" si="370"/>
        <v>0.20358825159323901</v>
      </c>
      <c r="AJ165" s="80">
        <f t="shared" si="370"/>
        <v>0.21985611510791392</v>
      </c>
      <c r="AK165" s="80">
        <f t="shared" si="370"/>
        <v>-0.17763623496107583</v>
      </c>
      <c r="AL165" s="80">
        <f t="shared" si="370"/>
        <v>-9.179575444635657E-3</v>
      </c>
      <c r="AM165" s="41">
        <f t="shared" si="370"/>
        <v>-0.53653734800231612</v>
      </c>
      <c r="AN165" s="80">
        <f t="shared" si="370"/>
        <v>0.60344827586206917</v>
      </c>
      <c r="AO165" s="80">
        <f t="shared" si="370"/>
        <v>0.3941093969144458</v>
      </c>
      <c r="AP165" s="80">
        <f t="shared" si="370"/>
        <v>1.1873742454728373</v>
      </c>
      <c r="AQ165" s="41">
        <f t="shared" si="370"/>
        <v>-0.42810419940464783</v>
      </c>
      <c r="AR165" s="80">
        <f t="shared" si="370"/>
        <v>-0.3733803949602359</v>
      </c>
      <c r="AS165" s="80">
        <f t="shared" si="370"/>
        <v>2.4343672014260251</v>
      </c>
      <c r="BL165" s="36"/>
      <c r="BM165" s="81"/>
      <c r="BN165" s="81"/>
      <c r="BO165" s="81"/>
      <c r="BP165" s="81"/>
      <c r="BQ165" s="81"/>
      <c r="BR165" s="81"/>
      <c r="BS165" s="81"/>
      <c r="BT165" s="81"/>
      <c r="BU165" s="115"/>
      <c r="BV165" s="81" t="s">
        <v>160</v>
      </c>
      <c r="CB165" s="18"/>
      <c r="CC165" s="18"/>
      <c r="CD165" s="18"/>
      <c r="CE165" s="18"/>
      <c r="CF165" s="18"/>
      <c r="CG165" s="18"/>
      <c r="CH165" s="23"/>
      <c r="CI165" s="81"/>
      <c r="CJ165" s="81"/>
      <c r="CK165" s="81"/>
      <c r="CL165" s="81"/>
      <c r="CM165" s="81"/>
      <c r="CN165" s="81"/>
      <c r="CO165" s="81"/>
      <c r="CP165" s="81"/>
      <c r="CQ165" s="81"/>
      <c r="CR165" s="81"/>
      <c r="CS165" s="115"/>
      <c r="CT165" s="152"/>
    </row>
    <row r="166" spans="1:98" ht="14.25" hidden="1" customHeight="1" outlineLevel="2">
      <c r="A166" s="18"/>
      <c r="B166" s="144" t="s">
        <v>187</v>
      </c>
      <c r="C166" s="79"/>
      <c r="D166" s="80"/>
      <c r="E166" s="80"/>
      <c r="F166" s="80"/>
      <c r="G166" s="41"/>
      <c r="H166" s="80"/>
      <c r="I166" s="80"/>
      <c r="J166" s="80"/>
      <c r="K166" s="41"/>
      <c r="L166" s="80"/>
      <c r="M166" s="80"/>
      <c r="N166" s="80"/>
      <c r="O166" s="41"/>
      <c r="P166" s="80"/>
      <c r="Q166" s="80"/>
      <c r="R166" s="80"/>
      <c r="S166" s="41"/>
      <c r="T166" s="80"/>
      <c r="U166" s="80"/>
      <c r="V166" s="80"/>
      <c r="W166" s="41"/>
      <c r="X166" s="80">
        <f t="shared" ref="X166:AS166" si="371">X164/T164-1</f>
        <v>9.11555404947475E-2</v>
      </c>
      <c r="Y166" s="80">
        <f t="shared" si="371"/>
        <v>0.93785310734463301</v>
      </c>
      <c r="Z166" s="80">
        <f t="shared" si="371"/>
        <v>0.42806314206965679</v>
      </c>
      <c r="AA166" s="80">
        <f t="shared" si="371"/>
        <v>-7.8501693564455022E-2</v>
      </c>
      <c r="AB166" s="80">
        <f t="shared" si="371"/>
        <v>0.67341614906832303</v>
      </c>
      <c r="AC166" s="80">
        <f t="shared" si="371"/>
        <v>-0.13892128279883387</v>
      </c>
      <c r="AD166" s="80">
        <f t="shared" si="371"/>
        <v>-0.2225848334912448</v>
      </c>
      <c r="AE166" s="80">
        <f t="shared" si="371"/>
        <v>-0.57275675675675675</v>
      </c>
      <c r="AF166" s="80">
        <f t="shared" si="371"/>
        <v>-0.59616954940242006</v>
      </c>
      <c r="AG166" s="80">
        <f t="shared" si="371"/>
        <v>-0.27793296089385466</v>
      </c>
      <c r="AH166" s="80">
        <f t="shared" si="371"/>
        <v>0.30324094971562698</v>
      </c>
      <c r="AI166" s="80">
        <f t="shared" si="371"/>
        <v>4.8620107962213215</v>
      </c>
      <c r="AJ166" s="80">
        <f t="shared" si="371"/>
        <v>2.8961397058823533</v>
      </c>
      <c r="AK166" s="80">
        <f t="shared" si="371"/>
        <v>1.0432565500263755</v>
      </c>
      <c r="AL166" s="80">
        <f t="shared" si="371"/>
        <v>0.19631476863397057</v>
      </c>
      <c r="AM166" s="80">
        <f t="shared" si="371"/>
        <v>-0.53933812949640281</v>
      </c>
      <c r="AN166" s="80">
        <f t="shared" si="371"/>
        <v>-0.39447983014861998</v>
      </c>
      <c r="AO166" s="80">
        <f t="shared" si="371"/>
        <v>2.6506024096385472E-2</v>
      </c>
      <c r="AP166" s="80">
        <f t="shared" si="371"/>
        <v>1.2661551823972208</v>
      </c>
      <c r="AQ166" s="80">
        <f t="shared" si="371"/>
        <v>1.7963518240879561</v>
      </c>
      <c r="AR166" s="80">
        <f t="shared" si="371"/>
        <v>9.2800374006545061E-2</v>
      </c>
      <c r="AS166" s="80">
        <f t="shared" si="371"/>
        <v>1.6920970266040691</v>
      </c>
      <c r="BL166" s="36"/>
      <c r="BM166" s="81"/>
      <c r="BN166" s="81"/>
      <c r="BO166" s="81"/>
      <c r="BP166" s="81"/>
      <c r="BQ166" s="81"/>
      <c r="BR166" s="83">
        <f>BR164/BQ164-1</f>
        <v>0.34390789494266927</v>
      </c>
      <c r="BS166" s="83">
        <f>BS164/BR164-1</f>
        <v>-8.4505074960424809E-2</v>
      </c>
      <c r="BT166" s="83">
        <f>BT164/BS164-1</f>
        <v>0.1641534862431977</v>
      </c>
      <c r="BU166" s="117">
        <f>BU164/BT164-1</f>
        <v>0.39573845330537472</v>
      </c>
      <c r="BV166" s="83">
        <f>BV164/BU164-1</f>
        <v>0.44359849136919194</v>
      </c>
      <c r="CB166" s="18"/>
      <c r="CC166" s="18"/>
      <c r="CD166" s="18"/>
      <c r="CE166" s="18"/>
      <c r="CF166" s="18"/>
      <c r="CG166" s="18"/>
      <c r="CH166" s="23"/>
      <c r="CI166" s="81"/>
      <c r="CJ166" s="81"/>
      <c r="CK166" s="81"/>
      <c r="CL166" s="81"/>
      <c r="CM166" s="81"/>
      <c r="CN166" s="81">
        <f>CN164/CM164-1</f>
        <v>0.68237062911880164</v>
      </c>
      <c r="CO166" s="81">
        <f>CO164/CN164-1</f>
        <v>-0.48448930010542035</v>
      </c>
      <c r="CP166" s="83">
        <f>CP164/CO164-1</f>
        <v>-1</v>
      </c>
      <c r="CQ166" s="81"/>
      <c r="CR166" s="81"/>
      <c r="CS166" s="115"/>
      <c r="CT166" s="152"/>
    </row>
    <row r="167" spans="1:98" ht="14.25" hidden="1" customHeight="1" outlineLevel="2">
      <c r="A167" s="18"/>
      <c r="B167" s="144" t="s">
        <v>229</v>
      </c>
      <c r="C167" s="26"/>
      <c r="D167" s="28"/>
      <c r="E167" s="28"/>
      <c r="F167" s="28"/>
      <c r="G167" s="35"/>
      <c r="H167" s="149"/>
      <c r="I167" s="149"/>
      <c r="J167" s="149"/>
      <c r="K167" s="150"/>
      <c r="L167" s="149"/>
      <c r="M167" s="149"/>
      <c r="N167" s="149"/>
      <c r="O167" s="150"/>
      <c r="P167" s="149"/>
      <c r="Q167" s="149"/>
      <c r="R167" s="149"/>
      <c r="S167" s="150"/>
      <c r="T167" s="161">
        <v>102.14999999999999</v>
      </c>
      <c r="U167" s="161">
        <v>169.92</v>
      </c>
      <c r="V167" s="161">
        <v>276.3</v>
      </c>
      <c r="W167" s="162">
        <v>401.52</v>
      </c>
      <c r="X167" s="161">
        <v>370.3</v>
      </c>
      <c r="Y167" s="161">
        <v>428.75</v>
      </c>
      <c r="Z167" s="161">
        <v>309.75</v>
      </c>
      <c r="AA167" s="162">
        <v>296</v>
      </c>
      <c r="AB167" s="161">
        <v>198.52</v>
      </c>
      <c r="AC167" s="161">
        <v>236.28</v>
      </c>
      <c r="AD167" s="161">
        <v>151.58000000000001</v>
      </c>
      <c r="AE167" s="162">
        <v>296.40000000000003</v>
      </c>
      <c r="AF167" s="161">
        <v>163.19999999999999</v>
      </c>
      <c r="AG167" s="161">
        <v>201.63</v>
      </c>
      <c r="AH167" s="161">
        <v>204.51000000000002</v>
      </c>
      <c r="AI167" s="162">
        <v>236.29999999999998</v>
      </c>
      <c r="AJ167" s="161">
        <v>125.60000000000001</v>
      </c>
      <c r="AK167" s="161">
        <v>199.2</v>
      </c>
      <c r="AL167" s="161">
        <v>219.8</v>
      </c>
      <c r="AM167" s="162">
        <v>240.12</v>
      </c>
      <c r="AN167" s="161">
        <v>199.64000000000001</v>
      </c>
      <c r="AO167" s="161">
        <v>204.48000000000008</v>
      </c>
      <c r="AP167" s="161">
        <v>220.76999999999998</v>
      </c>
      <c r="AQ167" s="162">
        <v>187.72</v>
      </c>
      <c r="AR167" s="161">
        <v>140.25</v>
      </c>
      <c r="AS167" s="161">
        <v>216.26</v>
      </c>
      <c r="BL167" s="36"/>
      <c r="BM167" s="34"/>
      <c r="BN167" s="34"/>
      <c r="BO167" s="34"/>
      <c r="BP167" s="34"/>
      <c r="BQ167" s="34">
        <f>SUM(T167:W167)</f>
        <v>949.89</v>
      </c>
      <c r="BR167" s="34">
        <f>SUM(X167:AA167)</f>
        <v>1404.8</v>
      </c>
      <c r="BS167" s="34">
        <f>SUM(AB167:AE167)</f>
        <v>882.78</v>
      </c>
      <c r="BT167" s="34">
        <f>SUM(AF167:AI167)</f>
        <v>805.64</v>
      </c>
      <c r="BU167" s="114">
        <f>SUM(AJ167:AM167)</f>
        <v>784.72</v>
      </c>
      <c r="BV167" s="34">
        <f>SUM(AN167:AQ167)</f>
        <v>812.61000000000013</v>
      </c>
      <c r="CB167" s="18"/>
      <c r="CC167" s="18"/>
      <c r="CD167" s="18"/>
      <c r="CE167" s="18"/>
      <c r="CF167" s="18"/>
      <c r="CG167" s="18"/>
      <c r="CH167" s="23"/>
      <c r="CI167" s="34">
        <f>SUM(U167:X167)</f>
        <v>1218.04</v>
      </c>
      <c r="CJ167" s="34">
        <f>SUM(Y167:AB167)</f>
        <v>1233.02</v>
      </c>
      <c r="CK167" s="34">
        <f>SUM(AC167:AF167)</f>
        <v>847.46</v>
      </c>
      <c r="CL167" s="34">
        <f>SUM(AG167:AJ167)</f>
        <v>768.04</v>
      </c>
      <c r="CM167" s="34">
        <f>SUM(AK167:AN167)</f>
        <v>858.76</v>
      </c>
      <c r="CN167" s="34">
        <f>SUM(AO167:AR167)</f>
        <v>753.22</v>
      </c>
      <c r="CO167" s="34">
        <f>SUM(AS167:AV167)</f>
        <v>216.26</v>
      </c>
      <c r="CP167" s="34">
        <f>SUM(AW167:AY167)</f>
        <v>0</v>
      </c>
      <c r="CQ167" s="34"/>
      <c r="CR167" s="34"/>
      <c r="CS167" s="114"/>
      <c r="CT167" s="152"/>
    </row>
    <row r="168" spans="1:98" ht="14.25" hidden="1" customHeight="1" outlineLevel="2">
      <c r="A168" s="18"/>
      <c r="B168" s="144" t="s">
        <v>186</v>
      </c>
      <c r="C168" s="79"/>
      <c r="D168" s="80"/>
      <c r="E168" s="80"/>
      <c r="F168" s="80"/>
      <c r="G168" s="41"/>
      <c r="H168" s="80"/>
      <c r="I168" s="80"/>
      <c r="J168" s="80"/>
      <c r="K168" s="41"/>
      <c r="L168" s="80"/>
      <c r="M168" s="80"/>
      <c r="N168" s="80"/>
      <c r="O168" s="41"/>
      <c r="P168" s="80"/>
      <c r="Q168" s="80"/>
      <c r="R168" s="80"/>
      <c r="S168" s="41"/>
      <c r="T168" s="80"/>
      <c r="U168" s="80">
        <f t="shared" ref="U168:AS168" si="372">U167/T167-1</f>
        <v>0.66343612334801771</v>
      </c>
      <c r="V168" s="80">
        <f t="shared" si="372"/>
        <v>0.62605932203389858</v>
      </c>
      <c r="W168" s="41">
        <f t="shared" si="372"/>
        <v>0.45320304017372415</v>
      </c>
      <c r="X168" s="80">
        <f t="shared" si="372"/>
        <v>-7.7754532775453189E-2</v>
      </c>
      <c r="Y168" s="80">
        <f t="shared" si="372"/>
        <v>0.15784499054820422</v>
      </c>
      <c r="Z168" s="80">
        <f t="shared" si="372"/>
        <v>-0.27755102040816326</v>
      </c>
      <c r="AA168" s="41">
        <f t="shared" si="372"/>
        <v>-4.4390637610976613E-2</v>
      </c>
      <c r="AB168" s="80">
        <f t="shared" si="372"/>
        <v>-0.32932432432432424</v>
      </c>
      <c r="AC168" s="80">
        <f t="shared" si="372"/>
        <v>0.19020753576465843</v>
      </c>
      <c r="AD168" s="80">
        <f t="shared" si="372"/>
        <v>-0.35847299813780253</v>
      </c>
      <c r="AE168" s="41">
        <f t="shared" si="372"/>
        <v>0.95540308747855929</v>
      </c>
      <c r="AF168" s="80">
        <f t="shared" si="372"/>
        <v>-0.44939271255060742</v>
      </c>
      <c r="AG168" s="80">
        <f t="shared" si="372"/>
        <v>0.2354779411764707</v>
      </c>
      <c r="AH168" s="80">
        <f t="shared" si="372"/>
        <v>1.4283588751673904E-2</v>
      </c>
      <c r="AI168" s="41">
        <f t="shared" si="372"/>
        <v>0.15544472152950939</v>
      </c>
      <c r="AJ168" s="80">
        <f t="shared" si="372"/>
        <v>-0.46847228099873039</v>
      </c>
      <c r="AK168" s="80">
        <f t="shared" si="372"/>
        <v>0.58598726114649669</v>
      </c>
      <c r="AL168" s="80">
        <f t="shared" si="372"/>
        <v>0.10341365461847407</v>
      </c>
      <c r="AM168" s="41">
        <f t="shared" si="372"/>
        <v>9.244767970882628E-2</v>
      </c>
      <c r="AN168" s="80">
        <f t="shared" si="372"/>
        <v>-0.16858237547892718</v>
      </c>
      <c r="AO168" s="80">
        <f t="shared" si="372"/>
        <v>2.4243638549389157E-2</v>
      </c>
      <c r="AP168" s="80">
        <f t="shared" si="372"/>
        <v>7.9665492957746054E-2</v>
      </c>
      <c r="AQ168" s="41">
        <f t="shared" si="372"/>
        <v>-0.14970331113828861</v>
      </c>
      <c r="AR168" s="80">
        <f t="shared" si="372"/>
        <v>-0.25287662476028128</v>
      </c>
      <c r="AS168" s="80">
        <f t="shared" si="372"/>
        <v>0.54196078431372552</v>
      </c>
      <c r="BL168" s="36"/>
      <c r="BM168" s="81"/>
      <c r="BN168" s="81"/>
      <c r="BO168" s="81"/>
      <c r="BP168" s="81"/>
      <c r="BQ168" s="81"/>
      <c r="BR168" s="81"/>
      <c r="BS168" s="81"/>
      <c r="BT168" s="81"/>
      <c r="BU168" s="115"/>
      <c r="BV168" s="81"/>
      <c r="CB168" s="18"/>
      <c r="CC168" s="18"/>
      <c r="CD168" s="18"/>
      <c r="CE168" s="18"/>
      <c r="CF168" s="18"/>
      <c r="CG168" s="18"/>
      <c r="CH168" s="23"/>
      <c r="CI168" s="81"/>
      <c r="CJ168" s="81"/>
      <c r="CK168" s="81"/>
      <c r="CL168" s="81"/>
      <c r="CM168" s="81"/>
      <c r="CN168" s="81"/>
      <c r="CO168" s="81"/>
      <c r="CP168" s="81"/>
      <c r="CQ168" s="81"/>
      <c r="CR168" s="81"/>
      <c r="CS168" s="115"/>
      <c r="CT168" s="152"/>
    </row>
    <row r="169" spans="1:98" ht="14.25" hidden="1" customHeight="1" outlineLevel="2">
      <c r="A169" s="18"/>
      <c r="B169" s="144" t="s">
        <v>187</v>
      </c>
      <c r="C169" s="79"/>
      <c r="D169" s="80"/>
      <c r="E169" s="80"/>
      <c r="F169" s="80"/>
      <c r="G169" s="41"/>
      <c r="H169" s="80"/>
      <c r="I169" s="80"/>
      <c r="J169" s="80"/>
      <c r="K169" s="41"/>
      <c r="L169" s="80"/>
      <c r="M169" s="80"/>
      <c r="N169" s="80"/>
      <c r="O169" s="41"/>
      <c r="P169" s="80"/>
      <c r="Q169" s="80"/>
      <c r="R169" s="80"/>
      <c r="S169" s="41"/>
      <c r="T169" s="80"/>
      <c r="U169" s="80"/>
      <c r="V169" s="80"/>
      <c r="W169" s="41"/>
      <c r="X169" s="80">
        <f t="shared" ref="X169:AS169" si="373">X167/T167-1</f>
        <v>2.6250611845325507</v>
      </c>
      <c r="Y169" s="80">
        <f t="shared" si="373"/>
        <v>1.5232462335216574</v>
      </c>
      <c r="Z169" s="80">
        <f t="shared" si="373"/>
        <v>0.12106406080347454</v>
      </c>
      <c r="AA169" s="80">
        <f t="shared" si="373"/>
        <v>-0.26280135485156397</v>
      </c>
      <c r="AB169" s="80">
        <f t="shared" si="373"/>
        <v>-0.46389413988657846</v>
      </c>
      <c r="AC169" s="80">
        <f t="shared" si="373"/>
        <v>-0.44890962099125364</v>
      </c>
      <c r="AD169" s="80">
        <f t="shared" si="373"/>
        <v>-0.51063761097659399</v>
      </c>
      <c r="AE169" s="80">
        <f t="shared" si="373"/>
        <v>1.3513513513514486E-3</v>
      </c>
      <c r="AF169" s="80">
        <f t="shared" si="373"/>
        <v>-0.17791658271206945</v>
      </c>
      <c r="AG169" s="80">
        <f t="shared" si="373"/>
        <v>-0.1466480446927374</v>
      </c>
      <c r="AH169" s="80">
        <f t="shared" si="373"/>
        <v>0.34918854730175486</v>
      </c>
      <c r="AI169" s="80">
        <f t="shared" si="373"/>
        <v>-0.20276653171390024</v>
      </c>
      <c r="AJ169" s="80">
        <f t="shared" si="373"/>
        <v>-0.23039215686274495</v>
      </c>
      <c r="AK169" s="80">
        <f t="shared" si="373"/>
        <v>-1.2051778009224856E-2</v>
      </c>
      <c r="AL169" s="80">
        <f t="shared" si="373"/>
        <v>7.4764070216615242E-2</v>
      </c>
      <c r="AM169" s="80">
        <f t="shared" si="373"/>
        <v>1.6165890816758344E-2</v>
      </c>
      <c r="AN169" s="80">
        <f t="shared" si="373"/>
        <v>0.58949044585987265</v>
      </c>
      <c r="AO169" s="80">
        <f t="shared" si="373"/>
        <v>2.6506024096385916E-2</v>
      </c>
      <c r="AP169" s="80">
        <f t="shared" si="373"/>
        <v>4.4131028207459178E-3</v>
      </c>
      <c r="AQ169" s="80">
        <f t="shared" si="373"/>
        <v>-0.218224221222722</v>
      </c>
      <c r="AR169" s="80">
        <f t="shared" si="373"/>
        <v>-0.29748547385293533</v>
      </c>
      <c r="AS169" s="80">
        <f t="shared" si="373"/>
        <v>5.7609546165883652E-2</v>
      </c>
      <c r="BL169" s="36"/>
      <c r="BM169" s="81"/>
      <c r="BN169" s="81"/>
      <c r="BO169" s="81"/>
      <c r="BP169" s="81"/>
      <c r="BQ169" s="81"/>
      <c r="BR169" s="83">
        <f>BR167/BQ167-1</f>
        <v>0.47890808409394769</v>
      </c>
      <c r="BS169" s="83">
        <f>BS167/BR167-1</f>
        <v>-0.37159738041002277</v>
      </c>
      <c r="BT169" s="83">
        <f>BT167/BS167-1</f>
        <v>-8.7383039942001361E-2</v>
      </c>
      <c r="BU169" s="117">
        <f>BU167/BT167-1</f>
        <v>-2.5966933121493452E-2</v>
      </c>
      <c r="BV169" s="83">
        <f>BV167/BU167-1</f>
        <v>3.5541339586094622E-2</v>
      </c>
      <c r="CB169" s="18"/>
      <c r="CC169" s="18"/>
      <c r="CD169" s="18"/>
      <c r="CE169" s="18"/>
      <c r="CF169" s="18"/>
      <c r="CG169" s="18"/>
      <c r="CH169" s="23"/>
      <c r="CI169" s="81"/>
      <c r="CJ169" s="81"/>
      <c r="CK169" s="81"/>
      <c r="CL169" s="81"/>
      <c r="CM169" s="81"/>
      <c r="CN169" s="81">
        <f>CN167/CM167-1</f>
        <v>-0.12289813219060031</v>
      </c>
      <c r="CO169" s="81">
        <f>CO167/CN167-1</f>
        <v>-0.71288600939964419</v>
      </c>
      <c r="CP169" s="83">
        <f>CP167/CO167-1</f>
        <v>-1</v>
      </c>
      <c r="CQ169" s="81"/>
      <c r="CR169" s="81"/>
      <c r="CS169" s="115"/>
      <c r="CT169" s="152"/>
    </row>
    <row r="170" spans="1:98" ht="14.25" hidden="1" customHeight="1" outlineLevel="1">
      <c r="A170" s="18"/>
      <c r="B170" s="9"/>
      <c r="C170" s="79"/>
      <c r="D170" s="80"/>
      <c r="E170" s="80"/>
      <c r="F170" s="80"/>
      <c r="G170" s="41"/>
      <c r="H170" s="80"/>
      <c r="I170" s="80"/>
      <c r="J170" s="80"/>
      <c r="K170" s="41"/>
      <c r="L170" s="80"/>
      <c r="M170" s="80"/>
      <c r="N170" s="80"/>
      <c r="O170" s="41"/>
      <c r="P170" s="80"/>
      <c r="Q170" s="80"/>
      <c r="R170" s="80"/>
      <c r="S170" s="41"/>
      <c r="T170" s="80"/>
      <c r="U170" s="80"/>
      <c r="V170" s="80"/>
      <c r="W170" s="41"/>
      <c r="X170" s="80"/>
      <c r="Y170" s="80"/>
      <c r="Z170" s="80"/>
      <c r="AA170" s="41"/>
      <c r="AB170" s="80"/>
      <c r="AC170" s="80"/>
      <c r="AD170" s="80"/>
      <c r="AE170" s="41"/>
      <c r="AF170" s="80"/>
      <c r="AG170" s="80"/>
      <c r="AH170" s="80"/>
      <c r="AI170" s="41"/>
      <c r="AJ170" s="80"/>
      <c r="AK170" s="80"/>
      <c r="AL170" s="86"/>
      <c r="AM170" s="41"/>
      <c r="AN170" s="80"/>
      <c r="AO170" s="80"/>
      <c r="AP170" s="80"/>
      <c r="AQ170" s="41"/>
      <c r="AR170" s="80"/>
      <c r="AS170" s="80"/>
      <c r="BL170" s="36"/>
      <c r="BM170" s="83"/>
      <c r="BN170" s="83"/>
      <c r="BO170" s="83"/>
      <c r="BP170" s="83"/>
      <c r="BQ170" s="83"/>
      <c r="BR170" s="83"/>
      <c r="BS170" s="83"/>
      <c r="BT170" s="83"/>
      <c r="BU170" s="117"/>
      <c r="BV170" s="83"/>
      <c r="CB170" s="18"/>
      <c r="CC170" s="18"/>
      <c r="CD170" s="18"/>
      <c r="CE170" s="18"/>
      <c r="CF170" s="18"/>
      <c r="CG170" s="18"/>
      <c r="CH170" s="23"/>
      <c r="CI170" s="83"/>
      <c r="CJ170" s="83"/>
      <c r="CK170" s="83"/>
      <c r="CL170" s="83"/>
      <c r="CM170" s="83"/>
      <c r="CN170" s="83"/>
      <c r="CO170" s="83"/>
      <c r="CP170" s="83"/>
      <c r="CQ170" s="83"/>
      <c r="CR170" s="83"/>
      <c r="CS170" s="117"/>
      <c r="CT170" s="152"/>
    </row>
    <row r="171" spans="1:98" ht="14.25" hidden="1" customHeight="1" outlineLevel="1">
      <c r="A171" s="18"/>
      <c r="B171" s="9" t="s">
        <v>189</v>
      </c>
      <c r="C171" s="26"/>
      <c r="D171" s="28"/>
      <c r="E171" s="28"/>
      <c r="F171" s="28"/>
      <c r="G171" s="35"/>
      <c r="H171" s="161">
        <v>559.67100000000005</v>
      </c>
      <c r="I171" s="161">
        <v>589.20100000000002</v>
      </c>
      <c r="J171" s="161">
        <v>599.178</v>
      </c>
      <c r="K171" s="162">
        <v>605.11699999999996</v>
      </c>
      <c r="L171" s="161">
        <v>594.84199999999998</v>
      </c>
      <c r="M171" s="161">
        <v>599.13099999999997</v>
      </c>
      <c r="N171" s="161">
        <v>607.21400000000006</v>
      </c>
      <c r="O171" s="162">
        <v>527.74300000000005</v>
      </c>
      <c r="P171" s="161">
        <v>345.09399999999999</v>
      </c>
      <c r="Q171" s="161">
        <v>319.315</v>
      </c>
      <c r="R171" s="161">
        <v>342.42700000000002</v>
      </c>
      <c r="S171" s="162">
        <v>390.16399999999982</v>
      </c>
      <c r="T171" s="161">
        <v>425.55200000000002</v>
      </c>
      <c r="U171" s="161">
        <v>455.76600000000002</v>
      </c>
      <c r="V171" s="161">
        <v>467.53899999999999</v>
      </c>
      <c r="W171" s="162">
        <v>516.14299999999992</v>
      </c>
      <c r="X171" s="161">
        <v>567</v>
      </c>
      <c r="Y171" s="161">
        <v>614</v>
      </c>
      <c r="Z171" s="161">
        <v>603</v>
      </c>
      <c r="AA171" s="162">
        <v>629</v>
      </c>
      <c r="AB171" s="161">
        <v>534</v>
      </c>
      <c r="AC171" s="161">
        <v>551</v>
      </c>
      <c r="AD171" s="161">
        <v>579</v>
      </c>
      <c r="AE171" s="162">
        <v>621</v>
      </c>
      <c r="AF171" s="161">
        <v>471</v>
      </c>
      <c r="AG171" s="161">
        <v>517</v>
      </c>
      <c r="AH171" s="161">
        <v>497</v>
      </c>
      <c r="AI171" s="162">
        <v>538</v>
      </c>
      <c r="AJ171" s="161">
        <v>507</v>
      </c>
      <c r="AK171" s="161">
        <v>534</v>
      </c>
      <c r="AL171" s="161">
        <v>567</v>
      </c>
      <c r="AM171" s="162">
        <v>592</v>
      </c>
      <c r="AN171" s="161">
        <v>583</v>
      </c>
      <c r="AO171" s="161">
        <v>646</v>
      </c>
      <c r="AP171" s="161">
        <v>665</v>
      </c>
      <c r="AQ171" s="162">
        <v>637</v>
      </c>
      <c r="AR171" s="161">
        <v>626</v>
      </c>
      <c r="AS171" s="161">
        <v>648</v>
      </c>
      <c r="BL171" s="36"/>
      <c r="BM171" s="34"/>
      <c r="BN171" s="34">
        <f>SUM(H171:K171)</f>
        <v>2353.1670000000004</v>
      </c>
      <c r="BO171" s="34">
        <f>SUM(L171:O171)</f>
        <v>2328.9299999999998</v>
      </c>
      <c r="BP171" s="34">
        <f>SUM(P171:S171)</f>
        <v>1396.9999999999998</v>
      </c>
      <c r="BQ171" s="34">
        <f>SUM(T171:W171)</f>
        <v>1865</v>
      </c>
      <c r="BR171" s="34">
        <f>SUM(X171:AA171)</f>
        <v>2413</v>
      </c>
      <c r="BS171" s="34">
        <f>SUM(AB171:AE171)</f>
        <v>2285</v>
      </c>
      <c r="BT171" s="34">
        <f>SUM(AF171:AI171)</f>
        <v>2023</v>
      </c>
      <c r="BU171" s="114">
        <f>SUM(AJ171:AM171)</f>
        <v>2200</v>
      </c>
      <c r="BV171" s="34">
        <f>SUM(AN171:AQ171)</f>
        <v>2531</v>
      </c>
      <c r="CB171" s="18"/>
      <c r="CC171" s="18"/>
      <c r="CD171" s="18"/>
      <c r="CE171" s="18"/>
      <c r="CF171" s="18"/>
      <c r="CG171" s="18"/>
      <c r="CH171" s="23"/>
      <c r="CI171" s="34"/>
      <c r="CJ171" s="34"/>
      <c r="CK171" s="34">
        <f>SUM(AC171:AF171)</f>
        <v>2222</v>
      </c>
      <c r="CL171" s="34">
        <f>SUM(AG171:AJ171)</f>
        <v>2059</v>
      </c>
      <c r="CM171" s="34">
        <f>SUM(AK171:AN171)</f>
        <v>2276</v>
      </c>
      <c r="CN171" s="34">
        <f>SUM(AO171:AR171)</f>
        <v>2574</v>
      </c>
      <c r="CO171" s="34">
        <f>SUM(AS171:AV171)</f>
        <v>648</v>
      </c>
      <c r="CP171" s="34">
        <f>SUM(AW171:AY171)</f>
        <v>0</v>
      </c>
      <c r="CQ171" s="34"/>
      <c r="CR171" s="34"/>
      <c r="CS171" s="114"/>
      <c r="CT171" s="152"/>
    </row>
    <row r="172" spans="1:98" ht="14.25" hidden="1" customHeight="1" outlineLevel="1">
      <c r="A172" s="18"/>
      <c r="B172" s="9" t="s">
        <v>186</v>
      </c>
      <c r="C172" s="79"/>
      <c r="D172" s="80"/>
      <c r="E172" s="80"/>
      <c r="F172" s="80"/>
      <c r="G172" s="41"/>
      <c r="H172" s="80"/>
      <c r="I172" s="80">
        <f t="shared" ref="I172:AS172" si="374">I171/H171-1</f>
        <v>5.2763141202599284E-2</v>
      </c>
      <c r="J172" s="80">
        <f t="shared" si="374"/>
        <v>1.6933100928206102E-2</v>
      </c>
      <c r="K172" s="41">
        <f t="shared" si="374"/>
        <v>9.911912653668864E-3</v>
      </c>
      <c r="L172" s="80">
        <f t="shared" si="374"/>
        <v>-1.6980187302620742E-2</v>
      </c>
      <c r="M172" s="80">
        <f t="shared" si="374"/>
        <v>7.2103180340326034E-3</v>
      </c>
      <c r="N172" s="80">
        <f t="shared" si="374"/>
        <v>1.3491206430647162E-2</v>
      </c>
      <c r="O172" s="41">
        <f t="shared" si="374"/>
        <v>-0.13087807593369061</v>
      </c>
      <c r="P172" s="80">
        <f t="shared" si="374"/>
        <v>-0.34609459528596309</v>
      </c>
      <c r="Q172" s="80">
        <f t="shared" si="374"/>
        <v>-7.470138570940088E-2</v>
      </c>
      <c r="R172" s="80">
        <f t="shared" si="374"/>
        <v>7.2379938305435099E-2</v>
      </c>
      <c r="S172" s="41">
        <f t="shared" si="374"/>
        <v>0.13940781538838865</v>
      </c>
      <c r="T172" s="80">
        <f t="shared" si="374"/>
        <v>9.0700320890702901E-2</v>
      </c>
      <c r="U172" s="80">
        <f t="shared" si="374"/>
        <v>7.0999548821295555E-2</v>
      </c>
      <c r="V172" s="80">
        <f t="shared" si="374"/>
        <v>2.5831237959830222E-2</v>
      </c>
      <c r="W172" s="41">
        <f t="shared" si="374"/>
        <v>0.10395710304381001</v>
      </c>
      <c r="X172" s="80">
        <f t="shared" si="374"/>
        <v>9.8532770956886173E-2</v>
      </c>
      <c r="Y172" s="80">
        <f t="shared" si="374"/>
        <v>8.289241622574961E-2</v>
      </c>
      <c r="Z172" s="80">
        <f t="shared" si="374"/>
        <v>-1.791530944625408E-2</v>
      </c>
      <c r="AA172" s="41">
        <f t="shared" si="374"/>
        <v>4.3117744610281949E-2</v>
      </c>
      <c r="AB172" s="80">
        <f t="shared" si="374"/>
        <v>-0.15103338632750396</v>
      </c>
      <c r="AC172" s="80">
        <f t="shared" si="374"/>
        <v>3.183520599250933E-2</v>
      </c>
      <c r="AD172" s="80">
        <f t="shared" si="374"/>
        <v>5.0816696914700588E-2</v>
      </c>
      <c r="AE172" s="41">
        <f t="shared" si="374"/>
        <v>7.2538860103626979E-2</v>
      </c>
      <c r="AF172" s="80">
        <f t="shared" si="374"/>
        <v>-0.24154589371980673</v>
      </c>
      <c r="AG172" s="80">
        <f t="shared" si="374"/>
        <v>9.7664543524416114E-2</v>
      </c>
      <c r="AH172" s="80">
        <f t="shared" si="374"/>
        <v>-3.8684719535783341E-2</v>
      </c>
      <c r="AI172" s="41">
        <f t="shared" si="374"/>
        <v>8.2494969818913466E-2</v>
      </c>
      <c r="AJ172" s="80">
        <f t="shared" si="374"/>
        <v>-5.762081784386619E-2</v>
      </c>
      <c r="AK172" s="80">
        <f t="shared" si="374"/>
        <v>5.3254437869822535E-2</v>
      </c>
      <c r="AL172" s="80">
        <f t="shared" si="374"/>
        <v>6.1797752808988804E-2</v>
      </c>
      <c r="AM172" s="41">
        <f t="shared" si="374"/>
        <v>4.4091710758377367E-2</v>
      </c>
      <c r="AN172" s="80">
        <f t="shared" si="374"/>
        <v>-1.5202702702702742E-2</v>
      </c>
      <c r="AO172" s="80">
        <f t="shared" si="374"/>
        <v>0.10806174957118353</v>
      </c>
      <c r="AP172" s="80">
        <f t="shared" si="374"/>
        <v>2.9411764705882248E-2</v>
      </c>
      <c r="AQ172" s="41">
        <f t="shared" si="374"/>
        <v>-4.2105263157894757E-2</v>
      </c>
      <c r="AR172" s="80">
        <f t="shared" si="374"/>
        <v>-1.7268445839874413E-2</v>
      </c>
      <c r="AS172" s="80">
        <f t="shared" si="374"/>
        <v>3.514376996805102E-2</v>
      </c>
      <c r="BL172" s="36"/>
      <c r="BM172" s="81"/>
      <c r="BN172" s="81"/>
      <c r="BO172" s="81"/>
      <c r="BP172" s="81"/>
      <c r="BQ172" s="81"/>
      <c r="BR172" s="81"/>
      <c r="BS172" s="81"/>
      <c r="BT172" s="81"/>
      <c r="BU172" s="115"/>
      <c r="BV172" s="81"/>
      <c r="CB172" s="18"/>
      <c r="CC172" s="18"/>
      <c r="CD172" s="18"/>
      <c r="CE172" s="18"/>
      <c r="CF172" s="18"/>
      <c r="CG172" s="18"/>
      <c r="CH172" s="23"/>
      <c r="CI172" s="81"/>
      <c r="CJ172" s="81"/>
      <c r="CK172" s="81"/>
      <c r="CL172" s="81"/>
      <c r="CM172" s="81"/>
      <c r="CN172" s="81"/>
      <c r="CO172" s="81"/>
      <c r="CP172" s="115"/>
      <c r="CQ172" s="81"/>
      <c r="CR172" s="81"/>
      <c r="CS172" s="115"/>
    </row>
    <row r="173" spans="1:98" ht="14.25" hidden="1" customHeight="1" outlineLevel="1">
      <c r="A173" s="18"/>
      <c r="B173" s="9" t="s">
        <v>187</v>
      </c>
      <c r="C173" s="82"/>
      <c r="D173" s="80"/>
      <c r="E173" s="80"/>
      <c r="F173" s="80"/>
      <c r="G173" s="41"/>
      <c r="H173" s="80"/>
      <c r="I173" s="80"/>
      <c r="J173" s="80"/>
      <c r="K173" s="41"/>
      <c r="L173" s="80">
        <f t="shared" ref="L173:AS173" si="375">L171/H171-1</f>
        <v>6.28422769805832E-2</v>
      </c>
      <c r="M173" s="80">
        <f t="shared" si="375"/>
        <v>1.6853331885044343E-2</v>
      </c>
      <c r="N173" s="80">
        <f t="shared" si="375"/>
        <v>1.3411707372433579E-2</v>
      </c>
      <c r="O173" s="41">
        <f t="shared" si="375"/>
        <v>-0.12786618125089844</v>
      </c>
      <c r="P173" s="80">
        <f t="shared" si="375"/>
        <v>-0.4198560289959351</v>
      </c>
      <c r="Q173" s="80">
        <f t="shared" si="375"/>
        <v>-0.46703642442137028</v>
      </c>
      <c r="R173" s="80">
        <f t="shared" si="375"/>
        <v>-0.43606866771846498</v>
      </c>
      <c r="S173" s="41">
        <f t="shared" si="375"/>
        <v>-0.26069317830838157</v>
      </c>
      <c r="T173" s="80">
        <f t="shared" si="375"/>
        <v>0.23314806980127156</v>
      </c>
      <c r="U173" s="80">
        <f t="shared" si="375"/>
        <v>0.42732411568513862</v>
      </c>
      <c r="V173" s="80">
        <f t="shared" si="375"/>
        <v>0.36536838508645619</v>
      </c>
      <c r="W173" s="41">
        <f t="shared" si="375"/>
        <v>0.32288729867440402</v>
      </c>
      <c r="X173" s="80">
        <f t="shared" si="375"/>
        <v>0.3323871113283452</v>
      </c>
      <c r="Y173" s="80">
        <f t="shared" si="375"/>
        <v>0.34718254542901406</v>
      </c>
      <c r="Z173" s="80">
        <f t="shared" si="375"/>
        <v>0.28973197957817431</v>
      </c>
      <c r="AA173" s="41">
        <f t="shared" si="375"/>
        <v>0.21865452016204823</v>
      </c>
      <c r="AB173" s="80">
        <f t="shared" si="375"/>
        <v>-5.8201058201058253E-2</v>
      </c>
      <c r="AC173" s="80">
        <f t="shared" si="375"/>
        <v>-0.10260586319218246</v>
      </c>
      <c r="AD173" s="80">
        <f t="shared" si="375"/>
        <v>-3.9800995024875663E-2</v>
      </c>
      <c r="AE173" s="41">
        <f t="shared" si="375"/>
        <v>-1.2718600953895098E-2</v>
      </c>
      <c r="AF173" s="80">
        <f t="shared" si="375"/>
        <v>-0.1179775280898876</v>
      </c>
      <c r="AG173" s="80">
        <f t="shared" si="375"/>
        <v>-6.1705989110707793E-2</v>
      </c>
      <c r="AH173" s="80">
        <f t="shared" si="375"/>
        <v>-0.14162348877374786</v>
      </c>
      <c r="AI173" s="41">
        <f t="shared" si="375"/>
        <v>-0.13365539452495978</v>
      </c>
      <c r="AJ173" s="80">
        <f t="shared" si="375"/>
        <v>7.6433121019108263E-2</v>
      </c>
      <c r="AK173" s="80">
        <f t="shared" si="375"/>
        <v>3.2882011605415817E-2</v>
      </c>
      <c r="AL173" s="80">
        <f t="shared" si="375"/>
        <v>0.14084507042253525</v>
      </c>
      <c r="AM173" s="41">
        <f t="shared" si="375"/>
        <v>0.1003717472118959</v>
      </c>
      <c r="AN173" s="80">
        <f t="shared" si="375"/>
        <v>0.14990138067061154</v>
      </c>
      <c r="AO173" s="80">
        <f t="shared" si="375"/>
        <v>0.20973782771535587</v>
      </c>
      <c r="AP173" s="80">
        <f t="shared" si="375"/>
        <v>0.17283950617283961</v>
      </c>
      <c r="AQ173" s="41">
        <f t="shared" si="375"/>
        <v>7.6013513513513598E-2</v>
      </c>
      <c r="AR173" s="80">
        <f t="shared" si="375"/>
        <v>7.3756432246998349E-2</v>
      </c>
      <c r="AS173" s="80">
        <f t="shared" si="375"/>
        <v>3.0959752321981782E-3</v>
      </c>
      <c r="BL173" s="36"/>
      <c r="BM173" s="80"/>
      <c r="BN173" s="83"/>
      <c r="BO173" s="83">
        <f t="shared" ref="BO173:BV173" si="376">BO171/BN171-1</f>
        <v>-1.0299736482791255E-2</v>
      </c>
      <c r="BP173" s="83">
        <f t="shared" si="376"/>
        <v>-0.40015371866050076</v>
      </c>
      <c r="BQ173" s="83">
        <f t="shared" si="376"/>
        <v>0.33500357909806744</v>
      </c>
      <c r="BR173" s="83">
        <f t="shared" si="376"/>
        <v>0.29383378016085793</v>
      </c>
      <c r="BS173" s="83">
        <f t="shared" si="376"/>
        <v>-5.3046000828843809E-2</v>
      </c>
      <c r="BT173" s="83">
        <f t="shared" si="376"/>
        <v>-0.11466083150984685</v>
      </c>
      <c r="BU173" s="117">
        <f t="shared" si="376"/>
        <v>8.7493821057834875E-2</v>
      </c>
      <c r="BV173" s="83">
        <f t="shared" si="376"/>
        <v>0.1504545454545454</v>
      </c>
      <c r="CB173" s="18"/>
      <c r="CC173" s="18"/>
      <c r="CD173" s="18"/>
      <c r="CE173" s="18"/>
      <c r="CF173" s="18"/>
      <c r="CG173" s="18"/>
      <c r="CH173" s="23"/>
      <c r="CI173" s="80"/>
      <c r="CJ173" s="83"/>
      <c r="CK173" s="83"/>
      <c r="CL173" s="83"/>
      <c r="CM173" s="83"/>
      <c r="CN173" s="83"/>
      <c r="CO173" s="83"/>
      <c r="CP173" s="116"/>
      <c r="CQ173" s="84"/>
      <c r="CR173" s="84"/>
      <c r="CS173" s="116"/>
    </row>
    <row r="174" spans="1:98" ht="14.25" hidden="1" customHeight="1" outlineLevel="2">
      <c r="A174" s="18"/>
      <c r="B174" s="9" t="s">
        <v>188</v>
      </c>
      <c r="C174" s="79"/>
      <c r="D174" s="80"/>
      <c r="E174" s="80"/>
      <c r="F174" s="80"/>
      <c r="G174" s="41"/>
      <c r="H174" s="80" t="e">
        <f t="shared" ref="H174:AQ174" si="377">H171/H$73</f>
        <v>#DIV/0!</v>
      </c>
      <c r="I174" s="80" t="e">
        <f t="shared" si="377"/>
        <v>#DIV/0!</v>
      </c>
      <c r="J174" s="80" t="e">
        <f t="shared" si="377"/>
        <v>#DIV/0!</v>
      </c>
      <c r="K174" s="41" t="e">
        <f t="shared" si="377"/>
        <v>#DIV/0!</v>
      </c>
      <c r="L174" s="80" t="e">
        <f t="shared" si="377"/>
        <v>#DIV/0!</v>
      </c>
      <c r="M174" s="80" t="e">
        <f t="shared" si="377"/>
        <v>#DIV/0!</v>
      </c>
      <c r="N174" s="80" t="e">
        <f t="shared" si="377"/>
        <v>#DIV/0!</v>
      </c>
      <c r="O174" s="41" t="e">
        <f t="shared" si="377"/>
        <v>#DIV/0!</v>
      </c>
      <c r="P174" s="80" t="e">
        <f t="shared" si="377"/>
        <v>#DIV/0!</v>
      </c>
      <c r="Q174" s="80" t="e">
        <f t="shared" si="377"/>
        <v>#DIV/0!</v>
      </c>
      <c r="R174" s="80" t="e">
        <f t="shared" si="377"/>
        <v>#DIV/0!</v>
      </c>
      <c r="S174" s="41" t="e">
        <f t="shared" si="377"/>
        <v>#DIV/0!</v>
      </c>
      <c r="T174" s="80" t="e">
        <f t="shared" si="377"/>
        <v>#DIV/0!</v>
      </c>
      <c r="U174" s="80" t="e">
        <f t="shared" si="377"/>
        <v>#DIV/0!</v>
      </c>
      <c r="V174" s="80" t="e">
        <f t="shared" si="377"/>
        <v>#DIV/0!</v>
      </c>
      <c r="W174" s="41" t="e">
        <f t="shared" si="377"/>
        <v>#DIV/0!</v>
      </c>
      <c r="X174" s="80" t="e">
        <f t="shared" si="377"/>
        <v>#DIV/0!</v>
      </c>
      <c r="Y174" s="80" t="e">
        <f t="shared" si="377"/>
        <v>#DIV/0!</v>
      </c>
      <c r="Z174" s="80" t="e">
        <f t="shared" si="377"/>
        <v>#DIV/0!</v>
      </c>
      <c r="AA174" s="41" t="e">
        <f t="shared" si="377"/>
        <v>#DIV/0!</v>
      </c>
      <c r="AB174" s="80" t="e">
        <f t="shared" si="377"/>
        <v>#DIV/0!</v>
      </c>
      <c r="AC174" s="80" t="e">
        <f t="shared" si="377"/>
        <v>#DIV/0!</v>
      </c>
      <c r="AD174" s="80" t="e">
        <f t="shared" si="377"/>
        <v>#DIV/0!</v>
      </c>
      <c r="AE174" s="41" t="e">
        <f t="shared" si="377"/>
        <v>#DIV/0!</v>
      </c>
      <c r="AF174" s="80" t="e">
        <f t="shared" si="377"/>
        <v>#DIV/0!</v>
      </c>
      <c r="AG174" s="80" t="e">
        <f t="shared" si="377"/>
        <v>#DIV/0!</v>
      </c>
      <c r="AH174" s="80" t="e">
        <f t="shared" si="377"/>
        <v>#DIV/0!</v>
      </c>
      <c r="AI174" s="41" t="e">
        <f t="shared" si="377"/>
        <v>#DIV/0!</v>
      </c>
      <c r="AJ174" s="80" t="e">
        <f t="shared" si="377"/>
        <v>#DIV/0!</v>
      </c>
      <c r="AK174" s="80" t="e">
        <f t="shared" si="377"/>
        <v>#DIV/0!</v>
      </c>
      <c r="AL174" s="80" t="e">
        <f t="shared" si="377"/>
        <v>#DIV/0!</v>
      </c>
      <c r="AM174" s="41" t="e">
        <f t="shared" si="377"/>
        <v>#DIV/0!</v>
      </c>
      <c r="AN174" s="80">
        <f t="shared" si="377"/>
        <v>0.24713861805849938</v>
      </c>
      <c r="AO174" s="80">
        <f t="shared" si="377"/>
        <v>0.26453726453726456</v>
      </c>
      <c r="AP174" s="80">
        <f t="shared" si="377"/>
        <v>0.26706827309236947</v>
      </c>
      <c r="AQ174" s="41">
        <f t="shared" si="377"/>
        <v>0.2690033783783784</v>
      </c>
      <c r="AR174" s="80">
        <f>AR171/AR$73</f>
        <v>0.27735932653965439</v>
      </c>
      <c r="AS174" s="80">
        <f>AS171/AS$73</f>
        <v>0.26448979591836735</v>
      </c>
      <c r="BL174" s="36"/>
      <c r="BM174" s="83"/>
      <c r="BN174" s="83" t="e">
        <f t="shared" ref="BN174:BV174" si="378">BN171/BN$73</f>
        <v>#DIV/0!</v>
      </c>
      <c r="BO174" s="83" t="e">
        <f t="shared" si="378"/>
        <v>#DIV/0!</v>
      </c>
      <c r="BP174" s="83" t="e">
        <f t="shared" si="378"/>
        <v>#DIV/0!</v>
      </c>
      <c r="BQ174" s="83" t="e">
        <f t="shared" si="378"/>
        <v>#DIV/0!</v>
      </c>
      <c r="BR174" s="83" t="e">
        <f t="shared" si="378"/>
        <v>#DIV/0!</v>
      </c>
      <c r="BS174" s="83" t="e">
        <f t="shared" si="378"/>
        <v>#DIV/0!</v>
      </c>
      <c r="BT174" s="83" t="e">
        <f t="shared" si="378"/>
        <v>#DIV/0!</v>
      </c>
      <c r="BU174" s="117">
        <f t="shared" si="378"/>
        <v>0.24250440917107582</v>
      </c>
      <c r="BV174" s="83">
        <f t="shared" si="378"/>
        <v>0.2620354073920696</v>
      </c>
      <c r="CB174" s="18"/>
      <c r="CC174" s="18"/>
      <c r="CD174" s="18"/>
      <c r="CE174" s="18"/>
      <c r="CF174" s="18"/>
      <c r="CG174" s="18"/>
      <c r="CH174" s="23"/>
      <c r="CI174" s="83"/>
      <c r="CJ174" s="83"/>
      <c r="CK174" s="83"/>
      <c r="CL174" s="83"/>
      <c r="CM174" s="83"/>
      <c r="CN174" s="83"/>
      <c r="CO174" s="83"/>
      <c r="CP174" s="117"/>
      <c r="CQ174" s="83"/>
      <c r="CR174" s="83"/>
      <c r="CS174" s="117"/>
    </row>
    <row r="175" spans="1:98" ht="14.25" hidden="1" customHeight="1" outlineLevel="2">
      <c r="A175" s="18"/>
      <c r="B175" s="143" t="s">
        <v>231</v>
      </c>
      <c r="C175" s="26"/>
      <c r="D175" s="28"/>
      <c r="E175" s="28"/>
      <c r="F175" s="28"/>
      <c r="G175" s="35"/>
      <c r="H175" s="149"/>
      <c r="I175" s="149"/>
      <c r="J175" s="149"/>
      <c r="K175" s="150"/>
      <c r="L175" s="161">
        <v>610</v>
      </c>
      <c r="M175" s="161">
        <v>602</v>
      </c>
      <c r="N175" s="161">
        <v>541</v>
      </c>
      <c r="O175" s="162">
        <v>496</v>
      </c>
      <c r="P175" s="161">
        <v>602</v>
      </c>
      <c r="Q175" s="161">
        <v>236</v>
      </c>
      <c r="R175" s="161">
        <v>298</v>
      </c>
      <c r="S175" s="162">
        <v>335</v>
      </c>
      <c r="T175" s="161">
        <v>474</v>
      </c>
      <c r="U175" s="161">
        <v>483</v>
      </c>
      <c r="V175" s="161">
        <v>595</v>
      </c>
      <c r="W175" s="162">
        <v>631</v>
      </c>
      <c r="X175" s="161">
        <v>552</v>
      </c>
      <c r="Y175" s="161">
        <v>603</v>
      </c>
      <c r="Z175" s="161">
        <v>613</v>
      </c>
      <c r="AA175" s="162">
        <v>632</v>
      </c>
      <c r="AB175" s="161">
        <v>517</v>
      </c>
      <c r="AC175" s="161">
        <v>650</v>
      </c>
      <c r="AD175" s="161">
        <v>531</v>
      </c>
      <c r="AE175" s="162">
        <v>576</v>
      </c>
      <c r="AF175" s="161">
        <v>544</v>
      </c>
      <c r="AG175" s="161">
        <v>481</v>
      </c>
      <c r="AH175" s="161">
        <v>517</v>
      </c>
      <c r="AI175" s="162">
        <v>548</v>
      </c>
      <c r="AJ175" s="161">
        <v>597</v>
      </c>
      <c r="AK175" s="161">
        <v>537</v>
      </c>
      <c r="AL175" s="161">
        <v>552</v>
      </c>
      <c r="AM175" s="162">
        <v>747</v>
      </c>
      <c r="AN175" s="161">
        <v>690</v>
      </c>
      <c r="AO175" s="161">
        <v>641</v>
      </c>
      <c r="AP175" s="161">
        <v>561</v>
      </c>
      <c r="AQ175" s="162">
        <v>761</v>
      </c>
      <c r="AR175" s="161">
        <v>773</v>
      </c>
      <c r="AS175" s="161">
        <v>677</v>
      </c>
      <c r="BL175" s="36"/>
      <c r="BM175" s="34"/>
      <c r="BN175" s="34"/>
      <c r="BO175" s="34"/>
      <c r="BP175" s="34"/>
      <c r="BQ175" s="34"/>
      <c r="BR175" s="34"/>
      <c r="BS175" s="34"/>
      <c r="BT175" s="34"/>
      <c r="BU175" s="114"/>
      <c r="BV175" s="34"/>
      <c r="CB175" s="18"/>
      <c r="CC175" s="18"/>
      <c r="CD175" s="18"/>
      <c r="CE175" s="18"/>
      <c r="CF175" s="18"/>
      <c r="CG175" s="18"/>
      <c r="CH175" s="23"/>
      <c r="CI175" s="34"/>
      <c r="CJ175" s="34"/>
      <c r="CK175" s="34"/>
      <c r="CL175" s="34"/>
      <c r="CM175" s="34"/>
      <c r="CN175" s="34"/>
      <c r="CO175" s="34"/>
      <c r="CP175" s="114"/>
      <c r="CQ175" s="34"/>
      <c r="CR175" s="34"/>
      <c r="CS175" s="114"/>
    </row>
    <row r="176" spans="1:98" ht="14.25" hidden="1" customHeight="1" outlineLevel="2" collapsed="1">
      <c r="A176" s="18"/>
      <c r="B176" s="143" t="s">
        <v>186</v>
      </c>
      <c r="C176" s="79"/>
      <c r="D176" s="80"/>
      <c r="E176" s="80"/>
      <c r="F176" s="80"/>
      <c r="G176" s="41"/>
      <c r="H176" s="80"/>
      <c r="I176" s="80"/>
      <c r="J176" s="80"/>
      <c r="K176" s="41"/>
      <c r="L176" s="80"/>
      <c r="M176" s="80">
        <f t="shared" ref="M176:AS176" si="379">M175/L175-1</f>
        <v>-1.3114754098360604E-2</v>
      </c>
      <c r="N176" s="80">
        <f t="shared" si="379"/>
        <v>-0.1013289036544851</v>
      </c>
      <c r="O176" s="41">
        <f t="shared" si="379"/>
        <v>-8.3179297597042567E-2</v>
      </c>
      <c r="P176" s="80">
        <f t="shared" si="379"/>
        <v>0.21370967741935476</v>
      </c>
      <c r="Q176" s="80">
        <f t="shared" si="379"/>
        <v>-0.60797342192691028</v>
      </c>
      <c r="R176" s="80">
        <f t="shared" si="379"/>
        <v>0.26271186440677963</v>
      </c>
      <c r="S176" s="41">
        <f t="shared" si="379"/>
        <v>0.12416107382550345</v>
      </c>
      <c r="T176" s="80">
        <f t="shared" si="379"/>
        <v>0.41492537313432831</v>
      </c>
      <c r="U176" s="80">
        <f t="shared" si="379"/>
        <v>1.8987341772152E-2</v>
      </c>
      <c r="V176" s="80">
        <f t="shared" si="379"/>
        <v>0.23188405797101441</v>
      </c>
      <c r="W176" s="41">
        <f t="shared" si="379"/>
        <v>6.0504201680672276E-2</v>
      </c>
      <c r="X176" s="80">
        <f t="shared" si="379"/>
        <v>-0.12519809825673534</v>
      </c>
      <c r="Y176" s="80">
        <f t="shared" si="379"/>
        <v>9.2391304347826164E-2</v>
      </c>
      <c r="Z176" s="80">
        <f t="shared" si="379"/>
        <v>1.6583747927031434E-2</v>
      </c>
      <c r="AA176" s="41">
        <f t="shared" si="379"/>
        <v>3.0995106035889064E-2</v>
      </c>
      <c r="AB176" s="80">
        <f t="shared" si="379"/>
        <v>-0.18196202531645567</v>
      </c>
      <c r="AC176" s="80">
        <f t="shared" si="379"/>
        <v>0.25725338491295946</v>
      </c>
      <c r="AD176" s="80">
        <f t="shared" si="379"/>
        <v>-0.18307692307692303</v>
      </c>
      <c r="AE176" s="41">
        <f t="shared" si="379"/>
        <v>8.4745762711864403E-2</v>
      </c>
      <c r="AF176" s="80">
        <f t="shared" si="379"/>
        <v>-5.555555555555558E-2</v>
      </c>
      <c r="AG176" s="80">
        <f t="shared" si="379"/>
        <v>-0.1158088235294118</v>
      </c>
      <c r="AH176" s="80">
        <f t="shared" si="379"/>
        <v>7.4844074844074848E-2</v>
      </c>
      <c r="AI176" s="41">
        <f t="shared" si="379"/>
        <v>5.9961315280464111E-2</v>
      </c>
      <c r="AJ176" s="80">
        <f t="shared" si="379"/>
        <v>8.9416058394160558E-2</v>
      </c>
      <c r="AK176" s="80">
        <f t="shared" si="379"/>
        <v>-0.10050251256281406</v>
      </c>
      <c r="AL176" s="80">
        <f t="shared" si="379"/>
        <v>2.7932960893854775E-2</v>
      </c>
      <c r="AM176" s="41">
        <f t="shared" si="379"/>
        <v>0.35326086956521729</v>
      </c>
      <c r="AN176" s="80">
        <f t="shared" si="379"/>
        <v>-7.6305220883534086E-2</v>
      </c>
      <c r="AO176" s="80">
        <f t="shared" si="379"/>
        <v>-7.1014492753623149E-2</v>
      </c>
      <c r="AP176" s="80">
        <f t="shared" si="379"/>
        <v>-0.12480499219968799</v>
      </c>
      <c r="AQ176" s="41">
        <f t="shared" si="379"/>
        <v>0.35650623885917998</v>
      </c>
      <c r="AR176" s="80">
        <f t="shared" si="379"/>
        <v>1.5768725361366531E-2</v>
      </c>
      <c r="AS176" s="80">
        <f t="shared" si="379"/>
        <v>-0.1241914618369987</v>
      </c>
      <c r="BL176" s="36"/>
      <c r="BM176" s="81"/>
      <c r="BN176" s="81"/>
      <c r="BO176" s="81"/>
      <c r="BP176" s="81"/>
      <c r="BQ176" s="81"/>
      <c r="BR176" s="81"/>
      <c r="BS176" s="81"/>
      <c r="BT176" s="81"/>
      <c r="BU176" s="115"/>
      <c r="BV176" s="81"/>
      <c r="CB176" s="18"/>
      <c r="CC176" s="18"/>
      <c r="CD176" s="18"/>
      <c r="CE176" s="18"/>
      <c r="CF176" s="18"/>
      <c r="CG176" s="18"/>
      <c r="CH176" s="23"/>
      <c r="CI176" s="81"/>
      <c r="CJ176" s="81"/>
      <c r="CK176" s="81"/>
      <c r="CL176" s="81"/>
      <c r="CM176" s="81"/>
      <c r="CN176" s="81"/>
      <c r="CO176" s="81"/>
      <c r="CP176" s="115"/>
      <c r="CQ176" s="81"/>
      <c r="CR176" s="81"/>
      <c r="CS176" s="115"/>
    </row>
    <row r="177" spans="1:97" ht="14.25" hidden="1" customHeight="1" outlineLevel="1">
      <c r="A177" s="18"/>
      <c r="B177" s="9"/>
      <c r="C177" s="79"/>
      <c r="D177" s="80"/>
      <c r="E177" s="80"/>
      <c r="F177" s="80"/>
      <c r="G177" s="41"/>
      <c r="H177" s="80"/>
      <c r="I177" s="80"/>
      <c r="J177" s="80"/>
      <c r="K177" s="41"/>
      <c r="L177" s="80"/>
      <c r="M177" s="80"/>
      <c r="N177" s="80"/>
      <c r="O177" s="41"/>
      <c r="P177" s="80"/>
      <c r="Q177" s="80"/>
      <c r="R177" s="80"/>
      <c r="S177" s="41"/>
      <c r="T177" s="80"/>
      <c r="U177" s="80"/>
      <c r="V177" s="80"/>
      <c r="W177" s="41"/>
      <c r="X177" s="80"/>
      <c r="Y177" s="80"/>
      <c r="Z177" s="80"/>
      <c r="AA177" s="41"/>
      <c r="AB177" s="80"/>
      <c r="AC177" s="80"/>
      <c r="AD177" s="80"/>
      <c r="AE177" s="41"/>
      <c r="AF177" s="80"/>
      <c r="AG177" s="80"/>
      <c r="AH177" s="80"/>
      <c r="AI177" s="41"/>
      <c r="AJ177" s="80"/>
      <c r="AK177" s="80"/>
      <c r="AL177" s="86"/>
      <c r="AM177" s="85"/>
      <c r="AN177" s="80"/>
      <c r="AO177" s="80"/>
      <c r="AP177" s="80"/>
      <c r="AQ177" s="85"/>
      <c r="AR177" s="80"/>
      <c r="AS177" s="80"/>
      <c r="BL177" s="36"/>
      <c r="BM177" s="83"/>
      <c r="BN177" s="83"/>
      <c r="BO177" s="83"/>
      <c r="BP177" s="83"/>
      <c r="BQ177" s="83"/>
      <c r="BR177" s="83"/>
      <c r="BS177" s="83"/>
      <c r="BT177" s="83"/>
      <c r="BU177" s="117"/>
      <c r="BV177" s="83"/>
      <c r="CB177" s="18"/>
      <c r="CC177" s="18"/>
      <c r="CD177" s="18"/>
      <c r="CE177" s="18"/>
      <c r="CF177" s="18"/>
      <c r="CG177" s="18"/>
      <c r="CH177" s="23"/>
      <c r="CI177" s="83"/>
      <c r="CJ177" s="83"/>
      <c r="CK177" s="83"/>
      <c r="CL177" s="83"/>
      <c r="CM177" s="83"/>
      <c r="CN177" s="83"/>
      <c r="CO177" s="83"/>
      <c r="CP177" s="117"/>
      <c r="CQ177" s="83"/>
      <c r="CR177" s="83"/>
      <c r="CS177" s="117"/>
    </row>
    <row r="178" spans="1:97" ht="14.25" hidden="1" customHeight="1" outlineLevel="1">
      <c r="A178" s="18"/>
      <c r="B178" s="9" t="s">
        <v>190</v>
      </c>
      <c r="C178" s="26"/>
      <c r="D178" s="28"/>
      <c r="E178" s="28"/>
      <c r="F178" s="28"/>
      <c r="G178" s="35"/>
      <c r="H178" s="161">
        <v>195.511</v>
      </c>
      <c r="I178" s="161">
        <v>159.589</v>
      </c>
      <c r="J178" s="161">
        <v>161.06800000000001</v>
      </c>
      <c r="K178" s="162">
        <v>188.88800000000006</v>
      </c>
      <c r="L178" s="161">
        <v>133.11199999999999</v>
      </c>
      <c r="M178" s="161">
        <v>197.65100000000001</v>
      </c>
      <c r="N178" s="161">
        <v>310.94400000000002</v>
      </c>
      <c r="O178" s="162">
        <v>333.87499999999989</v>
      </c>
      <c r="P178" s="161">
        <v>149.00899999999999</v>
      </c>
      <c r="Q178" s="161">
        <v>83.525999999999996</v>
      </c>
      <c r="R178" s="161">
        <v>69.161000000000001</v>
      </c>
      <c r="S178" s="162">
        <v>200.304</v>
      </c>
      <c r="T178" s="161">
        <v>132.108</v>
      </c>
      <c r="U178" s="161">
        <v>269.50200000000001</v>
      </c>
      <c r="V178" s="161">
        <v>216.13900000000001</v>
      </c>
      <c r="W178" s="162">
        <v>281.25099999999998</v>
      </c>
      <c r="X178" s="161">
        <v>147</v>
      </c>
      <c r="Y178" s="161">
        <v>158</v>
      </c>
      <c r="Z178" s="161">
        <v>223</v>
      </c>
      <c r="AA178" s="162">
        <v>171</v>
      </c>
      <c r="AB178" s="161">
        <v>104</v>
      </c>
      <c r="AC178" s="161">
        <v>134</v>
      </c>
      <c r="AD178" s="161">
        <v>142</v>
      </c>
      <c r="AE178" s="162">
        <v>93</v>
      </c>
      <c r="AF178" s="161">
        <v>87</v>
      </c>
      <c r="AG178" s="161">
        <v>127</v>
      </c>
      <c r="AH178" s="161">
        <v>161</v>
      </c>
      <c r="AI178" s="162">
        <v>163</v>
      </c>
      <c r="AJ178" s="161">
        <v>159</v>
      </c>
      <c r="AK178" s="161">
        <v>147</v>
      </c>
      <c r="AL178" s="161">
        <v>119</v>
      </c>
      <c r="AM178" s="162">
        <v>190</v>
      </c>
      <c r="AN178" s="161">
        <v>275</v>
      </c>
      <c r="AO178" s="161">
        <v>163</v>
      </c>
      <c r="AP178" s="161">
        <v>151</v>
      </c>
      <c r="AQ178" s="162">
        <v>191</v>
      </c>
      <c r="AR178" s="161">
        <v>213</v>
      </c>
      <c r="AS178" s="161">
        <v>167</v>
      </c>
      <c r="BL178" s="36"/>
      <c r="BM178" s="34"/>
      <c r="BN178" s="34">
        <f>SUM(H178:K178)</f>
        <v>705.05600000000004</v>
      </c>
      <c r="BO178" s="34">
        <f>SUM(L178:O178)</f>
        <v>975.58199999999999</v>
      </c>
      <c r="BP178" s="34">
        <f>SUM(P178:S178)</f>
        <v>502</v>
      </c>
      <c r="BQ178" s="34">
        <f>SUM(T178:W178)</f>
        <v>899</v>
      </c>
      <c r="BR178" s="34">
        <f>SUM(X178:AA178)</f>
        <v>699</v>
      </c>
      <c r="BS178" s="34">
        <f>SUM(AB178:AE178)</f>
        <v>473</v>
      </c>
      <c r="BT178" s="34">
        <f>SUM(AF178:AI178)</f>
        <v>538</v>
      </c>
      <c r="BU178" s="114">
        <f>SUM(AJ178:AM178)</f>
        <v>615</v>
      </c>
      <c r="BV178" s="34">
        <f>SUM(AN178:AQ178)</f>
        <v>780</v>
      </c>
      <c r="CB178" s="18"/>
      <c r="CC178" s="18"/>
      <c r="CD178" s="18"/>
      <c r="CE178" s="18"/>
      <c r="CF178" s="18"/>
      <c r="CG178" s="18"/>
      <c r="CH178" s="23"/>
      <c r="CI178" s="34"/>
      <c r="CJ178" s="34"/>
      <c r="CK178" s="34">
        <f>SUM(AC178:AF178)</f>
        <v>456</v>
      </c>
      <c r="CL178" s="34">
        <f>SUM(AG178:AJ178)</f>
        <v>610</v>
      </c>
      <c r="CM178" s="34">
        <f>SUM(AK178:AN178)</f>
        <v>731</v>
      </c>
      <c r="CN178" s="34">
        <f>SUM(AO178:AR178)</f>
        <v>718</v>
      </c>
      <c r="CO178" s="34">
        <f>SUM(AS178:AV178)</f>
        <v>167</v>
      </c>
      <c r="CP178" s="34">
        <f>SUM(AW178:AY178)</f>
        <v>0</v>
      </c>
      <c r="CQ178" s="34"/>
      <c r="CR178" s="34"/>
      <c r="CS178" s="114"/>
    </row>
    <row r="179" spans="1:97" ht="14.25" hidden="1" customHeight="1" outlineLevel="1">
      <c r="A179" s="18"/>
      <c r="B179" s="9" t="s">
        <v>186</v>
      </c>
      <c r="C179" s="79"/>
      <c r="D179" s="80"/>
      <c r="E179" s="80"/>
      <c r="F179" s="80"/>
      <c r="G179" s="41"/>
      <c r="H179" s="80"/>
      <c r="I179" s="80">
        <f t="shared" ref="I179:AS179" si="380">I178/H178-1</f>
        <v>-0.18373390755507357</v>
      </c>
      <c r="J179" s="80">
        <f t="shared" si="380"/>
        <v>9.2675560345638619E-3</v>
      </c>
      <c r="K179" s="41">
        <f t="shared" si="380"/>
        <v>0.17272208011523116</v>
      </c>
      <c r="L179" s="80">
        <f t="shared" si="380"/>
        <v>-0.29528609546397888</v>
      </c>
      <c r="M179" s="80">
        <f t="shared" si="380"/>
        <v>0.48484734659534845</v>
      </c>
      <c r="N179" s="80">
        <f t="shared" si="380"/>
        <v>0.57319720112723949</v>
      </c>
      <c r="O179" s="41">
        <f t="shared" si="380"/>
        <v>7.3746398065245966E-2</v>
      </c>
      <c r="P179" s="80">
        <f t="shared" si="380"/>
        <v>-0.55369824035941584</v>
      </c>
      <c r="Q179" s="80">
        <f t="shared" si="380"/>
        <v>-0.43945667711346292</v>
      </c>
      <c r="R179" s="80">
        <f t="shared" si="380"/>
        <v>-0.17198237674496564</v>
      </c>
      <c r="S179" s="41">
        <f t="shared" si="380"/>
        <v>1.8961987247147958</v>
      </c>
      <c r="T179" s="80">
        <f t="shared" si="380"/>
        <v>-0.34046249700455311</v>
      </c>
      <c r="U179" s="80">
        <f t="shared" si="380"/>
        <v>1.0400127168680169</v>
      </c>
      <c r="V179" s="80">
        <f t="shared" si="380"/>
        <v>-0.19800595171835456</v>
      </c>
      <c r="W179" s="41">
        <f t="shared" si="380"/>
        <v>0.30125058411485184</v>
      </c>
      <c r="X179" s="80">
        <f t="shared" si="380"/>
        <v>-0.47733519169709615</v>
      </c>
      <c r="Y179" s="80">
        <f t="shared" si="380"/>
        <v>7.4829931972789199E-2</v>
      </c>
      <c r="Z179" s="80">
        <f t="shared" si="380"/>
        <v>0.41139240506329111</v>
      </c>
      <c r="AA179" s="41">
        <f t="shared" si="380"/>
        <v>-0.23318385650224216</v>
      </c>
      <c r="AB179" s="80">
        <f t="shared" si="380"/>
        <v>-0.39181286549707606</v>
      </c>
      <c r="AC179" s="80">
        <f t="shared" si="380"/>
        <v>0.28846153846153855</v>
      </c>
      <c r="AD179" s="80">
        <f t="shared" si="380"/>
        <v>5.9701492537313383E-2</v>
      </c>
      <c r="AE179" s="41">
        <f t="shared" si="380"/>
        <v>-0.34507042253521125</v>
      </c>
      <c r="AF179" s="80">
        <f t="shared" si="380"/>
        <v>-6.4516129032258118E-2</v>
      </c>
      <c r="AG179" s="80">
        <f t="shared" si="380"/>
        <v>0.45977011494252884</v>
      </c>
      <c r="AH179" s="80">
        <f t="shared" si="380"/>
        <v>0.26771653543307083</v>
      </c>
      <c r="AI179" s="41">
        <f t="shared" si="380"/>
        <v>1.2422360248447228E-2</v>
      </c>
      <c r="AJ179" s="80">
        <f t="shared" si="380"/>
        <v>-2.4539877300613466E-2</v>
      </c>
      <c r="AK179" s="80">
        <f t="shared" si="380"/>
        <v>-7.547169811320753E-2</v>
      </c>
      <c r="AL179" s="80">
        <f t="shared" si="380"/>
        <v>-0.19047619047619047</v>
      </c>
      <c r="AM179" s="41">
        <f t="shared" si="380"/>
        <v>0.59663865546218497</v>
      </c>
      <c r="AN179" s="80">
        <f t="shared" si="380"/>
        <v>0.44736842105263164</v>
      </c>
      <c r="AO179" s="80">
        <f t="shared" si="380"/>
        <v>-0.40727272727272723</v>
      </c>
      <c r="AP179" s="80">
        <f t="shared" si="380"/>
        <v>-7.361963190184051E-2</v>
      </c>
      <c r="AQ179" s="41">
        <f t="shared" si="380"/>
        <v>0.26490066225165565</v>
      </c>
      <c r="AR179" s="80">
        <f t="shared" si="380"/>
        <v>0.11518324607329844</v>
      </c>
      <c r="AS179" s="80">
        <f t="shared" si="380"/>
        <v>-0.215962441314554</v>
      </c>
      <c r="BL179" s="36"/>
      <c r="BM179" s="81"/>
      <c r="BN179" s="81"/>
      <c r="BO179" s="81"/>
      <c r="BP179" s="81"/>
      <c r="BQ179" s="81"/>
      <c r="BR179" s="81"/>
      <c r="BS179" s="81"/>
      <c r="BT179" s="81"/>
      <c r="BU179" s="115"/>
      <c r="BV179" s="81"/>
      <c r="CB179" s="18"/>
      <c r="CC179" s="18"/>
      <c r="CD179" s="18"/>
      <c r="CE179" s="18"/>
      <c r="CF179" s="18"/>
      <c r="CG179" s="18"/>
      <c r="CH179" s="23"/>
      <c r="CI179" s="81"/>
      <c r="CJ179" s="81"/>
      <c r="CK179" s="81"/>
      <c r="CL179" s="81"/>
      <c r="CM179" s="81"/>
      <c r="CN179" s="81"/>
      <c r="CO179" s="81"/>
      <c r="CP179" s="115"/>
      <c r="CQ179" s="81"/>
      <c r="CR179" s="81"/>
      <c r="CS179" s="115"/>
    </row>
    <row r="180" spans="1:97" ht="14.25" hidden="1" customHeight="1" outlineLevel="1">
      <c r="A180" s="18"/>
      <c r="B180" s="9" t="s">
        <v>187</v>
      </c>
      <c r="C180" s="82"/>
      <c r="D180" s="80"/>
      <c r="E180" s="80"/>
      <c r="F180" s="80"/>
      <c r="G180" s="41"/>
      <c r="H180" s="80"/>
      <c r="I180" s="80"/>
      <c r="J180" s="80"/>
      <c r="K180" s="41"/>
      <c r="L180" s="80">
        <f t="shared" ref="L180:AS180" si="381">L178/H178-1</f>
        <v>-0.31915851282025054</v>
      </c>
      <c r="M180" s="80">
        <f t="shared" si="381"/>
        <v>0.23850014725325686</v>
      </c>
      <c r="N180" s="80">
        <f t="shared" si="381"/>
        <v>0.93051382024983242</v>
      </c>
      <c r="O180" s="41">
        <f t="shared" si="381"/>
        <v>0.76758184744398683</v>
      </c>
      <c r="P180" s="80">
        <f t="shared" si="381"/>
        <v>0.11942574673958761</v>
      </c>
      <c r="Q180" s="80">
        <f t="shared" si="381"/>
        <v>-0.57740664099852768</v>
      </c>
      <c r="R180" s="80">
        <f t="shared" si="381"/>
        <v>-0.77757731295667387</v>
      </c>
      <c r="S180" s="41">
        <f t="shared" si="381"/>
        <v>-0.40006289779108928</v>
      </c>
      <c r="T180" s="80">
        <f t="shared" si="381"/>
        <v>-0.11342267916703008</v>
      </c>
      <c r="U180" s="80">
        <f t="shared" si="381"/>
        <v>2.2265641836074996</v>
      </c>
      <c r="V180" s="80">
        <f t="shared" si="381"/>
        <v>2.1251572417981235</v>
      </c>
      <c r="W180" s="41">
        <f t="shared" si="381"/>
        <v>0.40412073648054947</v>
      </c>
      <c r="X180" s="80">
        <f t="shared" si="381"/>
        <v>0.11272595149423204</v>
      </c>
      <c r="Y180" s="80">
        <f t="shared" si="381"/>
        <v>-0.41373347878679934</v>
      </c>
      <c r="Z180" s="80">
        <f t="shared" si="381"/>
        <v>3.1743461383646476E-2</v>
      </c>
      <c r="AA180" s="41">
        <f t="shared" si="381"/>
        <v>-0.3920021617700914</v>
      </c>
      <c r="AB180" s="80">
        <f t="shared" si="381"/>
        <v>-0.29251700680272108</v>
      </c>
      <c r="AC180" s="80">
        <f t="shared" si="381"/>
        <v>-0.15189873417721522</v>
      </c>
      <c r="AD180" s="80">
        <f t="shared" si="381"/>
        <v>-0.36322869955156956</v>
      </c>
      <c r="AE180" s="41">
        <f t="shared" si="381"/>
        <v>-0.45614035087719296</v>
      </c>
      <c r="AF180" s="80">
        <f t="shared" si="381"/>
        <v>-0.16346153846153844</v>
      </c>
      <c r="AG180" s="80">
        <f t="shared" si="381"/>
        <v>-5.2238805970149294E-2</v>
      </c>
      <c r="AH180" s="80">
        <f t="shared" si="381"/>
        <v>0.13380281690140849</v>
      </c>
      <c r="AI180" s="41">
        <f t="shared" si="381"/>
        <v>0.75268817204301075</v>
      </c>
      <c r="AJ180" s="80">
        <f t="shared" si="381"/>
        <v>0.82758620689655182</v>
      </c>
      <c r="AK180" s="80">
        <f t="shared" si="381"/>
        <v>0.15748031496062986</v>
      </c>
      <c r="AL180" s="80">
        <f t="shared" si="381"/>
        <v>-0.26086956521739135</v>
      </c>
      <c r="AM180" s="41">
        <f t="shared" si="381"/>
        <v>0.16564417177914104</v>
      </c>
      <c r="AN180" s="80">
        <f t="shared" si="381"/>
        <v>0.72955974842767302</v>
      </c>
      <c r="AO180" s="80">
        <f t="shared" si="381"/>
        <v>0.10884353741496589</v>
      </c>
      <c r="AP180" s="80">
        <f t="shared" si="381"/>
        <v>0.26890756302521002</v>
      </c>
      <c r="AQ180" s="41">
        <f t="shared" si="381"/>
        <v>5.2631578947368585E-3</v>
      </c>
      <c r="AR180" s="80">
        <f t="shared" si="381"/>
        <v>-0.22545454545454546</v>
      </c>
      <c r="AS180" s="80">
        <f t="shared" si="381"/>
        <v>2.4539877300613577E-2</v>
      </c>
      <c r="BL180" s="36"/>
      <c r="BM180" s="80"/>
      <c r="BN180" s="83"/>
      <c r="BO180" s="83">
        <f t="shared" ref="BO180:BV180" si="382">BO178/BN178-1</f>
        <v>0.38369434484636677</v>
      </c>
      <c r="BP180" s="83">
        <f t="shared" si="382"/>
        <v>-0.48543536063601012</v>
      </c>
      <c r="BQ180" s="83">
        <f t="shared" si="382"/>
        <v>0.79083665338645415</v>
      </c>
      <c r="BR180" s="83">
        <f t="shared" si="382"/>
        <v>-0.22246941045606228</v>
      </c>
      <c r="BS180" s="83">
        <f t="shared" si="382"/>
        <v>-0.32331902718168815</v>
      </c>
      <c r="BT180" s="83">
        <f t="shared" si="382"/>
        <v>0.13742071881606766</v>
      </c>
      <c r="BU180" s="117">
        <f t="shared" si="382"/>
        <v>0.14312267657992561</v>
      </c>
      <c r="BV180" s="83">
        <f t="shared" si="382"/>
        <v>0.26829268292682928</v>
      </c>
      <c r="CB180" s="18"/>
      <c r="CC180" s="18"/>
      <c r="CD180" s="18"/>
      <c r="CE180" s="18"/>
      <c r="CF180" s="18"/>
      <c r="CG180" s="18"/>
      <c r="CH180" s="23"/>
      <c r="CI180" s="80"/>
      <c r="CJ180" s="83"/>
      <c r="CK180" s="83"/>
      <c r="CL180" s="83"/>
      <c r="CM180" s="83"/>
      <c r="CN180" s="83"/>
      <c r="CO180" s="83"/>
      <c r="CP180" s="116"/>
      <c r="CQ180" s="84"/>
      <c r="CR180" s="84"/>
      <c r="CS180" s="116"/>
    </row>
    <row r="181" spans="1:97" ht="14.25" hidden="1" customHeight="1" outlineLevel="2">
      <c r="A181" s="18"/>
      <c r="B181" s="9" t="s">
        <v>188</v>
      </c>
      <c r="C181" s="79"/>
      <c r="D181" s="80"/>
      <c r="E181" s="80"/>
      <c r="F181" s="80"/>
      <c r="G181" s="41"/>
      <c r="H181" s="80" t="e">
        <f t="shared" ref="H181:AQ181" si="383">H178/H$73</f>
        <v>#DIV/0!</v>
      </c>
      <c r="I181" s="80" t="e">
        <f t="shared" si="383"/>
        <v>#DIV/0!</v>
      </c>
      <c r="J181" s="80" t="e">
        <f t="shared" si="383"/>
        <v>#DIV/0!</v>
      </c>
      <c r="K181" s="41" t="e">
        <f t="shared" si="383"/>
        <v>#DIV/0!</v>
      </c>
      <c r="L181" s="80" t="e">
        <f t="shared" si="383"/>
        <v>#DIV/0!</v>
      </c>
      <c r="M181" s="80" t="e">
        <f t="shared" si="383"/>
        <v>#DIV/0!</v>
      </c>
      <c r="N181" s="80" t="e">
        <f t="shared" si="383"/>
        <v>#DIV/0!</v>
      </c>
      <c r="O181" s="41" t="e">
        <f t="shared" si="383"/>
        <v>#DIV/0!</v>
      </c>
      <c r="P181" s="80" t="e">
        <f t="shared" si="383"/>
        <v>#DIV/0!</v>
      </c>
      <c r="Q181" s="80" t="e">
        <f t="shared" si="383"/>
        <v>#DIV/0!</v>
      </c>
      <c r="R181" s="80" t="e">
        <f t="shared" si="383"/>
        <v>#DIV/0!</v>
      </c>
      <c r="S181" s="41" t="e">
        <f t="shared" si="383"/>
        <v>#DIV/0!</v>
      </c>
      <c r="T181" s="80" t="e">
        <f t="shared" si="383"/>
        <v>#DIV/0!</v>
      </c>
      <c r="U181" s="80" t="e">
        <f t="shared" si="383"/>
        <v>#DIV/0!</v>
      </c>
      <c r="V181" s="80" t="e">
        <f t="shared" si="383"/>
        <v>#DIV/0!</v>
      </c>
      <c r="W181" s="41" t="e">
        <f t="shared" si="383"/>
        <v>#DIV/0!</v>
      </c>
      <c r="X181" s="80" t="e">
        <f t="shared" si="383"/>
        <v>#DIV/0!</v>
      </c>
      <c r="Y181" s="80" t="e">
        <f t="shared" si="383"/>
        <v>#DIV/0!</v>
      </c>
      <c r="Z181" s="80" t="e">
        <f t="shared" si="383"/>
        <v>#DIV/0!</v>
      </c>
      <c r="AA181" s="41" t="e">
        <f t="shared" si="383"/>
        <v>#DIV/0!</v>
      </c>
      <c r="AB181" s="80" t="e">
        <f t="shared" si="383"/>
        <v>#DIV/0!</v>
      </c>
      <c r="AC181" s="80" t="e">
        <f t="shared" si="383"/>
        <v>#DIV/0!</v>
      </c>
      <c r="AD181" s="80" t="e">
        <f t="shared" si="383"/>
        <v>#DIV/0!</v>
      </c>
      <c r="AE181" s="41" t="e">
        <f t="shared" si="383"/>
        <v>#DIV/0!</v>
      </c>
      <c r="AF181" s="80" t="e">
        <f t="shared" si="383"/>
        <v>#DIV/0!</v>
      </c>
      <c r="AG181" s="80" t="e">
        <f t="shared" si="383"/>
        <v>#DIV/0!</v>
      </c>
      <c r="AH181" s="80" t="e">
        <f t="shared" si="383"/>
        <v>#DIV/0!</v>
      </c>
      <c r="AI181" s="41" t="e">
        <f t="shared" si="383"/>
        <v>#DIV/0!</v>
      </c>
      <c r="AJ181" s="80" t="e">
        <f t="shared" si="383"/>
        <v>#DIV/0!</v>
      </c>
      <c r="AK181" s="80" t="e">
        <f t="shared" si="383"/>
        <v>#DIV/0!</v>
      </c>
      <c r="AL181" s="80" t="e">
        <f t="shared" si="383"/>
        <v>#DIV/0!</v>
      </c>
      <c r="AM181" s="41" t="e">
        <f t="shared" si="383"/>
        <v>#DIV/0!</v>
      </c>
      <c r="AN181" s="80">
        <f t="shared" si="383"/>
        <v>0.11657481983891479</v>
      </c>
      <c r="AO181" s="80">
        <f t="shared" si="383"/>
        <v>6.6748566748566746E-2</v>
      </c>
      <c r="AP181" s="80">
        <f t="shared" si="383"/>
        <v>6.0642570281124498E-2</v>
      </c>
      <c r="AQ181" s="41">
        <f t="shared" si="383"/>
        <v>8.0658783783783786E-2</v>
      </c>
      <c r="AR181" s="80">
        <f>AR178/AR$73</f>
        <v>9.4373061586176338E-2</v>
      </c>
      <c r="AS181" s="80">
        <f>AS178/AS$73</f>
        <v>6.8163265306122447E-2</v>
      </c>
      <c r="BL181" s="36"/>
      <c r="BM181" s="83"/>
      <c r="BN181" s="83" t="e">
        <f t="shared" ref="BN181:BV181" si="384">BN178/BN$73</f>
        <v>#DIV/0!</v>
      </c>
      <c r="BO181" s="83" t="e">
        <f t="shared" si="384"/>
        <v>#DIV/0!</v>
      </c>
      <c r="BP181" s="83" t="e">
        <f t="shared" si="384"/>
        <v>#DIV/0!</v>
      </c>
      <c r="BQ181" s="83" t="e">
        <f t="shared" si="384"/>
        <v>#DIV/0!</v>
      </c>
      <c r="BR181" s="83" t="e">
        <f t="shared" si="384"/>
        <v>#DIV/0!</v>
      </c>
      <c r="BS181" s="83" t="e">
        <f t="shared" si="384"/>
        <v>#DIV/0!</v>
      </c>
      <c r="BT181" s="83" t="e">
        <f t="shared" si="384"/>
        <v>#DIV/0!</v>
      </c>
      <c r="BU181" s="117">
        <f t="shared" si="384"/>
        <v>6.7791005291005291E-2</v>
      </c>
      <c r="BV181" s="83">
        <f t="shared" si="384"/>
        <v>8.0753701211305512E-2</v>
      </c>
      <c r="CB181" s="18"/>
      <c r="CC181" s="18"/>
      <c r="CD181" s="18"/>
      <c r="CE181" s="18"/>
      <c r="CF181" s="18"/>
      <c r="CG181" s="18"/>
      <c r="CH181" s="23"/>
      <c r="CI181" s="83"/>
      <c r="CJ181" s="83"/>
      <c r="CK181" s="83"/>
      <c r="CL181" s="83"/>
      <c r="CM181" s="83"/>
      <c r="CN181" s="83"/>
      <c r="CO181" s="83"/>
      <c r="CP181" s="117"/>
      <c r="CQ181" s="83"/>
      <c r="CR181" s="83"/>
      <c r="CS181" s="117"/>
    </row>
    <row r="182" spans="1:97" ht="14.25" hidden="1" customHeight="1" outlineLevel="2">
      <c r="A182" s="18"/>
      <c r="B182" s="143" t="s">
        <v>232</v>
      </c>
      <c r="C182" s="26"/>
      <c r="D182" s="28"/>
      <c r="E182" s="28"/>
      <c r="F182" s="28"/>
      <c r="G182" s="35"/>
      <c r="H182" s="149"/>
      <c r="I182" s="149"/>
      <c r="J182" s="149"/>
      <c r="K182" s="150"/>
      <c r="L182" s="161">
        <v>555</v>
      </c>
      <c r="M182" s="161">
        <v>493</v>
      </c>
      <c r="N182" s="161">
        <v>374</v>
      </c>
      <c r="O182" s="162">
        <v>65</v>
      </c>
      <c r="P182" s="161">
        <v>26</v>
      </c>
      <c r="Q182" s="161">
        <v>13</v>
      </c>
      <c r="R182" s="161">
        <v>96</v>
      </c>
      <c r="S182" s="162">
        <v>151</v>
      </c>
      <c r="T182" s="161">
        <v>126</v>
      </c>
      <c r="U182" s="161">
        <v>256</v>
      </c>
      <c r="V182" s="161">
        <v>242</v>
      </c>
      <c r="W182" s="162">
        <v>175</v>
      </c>
      <c r="X182" s="161">
        <v>142</v>
      </c>
      <c r="Y182" s="161">
        <v>255</v>
      </c>
      <c r="Z182" s="161">
        <v>220</v>
      </c>
      <c r="AA182" s="162">
        <v>175</v>
      </c>
      <c r="AB182" s="161">
        <v>40</v>
      </c>
      <c r="AC182" s="161">
        <v>84</v>
      </c>
      <c r="AD182" s="161">
        <v>67</v>
      </c>
      <c r="AE182" s="162">
        <v>83</v>
      </c>
      <c r="AF182" s="161">
        <v>138</v>
      </c>
      <c r="AG182" s="161">
        <v>195</v>
      </c>
      <c r="AH182" s="161">
        <v>256</v>
      </c>
      <c r="AI182" s="162">
        <v>114</v>
      </c>
      <c r="AJ182" s="161">
        <v>79</v>
      </c>
      <c r="AK182" s="161">
        <v>340</v>
      </c>
      <c r="AL182" s="161">
        <v>296</v>
      </c>
      <c r="AM182" s="162">
        <v>130</v>
      </c>
      <c r="AN182" s="161">
        <v>107</v>
      </c>
      <c r="AO182" s="161">
        <v>120</v>
      </c>
      <c r="AP182" s="161">
        <v>295</v>
      </c>
      <c r="AQ182" s="162">
        <v>195</v>
      </c>
      <c r="AR182" s="161">
        <v>183</v>
      </c>
      <c r="AS182" s="161">
        <v>700</v>
      </c>
      <c r="BL182" s="36"/>
      <c r="BM182" s="34"/>
      <c r="BN182" s="34"/>
      <c r="BO182" s="34"/>
      <c r="BP182" s="34"/>
      <c r="BQ182" s="34"/>
      <c r="BR182" s="34"/>
      <c r="BS182" s="34"/>
      <c r="BT182" s="34"/>
      <c r="BU182" s="114"/>
      <c r="BV182" s="34"/>
      <c r="CB182" s="18"/>
      <c r="CC182" s="18"/>
      <c r="CD182" s="18"/>
      <c r="CE182" s="18"/>
      <c r="CF182" s="18"/>
      <c r="CG182" s="18"/>
      <c r="CH182" s="23"/>
      <c r="CI182" s="34"/>
      <c r="CJ182" s="34"/>
      <c r="CK182" s="34"/>
      <c r="CL182" s="34"/>
      <c r="CM182" s="34"/>
      <c r="CN182" s="34"/>
      <c r="CO182" s="34"/>
      <c r="CP182" s="114"/>
      <c r="CQ182" s="34"/>
      <c r="CR182" s="34"/>
      <c r="CS182" s="114"/>
    </row>
    <row r="183" spans="1:97" ht="14.25" hidden="1" customHeight="1" outlineLevel="2" collapsed="1">
      <c r="A183" s="18"/>
      <c r="B183" s="143" t="s">
        <v>186</v>
      </c>
      <c r="C183" s="79"/>
      <c r="D183" s="80"/>
      <c r="E183" s="80"/>
      <c r="F183" s="80"/>
      <c r="G183" s="41"/>
      <c r="H183" s="80"/>
      <c r="I183" s="80"/>
      <c r="J183" s="80"/>
      <c r="K183" s="41"/>
      <c r="L183" s="80"/>
      <c r="M183" s="80">
        <f t="shared" ref="M183:AS183" si="385">M182/L182-1</f>
        <v>-0.11171171171171168</v>
      </c>
      <c r="N183" s="80">
        <f t="shared" si="385"/>
        <v>-0.24137931034482762</v>
      </c>
      <c r="O183" s="41">
        <f t="shared" si="385"/>
        <v>-0.8262032085561497</v>
      </c>
      <c r="P183" s="80">
        <f t="shared" si="385"/>
        <v>-0.6</v>
      </c>
      <c r="Q183" s="80">
        <f t="shared" si="385"/>
        <v>-0.5</v>
      </c>
      <c r="R183" s="80">
        <f t="shared" si="385"/>
        <v>6.384615384615385</v>
      </c>
      <c r="S183" s="41">
        <f t="shared" si="385"/>
        <v>0.57291666666666674</v>
      </c>
      <c r="T183" s="80">
        <f t="shared" si="385"/>
        <v>-0.16556291390728473</v>
      </c>
      <c r="U183" s="80">
        <f t="shared" si="385"/>
        <v>1.0317460317460316</v>
      </c>
      <c r="V183" s="80">
        <f t="shared" si="385"/>
        <v>-5.46875E-2</v>
      </c>
      <c r="W183" s="41">
        <f t="shared" si="385"/>
        <v>-0.27685950413223137</v>
      </c>
      <c r="X183" s="80">
        <f t="shared" si="385"/>
        <v>-0.18857142857142861</v>
      </c>
      <c r="Y183" s="80">
        <f t="shared" si="385"/>
        <v>0.79577464788732399</v>
      </c>
      <c r="Z183" s="80">
        <f t="shared" si="385"/>
        <v>-0.13725490196078427</v>
      </c>
      <c r="AA183" s="41">
        <f t="shared" si="385"/>
        <v>-0.20454545454545459</v>
      </c>
      <c r="AB183" s="80">
        <f t="shared" si="385"/>
        <v>-0.77142857142857146</v>
      </c>
      <c r="AC183" s="80">
        <f t="shared" si="385"/>
        <v>1.1000000000000001</v>
      </c>
      <c r="AD183" s="80">
        <f t="shared" si="385"/>
        <v>-0.20238095238095233</v>
      </c>
      <c r="AE183" s="41">
        <f t="shared" si="385"/>
        <v>0.23880597014925375</v>
      </c>
      <c r="AF183" s="80">
        <f t="shared" si="385"/>
        <v>0.66265060240963858</v>
      </c>
      <c r="AG183" s="80">
        <f t="shared" si="385"/>
        <v>0.41304347826086962</v>
      </c>
      <c r="AH183" s="80">
        <f t="shared" si="385"/>
        <v>0.31282051282051282</v>
      </c>
      <c r="AI183" s="41">
        <f t="shared" si="385"/>
        <v>-0.5546875</v>
      </c>
      <c r="AJ183" s="80">
        <f t="shared" si="385"/>
        <v>-0.30701754385964908</v>
      </c>
      <c r="AK183" s="80">
        <f t="shared" si="385"/>
        <v>3.3037974683544302</v>
      </c>
      <c r="AL183" s="80">
        <f t="shared" si="385"/>
        <v>-0.12941176470588234</v>
      </c>
      <c r="AM183" s="41">
        <f t="shared" si="385"/>
        <v>-0.56081081081081074</v>
      </c>
      <c r="AN183" s="80">
        <f t="shared" si="385"/>
        <v>-0.17692307692307696</v>
      </c>
      <c r="AO183" s="80">
        <f t="shared" si="385"/>
        <v>0.12149532710280364</v>
      </c>
      <c r="AP183" s="80">
        <f t="shared" si="385"/>
        <v>1.4583333333333335</v>
      </c>
      <c r="AQ183" s="41">
        <f t="shared" si="385"/>
        <v>-0.33898305084745761</v>
      </c>
      <c r="AR183" s="80">
        <f t="shared" si="385"/>
        <v>-6.1538461538461542E-2</v>
      </c>
      <c r="AS183" s="80">
        <f t="shared" si="385"/>
        <v>2.8251366120218577</v>
      </c>
      <c r="BL183" s="36"/>
      <c r="BM183" s="81"/>
      <c r="BN183" s="81"/>
      <c r="BO183" s="81"/>
      <c r="BP183" s="81"/>
      <c r="BQ183" s="81"/>
      <c r="BR183" s="81"/>
      <c r="BS183" s="81"/>
      <c r="BT183" s="81"/>
      <c r="BU183" s="115"/>
      <c r="BV183" s="81"/>
      <c r="CB183" s="18"/>
      <c r="CC183" s="18"/>
      <c r="CD183" s="18"/>
      <c r="CE183" s="18"/>
      <c r="CF183" s="18"/>
      <c r="CG183" s="18"/>
      <c r="CH183" s="23"/>
      <c r="CI183" s="81"/>
      <c r="CJ183" s="81"/>
      <c r="CK183" s="81"/>
      <c r="CL183" s="81"/>
      <c r="CM183" s="81"/>
      <c r="CN183" s="81"/>
      <c r="CO183" s="81"/>
      <c r="CP183" s="115"/>
      <c r="CQ183" s="81"/>
      <c r="CR183" s="81"/>
      <c r="CS183" s="115"/>
    </row>
    <row r="184" spans="1:97" ht="14.25" hidden="1" customHeight="1" outlineLevel="1">
      <c r="A184" s="18"/>
      <c r="B184" s="9"/>
      <c r="C184" s="79"/>
      <c r="D184" s="80"/>
      <c r="E184" s="80"/>
      <c r="F184" s="80"/>
      <c r="G184" s="41"/>
      <c r="H184" s="80"/>
      <c r="I184" s="80"/>
      <c r="J184" s="80"/>
      <c r="K184" s="41"/>
      <c r="L184" s="80"/>
      <c r="M184" s="80"/>
      <c r="N184" s="80"/>
      <c r="O184" s="41"/>
      <c r="P184" s="80"/>
      <c r="Q184" s="80"/>
      <c r="R184" s="80"/>
      <c r="S184" s="41"/>
      <c r="T184" s="80"/>
      <c r="U184" s="80"/>
      <c r="V184" s="80"/>
      <c r="W184" s="41"/>
      <c r="X184" s="80"/>
      <c r="Y184" s="80"/>
      <c r="Z184" s="80"/>
      <c r="AA184" s="41"/>
      <c r="AB184" s="80"/>
      <c r="AC184" s="80"/>
      <c r="AD184" s="80"/>
      <c r="AE184" s="41"/>
      <c r="AF184" s="80"/>
      <c r="AG184" s="80"/>
      <c r="AH184" s="80"/>
      <c r="AI184" s="41"/>
      <c r="AJ184" s="80"/>
      <c r="AK184" s="80"/>
      <c r="AL184" s="86"/>
      <c r="AM184" s="85"/>
      <c r="AN184" s="80"/>
      <c r="AO184" s="80"/>
      <c r="AP184" s="80"/>
      <c r="AQ184" s="85"/>
      <c r="AR184" s="80"/>
      <c r="AS184" s="80"/>
      <c r="BL184" s="36"/>
      <c r="BM184" s="83"/>
      <c r="BN184" s="83"/>
      <c r="BO184" s="83"/>
      <c r="BP184" s="83"/>
      <c r="BQ184" s="83"/>
      <c r="BR184" s="83"/>
      <c r="BS184" s="83"/>
      <c r="BT184" s="83"/>
      <c r="BU184" s="117"/>
      <c r="BV184" s="83"/>
      <c r="CB184" s="18"/>
      <c r="CC184" s="18"/>
      <c r="CD184" s="18"/>
      <c r="CE184" s="18"/>
      <c r="CF184" s="18"/>
      <c r="CG184" s="18"/>
      <c r="CH184" s="23"/>
      <c r="CI184" s="83"/>
      <c r="CJ184" s="83"/>
      <c r="CK184" s="83"/>
      <c r="CL184" s="83"/>
      <c r="CM184" s="83"/>
      <c r="CN184" s="83"/>
      <c r="CO184" s="83"/>
      <c r="CP184" s="117"/>
      <c r="CQ184" s="83"/>
      <c r="CR184" s="83"/>
      <c r="CS184" s="117"/>
    </row>
    <row r="185" spans="1:97" ht="14.25" hidden="1" customHeight="1" outlineLevel="1">
      <c r="A185" s="18"/>
      <c r="B185" s="9" t="s">
        <v>191</v>
      </c>
      <c r="C185" s="26"/>
      <c r="D185" s="28"/>
      <c r="E185" s="28"/>
      <c r="F185" s="28"/>
      <c r="G185" s="35"/>
      <c r="H185" s="161">
        <v>31.823</v>
      </c>
      <c r="I185" s="161">
        <v>42.816000000000003</v>
      </c>
      <c r="J185" s="161">
        <v>28.696000000000002</v>
      </c>
      <c r="K185" s="162">
        <v>61.576000000000001</v>
      </c>
      <c r="L185" s="161">
        <v>122.114</v>
      </c>
      <c r="M185" s="161">
        <v>85.408000000000001</v>
      </c>
      <c r="N185" s="161">
        <v>174.41800000000001</v>
      </c>
      <c r="O185" s="162">
        <v>437.64699999999993</v>
      </c>
      <c r="P185" s="161">
        <v>293.28199999999998</v>
      </c>
      <c r="Q185" s="161">
        <v>357.005</v>
      </c>
      <c r="R185" s="161">
        <v>224.47300000000001</v>
      </c>
      <c r="S185" s="162">
        <v>280.24000000000007</v>
      </c>
      <c r="T185" s="161">
        <v>321.07799999999997</v>
      </c>
      <c r="U185" s="161">
        <v>165.99700000000001</v>
      </c>
      <c r="V185" s="161">
        <v>387.37200000000001</v>
      </c>
      <c r="W185" s="162">
        <v>606.55299999999988</v>
      </c>
      <c r="X185" s="161">
        <v>476</v>
      </c>
      <c r="Y185" s="161">
        <v>637</v>
      </c>
      <c r="Z185" s="161">
        <v>563</v>
      </c>
      <c r="AA185" s="162">
        <v>315</v>
      </c>
      <c r="AB185" s="161">
        <v>207</v>
      </c>
      <c r="AC185" s="161">
        <v>79</v>
      </c>
      <c r="AD185" s="161">
        <v>77</v>
      </c>
      <c r="AE185" s="162">
        <v>62</v>
      </c>
      <c r="AF185" s="161">
        <v>46</v>
      </c>
      <c r="AG185" s="161">
        <v>38</v>
      </c>
      <c r="AH185" s="161">
        <v>45</v>
      </c>
      <c r="AI185" s="162">
        <v>44</v>
      </c>
      <c r="AJ185" s="161">
        <v>40</v>
      </c>
      <c r="AK185" s="161">
        <v>88</v>
      </c>
      <c r="AL185" s="161">
        <v>103</v>
      </c>
      <c r="AM185" s="162">
        <v>48</v>
      </c>
      <c r="AN185" s="161">
        <v>55</v>
      </c>
      <c r="AO185" s="161">
        <v>73</v>
      </c>
      <c r="AP185" s="161">
        <v>39</v>
      </c>
      <c r="AQ185" s="162">
        <v>46</v>
      </c>
      <c r="AR185" s="161">
        <v>45</v>
      </c>
      <c r="AS185" s="161">
        <v>48</v>
      </c>
      <c r="BL185" s="36"/>
      <c r="BM185" s="34"/>
      <c r="BN185" s="34">
        <f>SUM(H185:K185)</f>
        <v>164.911</v>
      </c>
      <c r="BO185" s="34">
        <f>SUM(L185:O185)</f>
        <v>819.58699999999999</v>
      </c>
      <c r="BP185" s="34">
        <f>SUM(P185:S185)</f>
        <v>1155</v>
      </c>
      <c r="BQ185" s="34">
        <f>SUM(T185:W185)</f>
        <v>1481</v>
      </c>
      <c r="BR185" s="34">
        <f>SUM(X185:AA185)</f>
        <v>1991</v>
      </c>
      <c r="BS185" s="34">
        <f>SUM(AB185:AE185)</f>
        <v>425</v>
      </c>
      <c r="BT185" s="34">
        <f>SUM(AF185:AI185)</f>
        <v>173</v>
      </c>
      <c r="BU185" s="114">
        <f>SUM(AJ185:AM185)</f>
        <v>279</v>
      </c>
      <c r="BV185" s="34">
        <f>SUM(AN185:AQ185)</f>
        <v>213</v>
      </c>
      <c r="CB185" s="18"/>
      <c r="CC185" s="18"/>
      <c r="CD185" s="18"/>
      <c r="CE185" s="18"/>
      <c r="CF185" s="18"/>
      <c r="CG185" s="18"/>
      <c r="CH185" s="23"/>
      <c r="CI185" s="34"/>
      <c r="CJ185" s="34"/>
      <c r="CK185" s="34">
        <f>SUM(AC185:AF185)</f>
        <v>264</v>
      </c>
      <c r="CL185" s="34">
        <f>SUM(AG185:AJ185)</f>
        <v>167</v>
      </c>
      <c r="CM185" s="34">
        <f>SUM(AK185:AN185)</f>
        <v>294</v>
      </c>
      <c r="CN185" s="34">
        <f>SUM(AO185:AR185)</f>
        <v>203</v>
      </c>
      <c r="CO185" s="34">
        <f>SUM(AS185:AV185)</f>
        <v>48</v>
      </c>
      <c r="CP185" s="34">
        <f>SUM(AW185:AY185)</f>
        <v>0</v>
      </c>
      <c r="CQ185" s="34"/>
      <c r="CR185" s="34"/>
      <c r="CS185" s="114"/>
    </row>
    <row r="186" spans="1:97" ht="14.25" hidden="1" customHeight="1" outlineLevel="1">
      <c r="A186" s="18"/>
      <c r="B186" s="9" t="s">
        <v>186</v>
      </c>
      <c r="C186" s="79"/>
      <c r="D186" s="80"/>
      <c r="E186" s="80"/>
      <c r="F186" s="80"/>
      <c r="G186" s="41"/>
      <c r="H186" s="80"/>
      <c r="I186" s="80">
        <f t="shared" ref="I186:AS186" si="386">I185/H185-1</f>
        <v>0.34544197592935943</v>
      </c>
      <c r="J186" s="80">
        <f t="shared" si="386"/>
        <v>-0.32978325859491775</v>
      </c>
      <c r="K186" s="41">
        <f t="shared" si="386"/>
        <v>1.1458042932812935</v>
      </c>
      <c r="L186" s="80">
        <f t="shared" si="386"/>
        <v>0.98314278290242951</v>
      </c>
      <c r="M186" s="80">
        <f t="shared" si="386"/>
        <v>-0.30058797517074209</v>
      </c>
      <c r="N186" s="80">
        <f t="shared" si="386"/>
        <v>1.0421740352191833</v>
      </c>
      <c r="O186" s="41">
        <f t="shared" si="386"/>
        <v>1.5091848318407499</v>
      </c>
      <c r="P186" s="80">
        <f t="shared" si="386"/>
        <v>-0.32986630777772952</v>
      </c>
      <c r="Q186" s="80">
        <f t="shared" si="386"/>
        <v>0.21727552321656285</v>
      </c>
      <c r="R186" s="80">
        <f t="shared" si="386"/>
        <v>-0.3712328958978165</v>
      </c>
      <c r="S186" s="41">
        <f t="shared" si="386"/>
        <v>0.24843522383538352</v>
      </c>
      <c r="T186" s="80">
        <f t="shared" si="386"/>
        <v>0.1457250927776188</v>
      </c>
      <c r="U186" s="80">
        <f t="shared" si="386"/>
        <v>-0.48300101532960826</v>
      </c>
      <c r="V186" s="80">
        <f t="shared" si="386"/>
        <v>1.3336084387067233</v>
      </c>
      <c r="W186" s="41">
        <f t="shared" si="386"/>
        <v>0.56581528866309361</v>
      </c>
      <c r="X186" s="80">
        <f t="shared" si="386"/>
        <v>-0.2152375802279437</v>
      </c>
      <c r="Y186" s="80">
        <f t="shared" si="386"/>
        <v>0.33823529411764697</v>
      </c>
      <c r="Z186" s="80">
        <f t="shared" si="386"/>
        <v>-0.1161695447409733</v>
      </c>
      <c r="AA186" s="41">
        <f t="shared" si="386"/>
        <v>-0.44049733570159855</v>
      </c>
      <c r="AB186" s="80">
        <f t="shared" si="386"/>
        <v>-0.34285714285714286</v>
      </c>
      <c r="AC186" s="80">
        <f t="shared" si="386"/>
        <v>-0.6183574879227054</v>
      </c>
      <c r="AD186" s="80">
        <f t="shared" si="386"/>
        <v>-2.5316455696202556E-2</v>
      </c>
      <c r="AE186" s="41">
        <f t="shared" si="386"/>
        <v>-0.19480519480519476</v>
      </c>
      <c r="AF186" s="80">
        <f t="shared" si="386"/>
        <v>-0.25806451612903225</v>
      </c>
      <c r="AG186" s="80">
        <f t="shared" si="386"/>
        <v>-0.17391304347826086</v>
      </c>
      <c r="AH186" s="80">
        <f t="shared" si="386"/>
        <v>0.18421052631578938</v>
      </c>
      <c r="AI186" s="41">
        <f t="shared" si="386"/>
        <v>-2.2222222222222254E-2</v>
      </c>
      <c r="AJ186" s="80">
        <f t="shared" si="386"/>
        <v>-9.0909090909090939E-2</v>
      </c>
      <c r="AK186" s="80">
        <f t="shared" si="386"/>
        <v>1.2000000000000002</v>
      </c>
      <c r="AL186" s="80">
        <f t="shared" si="386"/>
        <v>0.17045454545454541</v>
      </c>
      <c r="AM186" s="41">
        <f t="shared" si="386"/>
        <v>-0.53398058252427183</v>
      </c>
      <c r="AN186" s="80">
        <f t="shared" si="386"/>
        <v>0.14583333333333326</v>
      </c>
      <c r="AO186" s="80">
        <f t="shared" si="386"/>
        <v>0.32727272727272738</v>
      </c>
      <c r="AP186" s="80">
        <f t="shared" si="386"/>
        <v>-0.46575342465753422</v>
      </c>
      <c r="AQ186" s="41">
        <f t="shared" si="386"/>
        <v>0.17948717948717952</v>
      </c>
      <c r="AR186" s="80">
        <f t="shared" si="386"/>
        <v>-2.1739130434782594E-2</v>
      </c>
      <c r="AS186" s="80">
        <f t="shared" si="386"/>
        <v>6.6666666666666652E-2</v>
      </c>
      <c r="BL186" s="36"/>
      <c r="BM186" s="81"/>
      <c r="BN186" s="81"/>
      <c r="BO186" s="81"/>
      <c r="BP186" s="81"/>
      <c r="BQ186" s="81"/>
      <c r="BR186" s="81"/>
      <c r="BS186" s="81"/>
      <c r="BT186" s="81"/>
      <c r="BU186" s="115"/>
      <c r="BV186" s="81"/>
      <c r="CB186" s="18"/>
      <c r="CC186" s="18"/>
      <c r="CD186" s="18"/>
      <c r="CE186" s="18"/>
      <c r="CF186" s="18"/>
      <c r="CG186" s="18"/>
      <c r="CH186" s="23"/>
      <c r="CI186" s="81"/>
      <c r="CJ186" s="81"/>
      <c r="CK186" s="81"/>
      <c r="CL186" s="81"/>
      <c r="CM186" s="81"/>
      <c r="CN186" s="81"/>
      <c r="CO186" s="81"/>
      <c r="CP186" s="115"/>
      <c r="CQ186" s="81"/>
      <c r="CR186" s="81"/>
      <c r="CS186" s="115"/>
    </row>
    <row r="187" spans="1:97" ht="14.25" hidden="1" customHeight="1" outlineLevel="1">
      <c r="A187" s="18"/>
      <c r="B187" s="9" t="s">
        <v>187</v>
      </c>
      <c r="C187" s="82"/>
      <c r="D187" s="80"/>
      <c r="E187" s="80"/>
      <c r="F187" s="80"/>
      <c r="G187" s="41"/>
      <c r="H187" s="80"/>
      <c r="I187" s="80"/>
      <c r="J187" s="80"/>
      <c r="K187" s="41"/>
      <c r="L187" s="80">
        <f t="shared" ref="L187:AS187" si="387">L185/H185-1</f>
        <v>2.8372874964648211</v>
      </c>
      <c r="M187" s="80">
        <f t="shared" si="387"/>
        <v>0.99476831091180862</v>
      </c>
      <c r="N187" s="80">
        <f t="shared" si="387"/>
        <v>5.078129356007806</v>
      </c>
      <c r="O187" s="41">
        <f t="shared" si="387"/>
        <v>6.1074282187865387</v>
      </c>
      <c r="P187" s="80">
        <f t="shared" si="387"/>
        <v>1.4017066020276134</v>
      </c>
      <c r="Q187" s="80">
        <f t="shared" si="387"/>
        <v>3.179994848257774</v>
      </c>
      <c r="R187" s="80">
        <f t="shared" si="387"/>
        <v>0.28698299487438228</v>
      </c>
      <c r="S187" s="41">
        <f t="shared" si="387"/>
        <v>-0.35966658060034662</v>
      </c>
      <c r="T187" s="80">
        <f t="shared" si="387"/>
        <v>9.477567665250497E-2</v>
      </c>
      <c r="U187" s="80">
        <f t="shared" si="387"/>
        <v>-0.53502892116356904</v>
      </c>
      <c r="V187" s="80">
        <f t="shared" si="387"/>
        <v>0.72569529520254106</v>
      </c>
      <c r="W187" s="41">
        <f t="shared" si="387"/>
        <v>1.1644055095632306</v>
      </c>
      <c r="X187" s="80">
        <f t="shared" si="387"/>
        <v>0.48250580855742231</v>
      </c>
      <c r="Y187" s="80">
        <f t="shared" si="387"/>
        <v>2.8374187485315998</v>
      </c>
      <c r="Z187" s="80">
        <f t="shared" si="387"/>
        <v>0.45338331113245145</v>
      </c>
      <c r="AA187" s="41">
        <f t="shared" si="387"/>
        <v>-0.48067192809202153</v>
      </c>
      <c r="AB187" s="80">
        <f t="shared" si="387"/>
        <v>-0.56512605042016806</v>
      </c>
      <c r="AC187" s="80">
        <f t="shared" si="387"/>
        <v>-0.87598116169544737</v>
      </c>
      <c r="AD187" s="80">
        <f t="shared" si="387"/>
        <v>-0.86323268206039083</v>
      </c>
      <c r="AE187" s="41">
        <f t="shared" si="387"/>
        <v>-0.80317460317460321</v>
      </c>
      <c r="AF187" s="80">
        <f t="shared" si="387"/>
        <v>-0.77777777777777779</v>
      </c>
      <c r="AG187" s="80">
        <f t="shared" si="387"/>
        <v>-0.51898734177215189</v>
      </c>
      <c r="AH187" s="80">
        <f t="shared" si="387"/>
        <v>-0.41558441558441561</v>
      </c>
      <c r="AI187" s="41">
        <f t="shared" si="387"/>
        <v>-0.29032258064516125</v>
      </c>
      <c r="AJ187" s="80">
        <f t="shared" si="387"/>
        <v>-0.13043478260869568</v>
      </c>
      <c r="AK187" s="80">
        <f t="shared" si="387"/>
        <v>1.3157894736842106</v>
      </c>
      <c r="AL187" s="80">
        <f t="shared" si="387"/>
        <v>1.2888888888888888</v>
      </c>
      <c r="AM187" s="41">
        <f t="shared" si="387"/>
        <v>9.0909090909090828E-2</v>
      </c>
      <c r="AN187" s="80">
        <f t="shared" si="387"/>
        <v>0.375</v>
      </c>
      <c r="AO187" s="80">
        <f t="shared" si="387"/>
        <v>-0.17045454545454541</v>
      </c>
      <c r="AP187" s="80">
        <f t="shared" si="387"/>
        <v>-0.62135922330097082</v>
      </c>
      <c r="AQ187" s="41">
        <f t="shared" si="387"/>
        <v>-4.166666666666663E-2</v>
      </c>
      <c r="AR187" s="80">
        <f t="shared" si="387"/>
        <v>-0.18181818181818177</v>
      </c>
      <c r="AS187" s="80">
        <f t="shared" si="387"/>
        <v>-0.34246575342465757</v>
      </c>
      <c r="BL187" s="106"/>
      <c r="BM187" s="80"/>
      <c r="BN187" s="83"/>
      <c r="BO187" s="83">
        <f t="shared" ref="BO187:BV187" si="388">BO185/BN185-1</f>
        <v>3.9698746596649102</v>
      </c>
      <c r="BP187" s="83">
        <f t="shared" si="388"/>
        <v>0.40924636432739914</v>
      </c>
      <c r="BQ187" s="83">
        <f t="shared" si="388"/>
        <v>0.2822510822510822</v>
      </c>
      <c r="BR187" s="83">
        <f t="shared" si="388"/>
        <v>0.34436191762322754</v>
      </c>
      <c r="BS187" s="83">
        <f t="shared" si="388"/>
        <v>-0.78653942742340532</v>
      </c>
      <c r="BT187" s="83">
        <f t="shared" si="388"/>
        <v>-0.5929411764705883</v>
      </c>
      <c r="BU187" s="117">
        <f t="shared" si="388"/>
        <v>0.61271676300578037</v>
      </c>
      <c r="BV187" s="83">
        <f t="shared" si="388"/>
        <v>-0.23655913978494625</v>
      </c>
      <c r="CB187" s="18"/>
      <c r="CC187" s="18"/>
      <c r="CD187" s="18"/>
      <c r="CE187" s="18"/>
      <c r="CF187" s="18"/>
      <c r="CG187" s="18"/>
      <c r="CH187" s="18"/>
      <c r="CI187" s="80"/>
      <c r="CJ187" s="83"/>
      <c r="CK187" s="83"/>
      <c r="CL187" s="83"/>
      <c r="CM187" s="83"/>
      <c r="CN187" s="83"/>
      <c r="CO187" s="83"/>
      <c r="CP187" s="84"/>
      <c r="CQ187" s="84"/>
      <c r="CR187" s="84"/>
      <c r="CS187" s="116"/>
    </row>
    <row r="188" spans="1:97" ht="14.25" hidden="1" customHeight="1" outlineLevel="2">
      <c r="A188" s="18"/>
      <c r="B188" s="9" t="s">
        <v>188</v>
      </c>
      <c r="C188" s="79"/>
      <c r="D188" s="80"/>
      <c r="E188" s="80"/>
      <c r="F188" s="80"/>
      <c r="G188" s="41"/>
      <c r="H188" s="80" t="e">
        <f t="shared" ref="H188:AQ188" si="389">H185/H$73</f>
        <v>#DIV/0!</v>
      </c>
      <c r="I188" s="80" t="e">
        <f t="shared" si="389"/>
        <v>#DIV/0!</v>
      </c>
      <c r="J188" s="80" t="e">
        <f t="shared" si="389"/>
        <v>#DIV/0!</v>
      </c>
      <c r="K188" s="41" t="e">
        <f t="shared" si="389"/>
        <v>#DIV/0!</v>
      </c>
      <c r="L188" s="80" t="e">
        <f t="shared" si="389"/>
        <v>#DIV/0!</v>
      </c>
      <c r="M188" s="80" t="e">
        <f t="shared" si="389"/>
        <v>#DIV/0!</v>
      </c>
      <c r="N188" s="80" t="e">
        <f t="shared" si="389"/>
        <v>#DIV/0!</v>
      </c>
      <c r="O188" s="41" t="e">
        <f t="shared" si="389"/>
        <v>#DIV/0!</v>
      </c>
      <c r="P188" s="80" t="e">
        <f t="shared" si="389"/>
        <v>#DIV/0!</v>
      </c>
      <c r="Q188" s="80" t="e">
        <f t="shared" si="389"/>
        <v>#DIV/0!</v>
      </c>
      <c r="R188" s="80" t="e">
        <f t="shared" si="389"/>
        <v>#DIV/0!</v>
      </c>
      <c r="S188" s="41" t="e">
        <f t="shared" si="389"/>
        <v>#DIV/0!</v>
      </c>
      <c r="T188" s="80" t="e">
        <f t="shared" si="389"/>
        <v>#DIV/0!</v>
      </c>
      <c r="U188" s="80" t="e">
        <f t="shared" si="389"/>
        <v>#DIV/0!</v>
      </c>
      <c r="V188" s="80" t="e">
        <f t="shared" si="389"/>
        <v>#DIV/0!</v>
      </c>
      <c r="W188" s="41" t="e">
        <f t="shared" si="389"/>
        <v>#DIV/0!</v>
      </c>
      <c r="X188" s="80" t="e">
        <f t="shared" si="389"/>
        <v>#DIV/0!</v>
      </c>
      <c r="Y188" s="80" t="e">
        <f t="shared" si="389"/>
        <v>#DIV/0!</v>
      </c>
      <c r="Z188" s="80" t="e">
        <f t="shared" si="389"/>
        <v>#DIV/0!</v>
      </c>
      <c r="AA188" s="41" t="e">
        <f t="shared" si="389"/>
        <v>#DIV/0!</v>
      </c>
      <c r="AB188" s="80" t="e">
        <f t="shared" si="389"/>
        <v>#DIV/0!</v>
      </c>
      <c r="AC188" s="80" t="e">
        <f t="shared" si="389"/>
        <v>#DIV/0!</v>
      </c>
      <c r="AD188" s="80" t="e">
        <f t="shared" si="389"/>
        <v>#DIV/0!</v>
      </c>
      <c r="AE188" s="41" t="e">
        <f t="shared" si="389"/>
        <v>#DIV/0!</v>
      </c>
      <c r="AF188" s="80" t="e">
        <f t="shared" si="389"/>
        <v>#DIV/0!</v>
      </c>
      <c r="AG188" s="80" t="e">
        <f t="shared" si="389"/>
        <v>#DIV/0!</v>
      </c>
      <c r="AH188" s="80" t="e">
        <f t="shared" si="389"/>
        <v>#DIV/0!</v>
      </c>
      <c r="AI188" s="41" t="e">
        <f t="shared" si="389"/>
        <v>#DIV/0!</v>
      </c>
      <c r="AJ188" s="80" t="e">
        <f t="shared" si="389"/>
        <v>#DIV/0!</v>
      </c>
      <c r="AK188" s="80" t="e">
        <f t="shared" si="389"/>
        <v>#DIV/0!</v>
      </c>
      <c r="AL188" s="80" t="e">
        <f t="shared" si="389"/>
        <v>#DIV/0!</v>
      </c>
      <c r="AM188" s="41" t="e">
        <f t="shared" si="389"/>
        <v>#DIV/0!</v>
      </c>
      <c r="AN188" s="80">
        <f t="shared" si="389"/>
        <v>2.3314963967782959E-2</v>
      </c>
      <c r="AO188" s="80">
        <f t="shared" si="389"/>
        <v>2.9893529893529894E-2</v>
      </c>
      <c r="AP188" s="80">
        <f t="shared" si="389"/>
        <v>1.566265060240964E-2</v>
      </c>
      <c r="AQ188" s="41">
        <f t="shared" si="389"/>
        <v>1.9425675675675675E-2</v>
      </c>
      <c r="AR188" s="80">
        <f>AR185/AR$73</f>
        <v>1.9937970757642889E-2</v>
      </c>
      <c r="AS188" s="80">
        <f>AS185/AS$73</f>
        <v>1.9591836734693877E-2</v>
      </c>
      <c r="BL188" s="106"/>
      <c r="BM188" s="83"/>
      <c r="BN188" s="83" t="e">
        <f t="shared" ref="BN188:BV188" si="390">BN185/BN$73</f>
        <v>#DIV/0!</v>
      </c>
      <c r="BO188" s="83" t="e">
        <f t="shared" si="390"/>
        <v>#DIV/0!</v>
      </c>
      <c r="BP188" s="83" t="e">
        <f t="shared" si="390"/>
        <v>#DIV/0!</v>
      </c>
      <c r="BQ188" s="83" t="e">
        <f t="shared" si="390"/>
        <v>#DIV/0!</v>
      </c>
      <c r="BR188" s="83" t="e">
        <f t="shared" si="390"/>
        <v>#DIV/0!</v>
      </c>
      <c r="BS188" s="83" t="e">
        <f t="shared" si="390"/>
        <v>#DIV/0!</v>
      </c>
      <c r="BT188" s="83" t="e">
        <f t="shared" si="390"/>
        <v>#DIV/0!</v>
      </c>
      <c r="BU188" s="117">
        <f t="shared" si="390"/>
        <v>3.0753968253968252E-2</v>
      </c>
      <c r="BV188" s="83">
        <f t="shared" si="390"/>
        <v>2.2051972253856508E-2</v>
      </c>
      <c r="CB188" s="18"/>
      <c r="CC188" s="18"/>
      <c r="CD188" s="18"/>
      <c r="CE188" s="18"/>
      <c r="CF188" s="18"/>
      <c r="CG188" s="18"/>
      <c r="CH188" s="18"/>
      <c r="CI188" s="83"/>
      <c r="CJ188" s="83"/>
      <c r="CK188" s="83"/>
      <c r="CL188" s="83"/>
      <c r="CM188" s="83"/>
      <c r="CN188" s="83"/>
      <c r="CO188" s="83"/>
      <c r="CP188" s="83"/>
      <c r="CQ188" s="83"/>
      <c r="CR188" s="83"/>
      <c r="CS188" s="117"/>
    </row>
    <row r="189" spans="1:97" ht="14.25" hidden="1" customHeight="1" outlineLevel="2">
      <c r="A189" s="18"/>
      <c r="B189" s="143" t="s">
        <v>233</v>
      </c>
      <c r="C189" s="26"/>
      <c r="D189" s="28"/>
      <c r="E189" s="28"/>
      <c r="F189" s="28"/>
      <c r="G189" s="35"/>
      <c r="H189" s="149"/>
      <c r="I189" s="149"/>
      <c r="J189" s="149"/>
      <c r="K189" s="150"/>
      <c r="L189" s="161">
        <v>260</v>
      </c>
      <c r="M189" s="161">
        <v>257</v>
      </c>
      <c r="N189" s="161">
        <v>322</v>
      </c>
      <c r="O189" s="162">
        <v>490</v>
      </c>
      <c r="P189" s="161">
        <v>321</v>
      </c>
      <c r="Q189" s="161">
        <v>141</v>
      </c>
      <c r="R189" s="161">
        <v>135</v>
      </c>
      <c r="S189" s="162">
        <v>357</v>
      </c>
      <c r="T189" s="161">
        <v>230</v>
      </c>
      <c r="U189" s="161">
        <v>378</v>
      </c>
      <c r="V189" s="161">
        <v>353</v>
      </c>
      <c r="W189" s="162">
        <v>546</v>
      </c>
      <c r="X189" s="161">
        <v>668</v>
      </c>
      <c r="Y189" s="161">
        <v>612</v>
      </c>
      <c r="Z189" s="161">
        <v>318</v>
      </c>
      <c r="AA189" s="162">
        <v>546</v>
      </c>
      <c r="AB189" s="161">
        <v>33</v>
      </c>
      <c r="AC189" s="161">
        <v>62</v>
      </c>
      <c r="AD189" s="161">
        <v>35</v>
      </c>
      <c r="AE189" s="162">
        <v>65</v>
      </c>
      <c r="AF189" s="161">
        <v>68</v>
      </c>
      <c r="AG189" s="161">
        <v>39</v>
      </c>
      <c r="AH189" s="161">
        <v>19</v>
      </c>
      <c r="AI189" s="162">
        <v>40</v>
      </c>
      <c r="AJ189" s="161">
        <v>40</v>
      </c>
      <c r="AK189" s="161">
        <v>88</v>
      </c>
      <c r="AL189" s="161">
        <v>66</v>
      </c>
      <c r="AM189" s="162">
        <v>44</v>
      </c>
      <c r="AN189" s="161">
        <v>50</v>
      </c>
      <c r="AO189" s="161">
        <v>50</v>
      </c>
      <c r="AP189" s="161">
        <v>29</v>
      </c>
      <c r="AQ189" s="162">
        <v>24</v>
      </c>
      <c r="AR189" s="161">
        <v>44</v>
      </c>
      <c r="AS189" s="161">
        <v>108</v>
      </c>
      <c r="BL189" s="36"/>
      <c r="BM189" s="34"/>
      <c r="BN189" s="34"/>
      <c r="BO189" s="34"/>
      <c r="BP189" s="34"/>
      <c r="BQ189" s="34"/>
      <c r="BR189" s="34"/>
      <c r="BS189" s="34"/>
      <c r="BT189" s="34"/>
      <c r="BU189" s="114"/>
      <c r="BV189" s="34"/>
      <c r="CB189" s="18"/>
      <c r="CC189" s="18"/>
      <c r="CD189" s="18"/>
      <c r="CE189" s="18"/>
      <c r="CF189" s="18"/>
      <c r="CG189" s="18"/>
      <c r="CH189" s="18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114"/>
    </row>
    <row r="190" spans="1:97" ht="14.25" hidden="1" customHeight="1" outlineLevel="2">
      <c r="A190" s="18"/>
      <c r="B190" s="143" t="s">
        <v>186</v>
      </c>
      <c r="C190" s="79"/>
      <c r="D190" s="80"/>
      <c r="E190" s="80"/>
      <c r="F190" s="80"/>
      <c r="G190" s="41"/>
      <c r="H190" s="80"/>
      <c r="I190" s="80"/>
      <c r="J190" s="80"/>
      <c r="K190" s="41"/>
      <c r="L190" s="80"/>
      <c r="M190" s="80">
        <f t="shared" ref="M190:AS190" si="391">M189/L189-1</f>
        <v>-1.1538461538461497E-2</v>
      </c>
      <c r="N190" s="80">
        <f t="shared" si="391"/>
        <v>0.25291828793774318</v>
      </c>
      <c r="O190" s="41">
        <f t="shared" si="391"/>
        <v>0.52173913043478271</v>
      </c>
      <c r="P190" s="80">
        <f t="shared" si="391"/>
        <v>-0.3448979591836735</v>
      </c>
      <c r="Q190" s="80">
        <f t="shared" si="391"/>
        <v>-0.56074766355140193</v>
      </c>
      <c r="R190" s="80">
        <f t="shared" si="391"/>
        <v>-4.2553191489361653E-2</v>
      </c>
      <c r="S190" s="41">
        <f t="shared" si="391"/>
        <v>1.6444444444444444</v>
      </c>
      <c r="T190" s="80">
        <f t="shared" si="391"/>
        <v>-0.35574229691876746</v>
      </c>
      <c r="U190" s="80">
        <f t="shared" si="391"/>
        <v>0.64347826086956528</v>
      </c>
      <c r="V190" s="80">
        <f t="shared" si="391"/>
        <v>-6.6137566137566162E-2</v>
      </c>
      <c r="W190" s="41">
        <f t="shared" si="391"/>
        <v>0.54674220963172804</v>
      </c>
      <c r="X190" s="80">
        <f t="shared" si="391"/>
        <v>0.22344322344322354</v>
      </c>
      <c r="Y190" s="80">
        <f t="shared" si="391"/>
        <v>-8.3832335329341312E-2</v>
      </c>
      <c r="Z190" s="80">
        <f t="shared" si="391"/>
        <v>-0.48039215686274506</v>
      </c>
      <c r="AA190" s="41">
        <f t="shared" si="391"/>
        <v>0.71698113207547176</v>
      </c>
      <c r="AB190" s="80">
        <f t="shared" si="391"/>
        <v>-0.93956043956043955</v>
      </c>
      <c r="AC190" s="80">
        <f t="shared" si="391"/>
        <v>0.8787878787878789</v>
      </c>
      <c r="AD190" s="80">
        <f t="shared" si="391"/>
        <v>-0.43548387096774188</v>
      </c>
      <c r="AE190" s="41">
        <f t="shared" si="391"/>
        <v>0.85714285714285721</v>
      </c>
      <c r="AF190" s="80">
        <f t="shared" si="391"/>
        <v>4.6153846153846212E-2</v>
      </c>
      <c r="AG190" s="80">
        <f t="shared" si="391"/>
        <v>-0.42647058823529416</v>
      </c>
      <c r="AH190" s="80">
        <f t="shared" si="391"/>
        <v>-0.51282051282051277</v>
      </c>
      <c r="AI190" s="41">
        <f t="shared" si="391"/>
        <v>1.1052631578947367</v>
      </c>
      <c r="AJ190" s="80">
        <f t="shared" si="391"/>
        <v>0</v>
      </c>
      <c r="AK190" s="80">
        <f t="shared" si="391"/>
        <v>1.2000000000000002</v>
      </c>
      <c r="AL190" s="80">
        <f t="shared" si="391"/>
        <v>-0.25</v>
      </c>
      <c r="AM190" s="41">
        <f t="shared" si="391"/>
        <v>-0.33333333333333337</v>
      </c>
      <c r="AN190" s="80">
        <f t="shared" si="391"/>
        <v>0.13636363636363646</v>
      </c>
      <c r="AO190" s="80">
        <f t="shared" si="391"/>
        <v>0</v>
      </c>
      <c r="AP190" s="80">
        <f t="shared" si="391"/>
        <v>-0.42000000000000004</v>
      </c>
      <c r="AQ190" s="41">
        <f t="shared" si="391"/>
        <v>-0.17241379310344829</v>
      </c>
      <c r="AR190" s="80">
        <f t="shared" si="391"/>
        <v>0.83333333333333326</v>
      </c>
      <c r="AS190" s="80">
        <f t="shared" si="391"/>
        <v>1.4545454545454546</v>
      </c>
      <c r="BL190" s="36"/>
      <c r="BM190" s="81"/>
      <c r="BN190" s="81"/>
      <c r="BO190" s="81"/>
      <c r="BP190" s="81"/>
      <c r="BQ190" s="81"/>
      <c r="BR190" s="81"/>
      <c r="BS190" s="81"/>
      <c r="BT190" s="81"/>
      <c r="BU190" s="115"/>
      <c r="BV190" s="81"/>
      <c r="CB190" s="18"/>
      <c r="CC190" s="18"/>
      <c r="CD190" s="18"/>
      <c r="CE190" s="18"/>
      <c r="CF190" s="18"/>
      <c r="CG190" s="18"/>
      <c r="CH190" s="23"/>
      <c r="CI190" s="81"/>
      <c r="CJ190" s="81"/>
      <c r="CK190" s="81"/>
      <c r="CL190" s="81"/>
      <c r="CM190" s="81"/>
      <c r="CN190" s="81"/>
      <c r="CO190" s="81"/>
      <c r="CP190" s="115"/>
      <c r="CQ190" s="81"/>
      <c r="CR190" s="81"/>
      <c r="CS190" s="115"/>
    </row>
    <row r="191" spans="1:97" ht="14.25" hidden="1" customHeight="1" outlineLevel="2" collapsed="1">
      <c r="A191" s="18"/>
      <c r="B191" s="9"/>
      <c r="C191" s="79"/>
      <c r="D191" s="80"/>
      <c r="E191" s="80"/>
      <c r="F191" s="80"/>
      <c r="G191" s="41"/>
      <c r="H191" s="80"/>
      <c r="I191" s="80"/>
      <c r="J191" s="80"/>
      <c r="K191" s="41"/>
      <c r="L191" s="80"/>
      <c r="M191" s="80"/>
      <c r="N191" s="80"/>
      <c r="O191" s="41"/>
      <c r="P191" s="80"/>
      <c r="Q191" s="80"/>
      <c r="R191" s="80"/>
      <c r="S191" s="41"/>
      <c r="T191" s="80"/>
      <c r="U191" s="80"/>
      <c r="V191" s="80"/>
      <c r="W191" s="41"/>
      <c r="X191" s="80"/>
      <c r="Y191" s="80"/>
      <c r="Z191" s="80"/>
      <c r="AA191" s="41"/>
      <c r="AB191" s="80"/>
      <c r="AC191" s="80"/>
      <c r="AD191" s="80"/>
      <c r="AE191" s="41"/>
      <c r="AF191" s="80"/>
      <c r="AG191" s="80"/>
      <c r="AH191" s="80"/>
      <c r="AI191" s="41"/>
      <c r="AJ191" s="80"/>
      <c r="AK191" s="80"/>
      <c r="AL191" s="80"/>
      <c r="AM191" s="41"/>
      <c r="AN191" s="80"/>
      <c r="AO191" s="80"/>
      <c r="AP191" s="80"/>
      <c r="AQ191" s="41"/>
      <c r="AR191" s="80"/>
      <c r="AS191" s="80"/>
      <c r="BL191" s="36"/>
      <c r="BM191" s="83"/>
      <c r="BN191" s="83"/>
      <c r="BO191" s="83"/>
      <c r="BP191" s="83"/>
      <c r="BQ191" s="83"/>
      <c r="BR191" s="83"/>
      <c r="BS191" s="83"/>
      <c r="BT191" s="83"/>
      <c r="BU191" s="117"/>
      <c r="BV191" s="83"/>
      <c r="CB191" s="18"/>
      <c r="CC191" s="18"/>
      <c r="CD191" s="18"/>
      <c r="CE191" s="18"/>
      <c r="CF191" s="18"/>
      <c r="CG191" s="18"/>
      <c r="CH191" s="18"/>
      <c r="CI191" s="83"/>
      <c r="CJ191" s="83"/>
      <c r="CK191" s="83"/>
      <c r="CL191" s="83"/>
      <c r="CM191" s="83"/>
      <c r="CN191" s="83"/>
      <c r="CO191" s="83"/>
      <c r="CP191" s="83"/>
      <c r="CQ191" s="83"/>
      <c r="CR191" s="83"/>
      <c r="CS191" s="117"/>
    </row>
    <row r="192" spans="1:97" ht="14.25" hidden="1" customHeight="1" outlineLevel="2">
      <c r="A192" s="18"/>
      <c r="B192" s="9" t="s">
        <v>225</v>
      </c>
      <c r="C192" s="26"/>
      <c r="D192" s="28"/>
      <c r="E192" s="28"/>
      <c r="F192" s="28"/>
      <c r="G192" s="35"/>
      <c r="H192" s="149"/>
      <c r="I192" s="149"/>
      <c r="J192" s="149"/>
      <c r="K192" s="150"/>
      <c r="L192" s="149"/>
      <c r="M192" s="149"/>
      <c r="N192" s="149"/>
      <c r="O192" s="162">
        <v>4850</v>
      </c>
      <c r="P192" s="161">
        <v>4050</v>
      </c>
      <c r="Q192" s="161">
        <v>3160</v>
      </c>
      <c r="R192" s="161">
        <v>2950</v>
      </c>
      <c r="S192" s="162">
        <v>2730</v>
      </c>
      <c r="T192" s="161">
        <v>2930</v>
      </c>
      <c r="U192" s="161">
        <v>2990</v>
      </c>
      <c r="V192" s="161">
        <v>3130</v>
      </c>
      <c r="W192" s="162">
        <v>3240</v>
      </c>
      <c r="X192" s="161">
        <v>3540</v>
      </c>
      <c r="Y192" s="161">
        <v>3880</v>
      </c>
      <c r="Z192" s="161">
        <v>3240</v>
      </c>
      <c r="AA192" s="162">
        <v>2390</v>
      </c>
      <c r="AB192" s="161">
        <v>2200</v>
      </c>
      <c r="AC192" s="161">
        <v>2370</v>
      </c>
      <c r="AD192" s="161">
        <v>1820</v>
      </c>
      <c r="AE192" s="162">
        <v>1600</v>
      </c>
      <c r="AF192" s="161">
        <v>2110</v>
      </c>
      <c r="AG192" s="161">
        <v>2300</v>
      </c>
      <c r="AH192" s="161">
        <v>2290</v>
      </c>
      <c r="AI192" s="162">
        <v>2370</v>
      </c>
      <c r="AJ192" s="161">
        <v>2440</v>
      </c>
      <c r="AK192" s="161">
        <v>2740</v>
      </c>
      <c r="AL192" s="161">
        <v>2970</v>
      </c>
      <c r="AM192" s="162">
        <v>2920</v>
      </c>
      <c r="AN192" s="161">
        <v>2780</v>
      </c>
      <c r="AO192" s="161">
        <v>2780</v>
      </c>
      <c r="AP192" s="161">
        <v>3100</v>
      </c>
      <c r="AQ192" s="162">
        <v>3140</v>
      </c>
      <c r="AR192" s="161">
        <v>3110</v>
      </c>
      <c r="AS192" s="161">
        <v>4170</v>
      </c>
      <c r="BL192" s="36"/>
      <c r="BM192" s="34"/>
      <c r="BN192" s="34"/>
      <c r="BO192" s="34"/>
      <c r="BP192" s="34"/>
      <c r="BQ192" s="34"/>
      <c r="BR192" s="34"/>
      <c r="BS192" s="34"/>
      <c r="BT192" s="34"/>
      <c r="BU192" s="114"/>
      <c r="BV192" s="34"/>
      <c r="CB192" s="18"/>
      <c r="CC192" s="18"/>
      <c r="CD192" s="18"/>
      <c r="CE192" s="18"/>
      <c r="CF192" s="18"/>
      <c r="CG192" s="18"/>
      <c r="CH192" s="18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114"/>
    </row>
    <row r="193" spans="1:97" ht="14.25" hidden="1" customHeight="1" outlineLevel="2">
      <c r="A193" s="18"/>
      <c r="B193" s="144" t="s">
        <v>185</v>
      </c>
      <c r="C193" s="79"/>
      <c r="D193" s="80"/>
      <c r="E193" s="80"/>
      <c r="F193" s="80"/>
      <c r="G193" s="41"/>
      <c r="H193" s="147"/>
      <c r="I193" s="147"/>
      <c r="J193" s="147"/>
      <c r="K193" s="148"/>
      <c r="L193" s="147"/>
      <c r="M193" s="147"/>
      <c r="N193" s="147"/>
      <c r="O193" s="177"/>
      <c r="P193" s="178"/>
      <c r="Q193" s="178"/>
      <c r="R193" s="178"/>
      <c r="S193" s="177"/>
      <c r="T193" s="178">
        <v>0.27</v>
      </c>
      <c r="U193" s="178">
        <v>0.27</v>
      </c>
      <c r="V193" s="178">
        <v>0.28999999999999998</v>
      </c>
      <c r="W193" s="177">
        <v>0.34</v>
      </c>
      <c r="X193" s="178">
        <v>0.34</v>
      </c>
      <c r="Y193" s="178">
        <v>0.37</v>
      </c>
      <c r="Z193" s="178">
        <v>0.34</v>
      </c>
      <c r="AA193" s="177">
        <v>0.38</v>
      </c>
      <c r="AB193" s="178">
        <v>0.48</v>
      </c>
      <c r="AC193" s="178">
        <v>0.51</v>
      </c>
      <c r="AD193" s="178">
        <v>0.47</v>
      </c>
      <c r="AE193" s="177">
        <v>0.44</v>
      </c>
      <c r="AF193" s="178">
        <v>0.51</v>
      </c>
      <c r="AG193" s="178">
        <v>0.55000000000000004</v>
      </c>
      <c r="AH193" s="178">
        <v>0.51</v>
      </c>
      <c r="AI193" s="177">
        <v>0.55000000000000004</v>
      </c>
      <c r="AJ193" s="178">
        <v>0.56000000000000005</v>
      </c>
      <c r="AK193" s="178">
        <v>0.53</v>
      </c>
      <c r="AL193" s="178">
        <v>0.51</v>
      </c>
      <c r="AM193" s="177">
        <v>0.48</v>
      </c>
      <c r="AN193" s="178">
        <v>0.49</v>
      </c>
      <c r="AO193" s="178">
        <v>0.53</v>
      </c>
      <c r="AP193" s="178">
        <v>0.56999999999999995</v>
      </c>
      <c r="AQ193" s="177">
        <v>0.55000000000000004</v>
      </c>
      <c r="AR193" s="178">
        <v>0.51</v>
      </c>
      <c r="AS193" s="178">
        <v>0.49</v>
      </c>
      <c r="BL193" s="36"/>
      <c r="BM193" s="83"/>
      <c r="BN193" s="83"/>
      <c r="BO193" s="83"/>
      <c r="BP193" s="83"/>
      <c r="BQ193" s="83"/>
      <c r="BR193" s="83"/>
      <c r="BS193" s="83"/>
      <c r="BT193" s="83"/>
      <c r="BU193" s="117"/>
      <c r="BV193" s="83"/>
      <c r="CB193" s="18"/>
      <c r="CC193" s="18"/>
      <c r="CD193" s="18"/>
      <c r="CE193" s="18"/>
      <c r="CF193" s="18"/>
      <c r="CG193" s="18"/>
      <c r="CH193" s="18"/>
      <c r="CI193" s="83"/>
      <c r="CJ193" s="83"/>
      <c r="CK193" s="83"/>
      <c r="CL193" s="83"/>
      <c r="CM193" s="83"/>
      <c r="CN193" s="83"/>
      <c r="CO193" s="83"/>
      <c r="CP193" s="83"/>
      <c r="CQ193" s="83"/>
      <c r="CR193" s="83"/>
      <c r="CS193" s="117"/>
    </row>
    <row r="194" spans="1:97" ht="14.25" hidden="1" customHeight="1" outlineLevel="2">
      <c r="A194" s="18"/>
      <c r="B194" s="144" t="s">
        <v>189</v>
      </c>
      <c r="C194" s="79"/>
      <c r="D194" s="80"/>
      <c r="E194" s="80"/>
      <c r="F194" s="80"/>
      <c r="G194" s="41"/>
      <c r="H194" s="147"/>
      <c r="I194" s="147"/>
      <c r="J194" s="147"/>
      <c r="K194" s="148"/>
      <c r="L194" s="147"/>
      <c r="M194" s="147"/>
      <c r="N194" s="147"/>
      <c r="O194" s="177"/>
      <c r="P194" s="178"/>
      <c r="Q194" s="178"/>
      <c r="R194" s="178"/>
      <c r="S194" s="177"/>
      <c r="T194" s="178">
        <v>0.18</v>
      </c>
      <c r="U194" s="178">
        <v>0.18</v>
      </c>
      <c r="V194" s="178">
        <v>0.21</v>
      </c>
      <c r="W194" s="177">
        <v>0.24</v>
      </c>
      <c r="X194" s="178">
        <v>0.23</v>
      </c>
      <c r="Y194" s="178">
        <v>0.2</v>
      </c>
      <c r="Z194" s="178">
        <v>0.24</v>
      </c>
      <c r="AA194" s="177">
        <v>0.28000000000000003</v>
      </c>
      <c r="AB194" s="178">
        <v>0.3</v>
      </c>
      <c r="AC194" s="178">
        <v>0.3</v>
      </c>
      <c r="AD194" s="178">
        <v>0.35</v>
      </c>
      <c r="AE194" s="177">
        <v>0.36</v>
      </c>
      <c r="AF194" s="178">
        <v>0.3</v>
      </c>
      <c r="AG194" s="178">
        <v>0.25</v>
      </c>
      <c r="AH194" s="178">
        <v>0.26</v>
      </c>
      <c r="AI194" s="177">
        <v>0.25</v>
      </c>
      <c r="AJ194" s="178">
        <v>0.27</v>
      </c>
      <c r="AK194" s="178">
        <v>0.24</v>
      </c>
      <c r="AL194" s="178">
        <v>0.22</v>
      </c>
      <c r="AM194" s="177">
        <v>0.27</v>
      </c>
      <c r="AN194" s="178">
        <v>0.3</v>
      </c>
      <c r="AO194" s="178">
        <v>0.28999999999999998</v>
      </c>
      <c r="AP194" s="178">
        <v>0.22</v>
      </c>
      <c r="AQ194" s="177">
        <v>0.26</v>
      </c>
      <c r="AR194" s="178">
        <v>0.3</v>
      </c>
      <c r="AS194" s="178">
        <v>0.23</v>
      </c>
      <c r="BL194" s="36"/>
      <c r="BM194" s="83"/>
      <c r="BN194" s="83"/>
      <c r="BO194" s="83"/>
      <c r="BP194" s="83"/>
      <c r="BQ194" s="83"/>
      <c r="BR194" s="83"/>
      <c r="BS194" s="83"/>
      <c r="BT194" s="83"/>
      <c r="BU194" s="117"/>
      <c r="BV194" s="83"/>
      <c r="CB194" s="18"/>
      <c r="CC194" s="18"/>
      <c r="CD194" s="18"/>
      <c r="CE194" s="18"/>
      <c r="CF194" s="18"/>
      <c r="CG194" s="18"/>
      <c r="CH194" s="18"/>
      <c r="CI194" s="83"/>
      <c r="CJ194" s="83"/>
      <c r="CK194" s="83"/>
      <c r="CL194" s="83"/>
      <c r="CM194" s="83"/>
      <c r="CN194" s="83"/>
      <c r="CO194" s="83"/>
      <c r="CP194" s="83"/>
      <c r="CQ194" s="83"/>
      <c r="CR194" s="83"/>
      <c r="CS194" s="117"/>
    </row>
    <row r="195" spans="1:97" ht="14.25" hidden="1" customHeight="1" outlineLevel="2">
      <c r="A195" s="18"/>
      <c r="B195" s="144" t="s">
        <v>190</v>
      </c>
      <c r="C195" s="79"/>
      <c r="D195" s="80"/>
      <c r="E195" s="80"/>
      <c r="F195" s="80"/>
      <c r="G195" s="41"/>
      <c r="H195" s="147"/>
      <c r="I195" s="147"/>
      <c r="J195" s="147"/>
      <c r="K195" s="148"/>
      <c r="L195" s="147"/>
      <c r="M195" s="147"/>
      <c r="N195" s="147"/>
      <c r="O195" s="177"/>
      <c r="P195" s="178"/>
      <c r="Q195" s="178"/>
      <c r="R195" s="178"/>
      <c r="S195" s="177"/>
      <c r="T195" s="178">
        <v>0.21</v>
      </c>
      <c r="U195" s="178">
        <v>0.2</v>
      </c>
      <c r="V195" s="178">
        <v>0.2</v>
      </c>
      <c r="W195" s="177">
        <v>0.16</v>
      </c>
      <c r="X195" s="178">
        <v>0.14000000000000001</v>
      </c>
      <c r="Y195" s="178">
        <v>0.15</v>
      </c>
      <c r="Z195" s="178">
        <v>0.18</v>
      </c>
      <c r="AA195" s="177">
        <v>0.14000000000000001</v>
      </c>
      <c r="AB195" s="178">
        <v>0.12</v>
      </c>
      <c r="AC195" s="178">
        <v>0.12</v>
      </c>
      <c r="AD195" s="178">
        <v>0.12</v>
      </c>
      <c r="AE195" s="177">
        <v>0.13</v>
      </c>
      <c r="AF195" s="178">
        <v>0.12</v>
      </c>
      <c r="AG195" s="178">
        <v>0.14000000000000001</v>
      </c>
      <c r="AH195" s="178">
        <v>0.18</v>
      </c>
      <c r="AI195" s="177">
        <v>0.15</v>
      </c>
      <c r="AJ195" s="178">
        <v>0.12</v>
      </c>
      <c r="AK195" s="178">
        <v>0.17</v>
      </c>
      <c r="AL195" s="178">
        <v>0.22</v>
      </c>
      <c r="AM195" s="177">
        <v>0.2</v>
      </c>
      <c r="AN195" s="178">
        <v>0.15</v>
      </c>
      <c r="AO195" s="178">
        <v>0.13</v>
      </c>
      <c r="AP195" s="178">
        <v>0.17</v>
      </c>
      <c r="AQ195" s="177">
        <v>0.16</v>
      </c>
      <c r="AR195" s="178">
        <v>0.16</v>
      </c>
      <c r="AS195" s="178">
        <v>0.25</v>
      </c>
      <c r="BL195" s="36"/>
      <c r="BM195" s="83"/>
      <c r="BN195" s="83"/>
      <c r="BO195" s="83"/>
      <c r="BP195" s="83"/>
      <c r="BQ195" s="83"/>
      <c r="BR195" s="83"/>
      <c r="BS195" s="83"/>
      <c r="BT195" s="83"/>
      <c r="BU195" s="117"/>
      <c r="BV195" s="83"/>
      <c r="CB195" s="18"/>
      <c r="CC195" s="18"/>
      <c r="CD195" s="18"/>
      <c r="CE195" s="18"/>
      <c r="CF195" s="18"/>
      <c r="CG195" s="18"/>
      <c r="CH195" s="18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117"/>
    </row>
    <row r="196" spans="1:97" ht="14.25" hidden="1" customHeight="1" outlineLevel="2">
      <c r="A196" s="18"/>
      <c r="B196" s="144" t="s">
        <v>191</v>
      </c>
      <c r="C196" s="79"/>
      <c r="D196" s="80"/>
      <c r="E196" s="80"/>
      <c r="F196" s="80"/>
      <c r="G196" s="41"/>
      <c r="H196" s="147"/>
      <c r="I196" s="147"/>
      <c r="J196" s="147"/>
      <c r="K196" s="148"/>
      <c r="L196" s="147"/>
      <c r="M196" s="147"/>
      <c r="N196" s="147"/>
      <c r="O196" s="177"/>
      <c r="P196" s="178"/>
      <c r="Q196" s="178"/>
      <c r="R196" s="178"/>
      <c r="S196" s="177"/>
      <c r="T196" s="178">
        <v>0.34</v>
      </c>
      <c r="U196" s="178">
        <v>0.35</v>
      </c>
      <c r="V196" s="178">
        <v>0.3</v>
      </c>
      <c r="W196" s="177">
        <v>0.26</v>
      </c>
      <c r="X196" s="178">
        <v>0.28999999999999998</v>
      </c>
      <c r="Y196" s="178">
        <v>0.28000000000000003</v>
      </c>
      <c r="Z196" s="178">
        <v>0.24</v>
      </c>
      <c r="AA196" s="177">
        <v>0.2</v>
      </c>
      <c r="AB196" s="178">
        <v>0.1</v>
      </c>
      <c r="AC196" s="178">
        <v>7.0000000000000007E-2</v>
      </c>
      <c r="AD196" s="178">
        <v>0.06</v>
      </c>
      <c r="AE196" s="177">
        <v>7.0000000000000007E-2</v>
      </c>
      <c r="AF196" s="178">
        <v>7.0000000000000007E-2</v>
      </c>
      <c r="AG196" s="178">
        <v>0.06</v>
      </c>
      <c r="AH196" s="178">
        <v>0.05</v>
      </c>
      <c r="AI196" s="177">
        <v>0.05</v>
      </c>
      <c r="AJ196" s="178">
        <v>0.05</v>
      </c>
      <c r="AK196" s="178">
        <v>0.06</v>
      </c>
      <c r="AL196" s="178">
        <v>0.05</v>
      </c>
      <c r="AM196" s="177">
        <v>0.05</v>
      </c>
      <c r="AN196" s="178">
        <v>0.06</v>
      </c>
      <c r="AO196" s="178">
        <v>5.0000000000000044E-2</v>
      </c>
      <c r="AP196" s="178">
        <v>0.04</v>
      </c>
      <c r="AQ196" s="177">
        <v>0.03</v>
      </c>
      <c r="AR196" s="178">
        <v>0.03</v>
      </c>
      <c r="AS196" s="178">
        <v>0.03</v>
      </c>
      <c r="BL196" s="36"/>
      <c r="BM196" s="83"/>
      <c r="BN196" s="83"/>
      <c r="BO196" s="83"/>
      <c r="BP196" s="83"/>
      <c r="BQ196" s="83"/>
      <c r="BR196" s="83"/>
      <c r="BS196" s="83"/>
      <c r="BT196" s="83"/>
      <c r="BU196" s="117"/>
      <c r="BV196" s="83"/>
      <c r="CB196" s="18"/>
      <c r="CC196" s="18"/>
      <c r="CD196" s="18"/>
      <c r="CE196" s="18"/>
      <c r="CF196" s="18"/>
      <c r="CG196" s="18"/>
      <c r="CH196" s="18"/>
      <c r="CI196" s="83"/>
      <c r="CJ196" s="83"/>
      <c r="CK196" s="83"/>
      <c r="CL196" s="83"/>
      <c r="CM196" s="83"/>
      <c r="CN196" s="83"/>
      <c r="CO196" s="83"/>
      <c r="CP196" s="83"/>
      <c r="CQ196" s="83"/>
      <c r="CR196" s="83"/>
      <c r="CS196" s="117"/>
    </row>
    <row r="197" spans="1:97" ht="14.25" hidden="1" customHeight="1" outlineLevel="2">
      <c r="A197" s="18"/>
      <c r="B197" s="9" t="s">
        <v>420</v>
      </c>
      <c r="C197" s="79"/>
      <c r="D197" s="80"/>
      <c r="E197" s="80"/>
      <c r="F197" s="80"/>
      <c r="G197" s="41"/>
      <c r="H197" s="80"/>
      <c r="I197" s="80"/>
      <c r="J197" s="80"/>
      <c r="K197" s="41"/>
      <c r="L197" s="639">
        <f>L189+L182+L175+L156</f>
        <v>2500</v>
      </c>
      <c r="M197" s="639">
        <f t="shared" ref="M197:AQ197" si="392">M189+M182+M175+M156</f>
        <v>2413</v>
      </c>
      <c r="N197" s="639">
        <f t="shared" si="392"/>
        <v>2030</v>
      </c>
      <c r="O197" s="640">
        <f t="shared" si="392"/>
        <v>2213</v>
      </c>
      <c r="P197" s="639">
        <f t="shared" si="392"/>
        <v>1195</v>
      </c>
      <c r="Q197" s="639">
        <f t="shared" si="392"/>
        <v>649</v>
      </c>
      <c r="R197" s="639">
        <f t="shared" si="392"/>
        <v>1071</v>
      </c>
      <c r="S197" s="640">
        <f t="shared" si="392"/>
        <v>1472</v>
      </c>
      <c r="T197" s="639">
        <f t="shared" si="392"/>
        <v>1965</v>
      </c>
      <c r="U197" s="639">
        <f t="shared" si="392"/>
        <v>2533</v>
      </c>
      <c r="V197" s="639">
        <f t="shared" si="392"/>
        <v>2725</v>
      </c>
      <c r="W197" s="640">
        <f t="shared" si="392"/>
        <v>3025</v>
      </c>
      <c r="X197" s="639">
        <f t="shared" si="392"/>
        <v>2972</v>
      </c>
      <c r="Y197" s="639">
        <f t="shared" si="392"/>
        <v>3185</v>
      </c>
      <c r="Z197" s="639">
        <f t="shared" si="392"/>
        <v>2390</v>
      </c>
      <c r="AA197" s="640">
        <f t="shared" si="392"/>
        <v>2278</v>
      </c>
      <c r="AB197" s="639">
        <f t="shared" si="392"/>
        <v>2008</v>
      </c>
      <c r="AC197" s="639">
        <f t="shared" si="392"/>
        <v>2765</v>
      </c>
      <c r="AD197" s="639">
        <f t="shared" si="392"/>
        <v>1799</v>
      </c>
      <c r="AE197" s="640">
        <f t="shared" si="392"/>
        <v>1465</v>
      </c>
      <c r="AF197" s="639">
        <f t="shared" si="392"/>
        <v>2110</v>
      </c>
      <c r="AG197" s="639">
        <f t="shared" si="392"/>
        <v>2266</v>
      </c>
      <c r="AH197" s="639">
        <f t="shared" si="392"/>
        <v>1995</v>
      </c>
      <c r="AI197" s="640">
        <f t="shared" si="392"/>
        <v>2092</v>
      </c>
      <c r="AJ197" s="639">
        <f t="shared" si="392"/>
        <v>2286</v>
      </c>
      <c r="AK197" s="639">
        <f t="shared" si="392"/>
        <v>2625</v>
      </c>
      <c r="AL197" s="639">
        <f t="shared" si="392"/>
        <v>2484</v>
      </c>
      <c r="AM197" s="640">
        <f t="shared" si="392"/>
        <v>2255</v>
      </c>
      <c r="AN197" s="639">
        <f t="shared" si="392"/>
        <v>2273</v>
      </c>
      <c r="AO197" s="639">
        <f t="shared" si="392"/>
        <v>2515</v>
      </c>
      <c r="AP197" s="639">
        <f t="shared" si="392"/>
        <v>2892</v>
      </c>
      <c r="AQ197" s="640">
        <f t="shared" si="392"/>
        <v>2424</v>
      </c>
      <c r="AR197" s="639">
        <f>AR189+AR182+AR175+AR156</f>
        <v>2275</v>
      </c>
      <c r="AS197" s="639">
        <f>AS189+AS182+AS175+AS156</f>
        <v>3451</v>
      </c>
      <c r="BL197" s="106"/>
      <c r="BM197" s="83"/>
      <c r="BN197" s="83"/>
      <c r="BO197" s="83"/>
      <c r="BP197" s="83"/>
      <c r="BQ197" s="83"/>
      <c r="BR197" s="83"/>
      <c r="BS197" s="83"/>
      <c r="BT197" s="83"/>
      <c r="BU197" s="117"/>
      <c r="BV197" s="83"/>
      <c r="CB197" s="18"/>
      <c r="CC197" s="18"/>
      <c r="CD197" s="18"/>
      <c r="CE197" s="18"/>
      <c r="CF197" s="18"/>
      <c r="CG197" s="18"/>
      <c r="CH197" s="18"/>
      <c r="CI197" s="83"/>
      <c r="CJ197" s="83"/>
      <c r="CK197" s="83"/>
      <c r="CL197" s="83"/>
      <c r="CM197" s="83"/>
      <c r="CN197" s="83"/>
      <c r="CO197" s="83"/>
      <c r="CP197" s="83"/>
      <c r="CQ197" s="83"/>
      <c r="CR197" s="83"/>
      <c r="CS197" s="117"/>
    </row>
    <row r="198" spans="1:97" ht="14.25" hidden="1" customHeight="1" outlineLevel="1">
      <c r="A198" s="18"/>
      <c r="B198" s="9"/>
      <c r="C198" s="79"/>
      <c r="D198" s="80"/>
      <c r="E198" s="80"/>
      <c r="F198" s="80"/>
      <c r="G198" s="41"/>
      <c r="H198" s="80"/>
      <c r="I198" s="80"/>
      <c r="J198" s="80"/>
      <c r="K198" s="41"/>
      <c r="L198" s="80"/>
      <c r="M198" s="80"/>
      <c r="N198" s="80"/>
      <c r="O198" s="41"/>
      <c r="P198" s="80"/>
      <c r="Q198" s="80"/>
      <c r="R198" s="80"/>
      <c r="S198" s="41"/>
      <c r="T198" s="80"/>
      <c r="U198" s="80"/>
      <c r="V198" s="80"/>
      <c r="W198" s="41"/>
      <c r="X198" s="80"/>
      <c r="Y198" s="80"/>
      <c r="Z198" s="80"/>
      <c r="AA198" s="41"/>
      <c r="AB198" s="80"/>
      <c r="AC198" s="80"/>
      <c r="AD198" s="80"/>
      <c r="AE198" s="41"/>
      <c r="AF198" s="80"/>
      <c r="AG198" s="80"/>
      <c r="AH198" s="80"/>
      <c r="AI198" s="41"/>
      <c r="AJ198" s="80"/>
      <c r="AK198" s="80"/>
      <c r="AL198" s="33"/>
      <c r="AM198" s="36"/>
      <c r="AN198" s="80"/>
      <c r="AO198" s="80"/>
      <c r="AP198" s="80"/>
      <c r="AQ198" s="36"/>
      <c r="AR198" s="80"/>
      <c r="AS198" s="80"/>
      <c r="BL198" s="106"/>
      <c r="BM198" s="37"/>
      <c r="BN198" s="37"/>
      <c r="BO198" s="37"/>
      <c r="BP198" s="37"/>
      <c r="BQ198" s="37"/>
      <c r="BR198" s="37"/>
      <c r="BS198" s="37"/>
      <c r="BT198" s="37"/>
      <c r="BU198" s="118"/>
      <c r="BV198" s="37"/>
      <c r="CB198" s="18"/>
      <c r="CC198" s="18"/>
      <c r="CD198" s="18"/>
      <c r="CE198" s="18"/>
      <c r="CF198" s="18"/>
      <c r="CG198" s="18"/>
      <c r="CH198" s="23"/>
      <c r="CI198" s="37"/>
      <c r="CJ198" s="37"/>
      <c r="CK198" s="37"/>
      <c r="CL198" s="37"/>
      <c r="CM198" s="37"/>
      <c r="CN198" s="37"/>
      <c r="CO198" s="37"/>
      <c r="CP198" s="118"/>
      <c r="CQ198" s="37"/>
      <c r="CR198" s="37"/>
      <c r="CS198" s="118"/>
    </row>
    <row r="199" spans="1:97" ht="14.25" hidden="1" customHeight="1" outlineLevel="1">
      <c r="A199" s="18"/>
      <c r="B199" s="9" t="s">
        <v>192</v>
      </c>
      <c r="C199" s="26"/>
      <c r="D199" s="38"/>
      <c r="E199" s="38"/>
      <c r="F199" s="38"/>
      <c r="G199" s="39"/>
      <c r="H199" s="38">
        <f t="shared" ref="H199:P199" si="393">SUM(H151,H171,H178,H185)</f>
        <v>2277.2669999999998</v>
      </c>
      <c r="I199" s="38">
        <f t="shared" si="393"/>
        <v>2529.5609999999997</v>
      </c>
      <c r="J199" s="38">
        <f t="shared" si="393"/>
        <v>2560.9839999999999</v>
      </c>
      <c r="K199" s="39">
        <f t="shared" si="393"/>
        <v>2367.0440000000003</v>
      </c>
      <c r="L199" s="38">
        <f t="shared" si="393"/>
        <v>2087.3969999999999</v>
      </c>
      <c r="M199" s="38">
        <f t="shared" si="393"/>
        <v>2149.9979999999996</v>
      </c>
      <c r="N199" s="38">
        <f t="shared" si="393"/>
        <v>1848.1680000000001</v>
      </c>
      <c r="O199" s="39">
        <f t="shared" si="393"/>
        <v>2043.6770000000001</v>
      </c>
      <c r="P199" s="38">
        <f t="shared" si="393"/>
        <v>1333.396</v>
      </c>
      <c r="Q199" s="38">
        <f t="shared" ref="Q199:AQ199" si="394">SUM(Q151,Q171,Q178,Q185)</f>
        <v>1020.077</v>
      </c>
      <c r="R199" s="38">
        <f t="shared" si="394"/>
        <v>1133.74</v>
      </c>
      <c r="S199" s="39">
        <f t="shared" si="394"/>
        <v>1526.7869999999998</v>
      </c>
      <c r="T199" s="38">
        <f t="shared" si="394"/>
        <v>1848.9019999999998</v>
      </c>
      <c r="U199" s="38">
        <f t="shared" si="394"/>
        <v>2295.54</v>
      </c>
      <c r="V199" s="38">
        <f t="shared" si="394"/>
        <v>2517.79</v>
      </c>
      <c r="W199" s="39">
        <f t="shared" si="394"/>
        <v>2886.768</v>
      </c>
      <c r="X199" s="38">
        <f t="shared" si="394"/>
        <v>2686</v>
      </c>
      <c r="Y199" s="38">
        <f t="shared" si="394"/>
        <v>2862</v>
      </c>
      <c r="Z199" s="38">
        <f t="shared" si="394"/>
        <v>2787</v>
      </c>
      <c r="AA199" s="39">
        <f t="shared" si="394"/>
        <v>2182</v>
      </c>
      <c r="AB199" s="38">
        <f t="shared" si="394"/>
        <v>2189</v>
      </c>
      <c r="AC199" s="38">
        <f t="shared" si="394"/>
        <v>2541</v>
      </c>
      <c r="AD199" s="38">
        <f t="shared" si="394"/>
        <v>2343</v>
      </c>
      <c r="AE199" s="39">
        <f t="shared" si="394"/>
        <v>1646</v>
      </c>
      <c r="AF199" s="38">
        <f t="shared" si="394"/>
        <v>1573</v>
      </c>
      <c r="AG199" s="38">
        <f t="shared" si="394"/>
        <v>1973</v>
      </c>
      <c r="AH199" s="38">
        <f t="shared" si="394"/>
        <v>1975</v>
      </c>
      <c r="AI199" s="39">
        <f t="shared" si="394"/>
        <v>1988</v>
      </c>
      <c r="AJ199" s="38">
        <f t="shared" si="394"/>
        <v>2190</v>
      </c>
      <c r="AK199" s="38">
        <f t="shared" si="394"/>
        <v>2353</v>
      </c>
      <c r="AL199" s="38">
        <f t="shared" si="394"/>
        <v>2265</v>
      </c>
      <c r="AM199" s="39">
        <f t="shared" si="394"/>
        <v>2264</v>
      </c>
      <c r="AN199" s="38">
        <f t="shared" si="394"/>
        <v>2359</v>
      </c>
      <c r="AO199" s="38">
        <f t="shared" si="394"/>
        <v>2442</v>
      </c>
      <c r="AP199" s="38">
        <f t="shared" si="394"/>
        <v>2490</v>
      </c>
      <c r="AQ199" s="39">
        <f t="shared" si="394"/>
        <v>2368</v>
      </c>
      <c r="AR199" s="38">
        <f>SUM(AR151,AR171,AR178,AR185)</f>
        <v>2257</v>
      </c>
      <c r="AS199" s="38">
        <f>SUM(AS151,AS171,AS178,AS185)</f>
        <v>2450</v>
      </c>
      <c r="BL199" s="107"/>
      <c r="BM199" s="40"/>
      <c r="BN199" s="40">
        <f t="shared" ref="BN199:BV199" si="395">SUM(BN151,BN171,BN178,BN185)</f>
        <v>9734.8560000000016</v>
      </c>
      <c r="BO199" s="40">
        <f t="shared" si="395"/>
        <v>8129.24</v>
      </c>
      <c r="BP199" s="40">
        <f t="shared" si="395"/>
        <v>5014</v>
      </c>
      <c r="BQ199" s="40">
        <f t="shared" si="395"/>
        <v>9549</v>
      </c>
      <c r="BR199" s="40">
        <f t="shared" si="395"/>
        <v>10517</v>
      </c>
      <c r="BS199" s="40">
        <f t="shared" si="395"/>
        <v>8719</v>
      </c>
      <c r="BT199" s="40">
        <f t="shared" si="395"/>
        <v>7509</v>
      </c>
      <c r="BU199" s="119">
        <f t="shared" si="395"/>
        <v>9072</v>
      </c>
      <c r="BV199" s="40">
        <f t="shared" si="395"/>
        <v>9659</v>
      </c>
      <c r="CB199" s="18"/>
      <c r="CC199" s="18"/>
      <c r="CD199" s="18"/>
      <c r="CE199" s="18"/>
      <c r="CF199" s="18"/>
      <c r="CG199" s="18"/>
      <c r="CH199" s="23"/>
      <c r="CI199" s="40"/>
      <c r="CJ199" s="40"/>
      <c r="CK199" s="34">
        <f>SUM(AC199:AF199)</f>
        <v>8103</v>
      </c>
      <c r="CL199" s="34">
        <f>SUM(AG199:AJ199)</f>
        <v>8126</v>
      </c>
      <c r="CM199" s="34">
        <f>SUM(AK199:AN199)</f>
        <v>9241</v>
      </c>
      <c r="CN199" s="34">
        <f>SUM(AO199:AR199)</f>
        <v>9557</v>
      </c>
      <c r="CO199" s="34">
        <f>SUM(AS199:AV199)</f>
        <v>2450</v>
      </c>
      <c r="CP199" s="34">
        <f>SUM(AW199:AY199)</f>
        <v>0</v>
      </c>
      <c r="CQ199" s="40"/>
      <c r="CR199" s="40"/>
      <c r="CS199" s="119"/>
    </row>
    <row r="200" spans="1:97" ht="14.25" hidden="1" customHeight="1" outlineLevel="1">
      <c r="A200" s="18"/>
      <c r="B200" s="9" t="s">
        <v>186</v>
      </c>
      <c r="C200" s="79"/>
      <c r="D200" s="80"/>
      <c r="E200" s="80"/>
      <c r="F200" s="80"/>
      <c r="G200" s="41"/>
      <c r="H200" s="80"/>
      <c r="I200" s="80">
        <f t="shared" ref="I200:AS200" si="396">I199/H199-1</f>
        <v>0.11078806305979927</v>
      </c>
      <c r="J200" s="80">
        <f t="shared" si="396"/>
        <v>1.24223135951258E-2</v>
      </c>
      <c r="K200" s="41">
        <f t="shared" si="396"/>
        <v>-7.5728704279292458E-2</v>
      </c>
      <c r="L200" s="80">
        <f t="shared" si="396"/>
        <v>-0.11814186808525751</v>
      </c>
      <c r="M200" s="80">
        <f t="shared" si="396"/>
        <v>2.9989982739268006E-2</v>
      </c>
      <c r="N200" s="80">
        <f t="shared" si="396"/>
        <v>-0.14038617710342038</v>
      </c>
      <c r="O200" s="41">
        <f t="shared" si="396"/>
        <v>0.10578529657477032</v>
      </c>
      <c r="P200" s="80">
        <f t="shared" si="396"/>
        <v>-0.34755051801238657</v>
      </c>
      <c r="Q200" s="80">
        <f t="shared" si="396"/>
        <v>-0.23497820602431685</v>
      </c>
      <c r="R200" s="80">
        <f t="shared" si="396"/>
        <v>0.11142590216228765</v>
      </c>
      <c r="S200" s="41">
        <f t="shared" si="396"/>
        <v>0.34668177889110363</v>
      </c>
      <c r="T200" s="80">
        <f t="shared" si="396"/>
        <v>0.21097572876897708</v>
      </c>
      <c r="U200" s="80">
        <f t="shared" si="396"/>
        <v>0.24156932060217362</v>
      </c>
      <c r="V200" s="80">
        <f t="shared" si="396"/>
        <v>9.6818177857933119E-2</v>
      </c>
      <c r="W200" s="41">
        <f t="shared" si="396"/>
        <v>0.14654836185702536</v>
      </c>
      <c r="X200" s="80">
        <f t="shared" si="396"/>
        <v>-6.9547674077030108E-2</v>
      </c>
      <c r="Y200" s="80">
        <f t="shared" si="396"/>
        <v>6.5524944154877085E-2</v>
      </c>
      <c r="Z200" s="80">
        <f t="shared" si="396"/>
        <v>-2.6205450733752578E-2</v>
      </c>
      <c r="AA200" s="41">
        <f t="shared" si="396"/>
        <v>-0.21707929673484028</v>
      </c>
      <c r="AB200" s="80">
        <f t="shared" si="396"/>
        <v>3.2080659945004086E-3</v>
      </c>
      <c r="AC200" s="80">
        <f t="shared" si="396"/>
        <v>0.16080402010050254</v>
      </c>
      <c r="AD200" s="80">
        <f t="shared" si="396"/>
        <v>-7.7922077922077948E-2</v>
      </c>
      <c r="AE200" s="41">
        <f t="shared" si="396"/>
        <v>-0.29748186086214257</v>
      </c>
      <c r="AF200" s="80">
        <f t="shared" si="396"/>
        <v>-4.4349939246658532E-2</v>
      </c>
      <c r="AG200" s="80">
        <f t="shared" si="396"/>
        <v>0.25429116338207258</v>
      </c>
      <c r="AH200" s="80">
        <f t="shared" si="396"/>
        <v>1.0136847440445074E-3</v>
      </c>
      <c r="AI200" s="41">
        <f t="shared" si="396"/>
        <v>6.5822784810125601E-3</v>
      </c>
      <c r="AJ200" s="80">
        <f t="shared" si="396"/>
        <v>0.10160965794768617</v>
      </c>
      <c r="AK200" s="80">
        <f t="shared" si="396"/>
        <v>7.4429223744292283E-2</v>
      </c>
      <c r="AL200" s="86">
        <f t="shared" si="396"/>
        <v>-3.7399065023374423E-2</v>
      </c>
      <c r="AM200" s="85">
        <f t="shared" si="396"/>
        <v>-4.4150110375273943E-4</v>
      </c>
      <c r="AN200" s="80">
        <f t="shared" si="396"/>
        <v>4.1961130742049546E-2</v>
      </c>
      <c r="AO200" s="80">
        <f t="shared" si="396"/>
        <v>3.5184400169563368E-2</v>
      </c>
      <c r="AP200" s="80">
        <f t="shared" si="396"/>
        <v>1.9656019656019597E-2</v>
      </c>
      <c r="AQ200" s="85">
        <f t="shared" si="396"/>
        <v>-4.8995983935743004E-2</v>
      </c>
      <c r="AR200" s="80">
        <f t="shared" si="396"/>
        <v>-4.6875E-2</v>
      </c>
      <c r="AS200" s="80">
        <f t="shared" si="396"/>
        <v>8.551174124944616E-2</v>
      </c>
      <c r="BL200" s="106"/>
      <c r="BM200" s="81"/>
      <c r="BN200" s="81"/>
      <c r="BO200" s="81"/>
      <c r="BP200" s="81"/>
      <c r="BQ200" s="81"/>
      <c r="BR200" s="81"/>
      <c r="BS200" s="81"/>
      <c r="BT200" s="81"/>
      <c r="BU200" s="115"/>
      <c r="BV200" s="81"/>
      <c r="CB200" s="18"/>
      <c r="CC200" s="18"/>
      <c r="CD200" s="18"/>
      <c r="CE200" s="18"/>
      <c r="CF200" s="18"/>
      <c r="CG200" s="18"/>
      <c r="CH200" s="23"/>
      <c r="CI200" s="81"/>
      <c r="CJ200" s="81"/>
      <c r="CK200" s="81"/>
      <c r="CL200" s="81"/>
      <c r="CM200" s="81"/>
      <c r="CN200" s="81"/>
      <c r="CO200" s="81"/>
      <c r="CP200" s="115"/>
      <c r="CQ200" s="81"/>
      <c r="CR200" s="81"/>
      <c r="CS200" s="115"/>
    </row>
    <row r="201" spans="1:97" ht="14.25" hidden="1" customHeight="1" outlineLevel="3">
      <c r="A201" s="18"/>
      <c r="B201" s="9" t="s">
        <v>187</v>
      </c>
      <c r="C201" s="82"/>
      <c r="D201" s="80"/>
      <c r="E201" s="80"/>
      <c r="F201" s="80"/>
      <c r="G201" s="41"/>
      <c r="H201" s="80"/>
      <c r="I201" s="80"/>
      <c r="J201" s="80"/>
      <c r="K201" s="41"/>
      <c r="L201" s="80">
        <f t="shared" ref="L201:AS201" si="397">L199/H199-1</f>
        <v>-8.3376257592983172E-2</v>
      </c>
      <c r="M201" s="80">
        <f t="shared" si="397"/>
        <v>-0.15005093769235067</v>
      </c>
      <c r="N201" s="80">
        <f t="shared" si="397"/>
        <v>-0.27833676430621968</v>
      </c>
      <c r="O201" s="41">
        <f t="shared" si="397"/>
        <v>-0.13661216268054166</v>
      </c>
      <c r="P201" s="80">
        <f t="shared" si="397"/>
        <v>-0.36121590670102521</v>
      </c>
      <c r="Q201" s="80">
        <f t="shared" si="397"/>
        <v>-0.5255451400419906</v>
      </c>
      <c r="R201" s="80">
        <f t="shared" si="397"/>
        <v>-0.38656009626830468</v>
      </c>
      <c r="S201" s="41">
        <f t="shared" si="397"/>
        <v>-0.25292157224453782</v>
      </c>
      <c r="T201" s="80">
        <f t="shared" si="397"/>
        <v>0.3866113292675244</v>
      </c>
      <c r="U201" s="80">
        <f t="shared" si="397"/>
        <v>1.2503595316824123</v>
      </c>
      <c r="V201" s="80">
        <f t="shared" si="397"/>
        <v>1.2207825427346659</v>
      </c>
      <c r="W201" s="41">
        <f t="shared" si="397"/>
        <v>0.89074703937091448</v>
      </c>
      <c r="X201" s="80">
        <f t="shared" si="397"/>
        <v>0.45275412109457402</v>
      </c>
      <c r="Y201" s="80">
        <f t="shared" si="397"/>
        <v>0.24676546694895318</v>
      </c>
      <c r="Z201" s="80">
        <f t="shared" si="397"/>
        <v>0.10692313497154249</v>
      </c>
      <c r="AA201" s="41">
        <f t="shared" si="397"/>
        <v>-0.24413738824872666</v>
      </c>
      <c r="AB201" s="80">
        <f t="shared" si="397"/>
        <v>-0.18503350707371558</v>
      </c>
      <c r="AC201" s="80">
        <f t="shared" si="397"/>
        <v>-0.11215932914046123</v>
      </c>
      <c r="AD201" s="80">
        <f t="shared" si="397"/>
        <v>-0.15931108719052745</v>
      </c>
      <c r="AE201" s="41">
        <f t="shared" si="397"/>
        <v>-0.24564619615032079</v>
      </c>
      <c r="AF201" s="80">
        <f t="shared" si="397"/>
        <v>-0.28140703517587939</v>
      </c>
      <c r="AG201" s="80">
        <f t="shared" si="397"/>
        <v>-0.22353404171585989</v>
      </c>
      <c r="AH201" s="80">
        <f t="shared" si="397"/>
        <v>-0.15706359368331202</v>
      </c>
      <c r="AI201" s="41">
        <f t="shared" si="397"/>
        <v>0.20777642770352367</v>
      </c>
      <c r="AJ201" s="80">
        <f t="shared" si="397"/>
        <v>0.39224411951684668</v>
      </c>
      <c r="AK201" s="80">
        <f t="shared" si="397"/>
        <v>0.19260010136847439</v>
      </c>
      <c r="AL201" s="80">
        <f t="shared" si="397"/>
        <v>0.14683544303797458</v>
      </c>
      <c r="AM201" s="41">
        <f t="shared" si="397"/>
        <v>0.13883299798792748</v>
      </c>
      <c r="AN201" s="80">
        <f t="shared" si="397"/>
        <v>7.7168949771689421E-2</v>
      </c>
      <c r="AO201" s="80">
        <f t="shared" si="397"/>
        <v>3.7824054398640117E-2</v>
      </c>
      <c r="AP201" s="80">
        <f t="shared" si="397"/>
        <v>9.9337748344370924E-2</v>
      </c>
      <c r="AQ201" s="41">
        <f t="shared" si="397"/>
        <v>4.5936395759717419E-2</v>
      </c>
      <c r="AR201" s="80">
        <f t="shared" si="397"/>
        <v>-4.3238660449342992E-2</v>
      </c>
      <c r="AS201" s="80">
        <f t="shared" si="397"/>
        <v>3.2760032760033031E-3</v>
      </c>
      <c r="BL201" s="106"/>
      <c r="BM201" s="80"/>
      <c r="BN201" s="80"/>
      <c r="BO201" s="80">
        <f t="shared" ref="BO201:BV201" si="398">BO199/BN199-1</f>
        <v>-0.16493474582469447</v>
      </c>
      <c r="BP201" s="80">
        <f t="shared" si="398"/>
        <v>-0.38321417500282928</v>
      </c>
      <c r="BQ201" s="80">
        <f t="shared" si="398"/>
        <v>0.90446749102512958</v>
      </c>
      <c r="BR201" s="80">
        <f t="shared" si="398"/>
        <v>0.10137187140014658</v>
      </c>
      <c r="BS201" s="80">
        <f t="shared" si="398"/>
        <v>-0.17096130075116478</v>
      </c>
      <c r="BT201" s="80">
        <f t="shared" si="398"/>
        <v>-0.13877738272737694</v>
      </c>
      <c r="BU201" s="41">
        <f t="shared" si="398"/>
        <v>0.20815021973631631</v>
      </c>
      <c r="BV201" s="80">
        <f t="shared" si="398"/>
        <v>6.4704585537918913E-2</v>
      </c>
      <c r="CB201" s="18"/>
      <c r="CC201" s="18"/>
      <c r="CD201" s="18"/>
      <c r="CE201" s="18"/>
      <c r="CF201" s="18"/>
      <c r="CG201" s="18"/>
      <c r="CH201" s="23"/>
      <c r="CI201" s="80"/>
      <c r="CJ201" s="80"/>
      <c r="CK201" s="80"/>
      <c r="CL201" s="80"/>
      <c r="CM201" s="80"/>
      <c r="CN201" s="80"/>
      <c r="CO201" s="80"/>
      <c r="CP201" s="41"/>
      <c r="CQ201" s="80"/>
      <c r="CR201" s="80"/>
      <c r="CS201" s="41"/>
    </row>
    <row r="202" spans="1:97" ht="14.25" hidden="1" customHeight="1" outlineLevel="2">
      <c r="A202" s="18"/>
      <c r="B202" s="9"/>
      <c r="C202" s="18"/>
      <c r="D202" s="80"/>
      <c r="E202" s="80"/>
      <c r="F202" s="80"/>
      <c r="G202" s="41"/>
      <c r="H202" s="80"/>
      <c r="I202" s="80"/>
      <c r="J202" s="80"/>
      <c r="K202" s="41"/>
      <c r="L202" s="80"/>
      <c r="M202" s="80"/>
      <c r="N202" s="80"/>
      <c r="O202" s="41"/>
      <c r="P202" s="80"/>
      <c r="Q202" s="80"/>
      <c r="R202" s="80"/>
      <c r="S202" s="41"/>
      <c r="T202" s="80"/>
      <c r="U202" s="80"/>
      <c r="V202" s="80"/>
      <c r="W202" s="41"/>
      <c r="X202" s="80"/>
      <c r="Y202" s="80"/>
      <c r="Z202" s="80"/>
      <c r="AA202" s="41"/>
      <c r="AB202" s="80"/>
      <c r="AC202" s="80"/>
      <c r="AD202" s="80"/>
      <c r="AE202" s="41"/>
      <c r="AF202" s="80"/>
      <c r="AG202" s="80"/>
      <c r="AH202" s="80"/>
      <c r="AI202" s="41"/>
      <c r="AJ202" s="80"/>
      <c r="AK202" s="80"/>
      <c r="AL202" s="80"/>
      <c r="AM202" s="41"/>
      <c r="AN202" s="80"/>
      <c r="AO202" s="80"/>
      <c r="AP202" s="80"/>
      <c r="AQ202" s="41"/>
      <c r="AR202" s="80"/>
      <c r="AS202" s="80"/>
      <c r="BL202" s="106"/>
      <c r="BM202" s="33"/>
      <c r="BN202" s="33"/>
      <c r="BO202" s="33"/>
      <c r="BP202" s="33"/>
      <c r="BQ202" s="80"/>
      <c r="BR202" s="80"/>
      <c r="BS202" s="80"/>
      <c r="BT202" s="80"/>
      <c r="BU202" s="41"/>
      <c r="BV202" s="80"/>
      <c r="CB202" s="18"/>
      <c r="CC202" s="18"/>
      <c r="CD202" s="18"/>
      <c r="CE202" s="18"/>
      <c r="CF202" s="18"/>
      <c r="CG202" s="18"/>
      <c r="CH202" s="23"/>
      <c r="CI202" s="33"/>
      <c r="CJ202" s="80"/>
      <c r="CK202" s="80"/>
      <c r="CL202" s="80"/>
      <c r="CM202" s="80"/>
      <c r="CN202" s="80"/>
      <c r="CO202" s="80"/>
      <c r="CP202" s="41"/>
      <c r="CQ202" s="80"/>
      <c r="CR202" s="80"/>
      <c r="CS202" s="41"/>
    </row>
    <row r="203" spans="1:97" ht="14.25" hidden="1" customHeight="1" outlineLevel="2">
      <c r="A203" s="18"/>
      <c r="B203" s="9" t="s">
        <v>193</v>
      </c>
      <c r="C203" s="26"/>
      <c r="D203" s="4">
        <f>IS!D187</f>
        <v>0</v>
      </c>
      <c r="E203" s="4">
        <f>IS!E187</f>
        <v>0</v>
      </c>
      <c r="F203" s="4">
        <f>IS!F187</f>
        <v>0</v>
      </c>
      <c r="G203" s="5">
        <f>IS!G187</f>
        <v>0</v>
      </c>
      <c r="H203" s="4">
        <f>IS!H187</f>
        <v>0</v>
      </c>
      <c r="I203" s="4">
        <f>IS!I187</f>
        <v>0</v>
      </c>
      <c r="J203" s="4">
        <f>IS!J187</f>
        <v>0</v>
      </c>
      <c r="K203" s="5">
        <f>IS!K187</f>
        <v>0</v>
      </c>
      <c r="L203" s="4">
        <f>IS!L187</f>
        <v>0</v>
      </c>
      <c r="M203" s="4">
        <f>IS!M187</f>
        <v>0</v>
      </c>
      <c r="N203" s="4">
        <f>IS!N187</f>
        <v>0</v>
      </c>
      <c r="O203" s="5">
        <f>IS!O187</f>
        <v>0</v>
      </c>
      <c r="P203" s="4">
        <f>IS!P187</f>
        <v>0</v>
      </c>
      <c r="Q203" s="4">
        <f>IS!Q187</f>
        <v>0</v>
      </c>
      <c r="R203" s="4">
        <f>IS!R187</f>
        <v>0</v>
      </c>
      <c r="S203" s="5">
        <f>IS!S187</f>
        <v>0</v>
      </c>
      <c r="T203" s="4">
        <f>IS!T187</f>
        <v>0</v>
      </c>
      <c r="U203" s="4">
        <f>IS!U187</f>
        <v>0</v>
      </c>
      <c r="V203" s="4">
        <f>IS!V187</f>
        <v>0</v>
      </c>
      <c r="W203" s="5">
        <f>IS!W187</f>
        <v>0</v>
      </c>
      <c r="X203" s="4">
        <f>IS!X187</f>
        <v>0</v>
      </c>
      <c r="Y203" s="4">
        <f>IS!Y187</f>
        <v>0</v>
      </c>
      <c r="Z203" s="4">
        <f>IS!Z187</f>
        <v>0</v>
      </c>
      <c r="AA203" s="5">
        <f>IS!AA187</f>
        <v>0</v>
      </c>
      <c r="AB203" s="4">
        <f>IS!AB187</f>
        <v>0</v>
      </c>
      <c r="AC203" s="4">
        <f>IS!AC187</f>
        <v>0</v>
      </c>
      <c r="AD203" s="4">
        <f>IS!AD187</f>
        <v>0</v>
      </c>
      <c r="AE203" s="5">
        <f>IS!AE187</f>
        <v>0</v>
      </c>
      <c r="AF203" s="4">
        <f>IS!AF187</f>
        <v>0</v>
      </c>
      <c r="AG203" s="4">
        <f>IS!AG187</f>
        <v>0</v>
      </c>
      <c r="AH203" s="4">
        <f>IS!AH187</f>
        <v>0</v>
      </c>
      <c r="AI203" s="5">
        <f>IS!AI187</f>
        <v>0</v>
      </c>
      <c r="AJ203" s="4">
        <f>IS!AJ187</f>
        <v>0</v>
      </c>
      <c r="AK203" s="4">
        <f>IS!AK187</f>
        <v>0</v>
      </c>
      <c r="AL203" s="4">
        <f>IS!AL187</f>
        <v>0</v>
      </c>
      <c r="AM203" s="5">
        <f>IS!AM187</f>
        <v>0</v>
      </c>
      <c r="AN203" s="4">
        <f>IS!AN187</f>
        <v>0</v>
      </c>
      <c r="AO203" s="4">
        <f>IS!AO187</f>
        <v>0</v>
      </c>
      <c r="AP203" s="4">
        <f>IS!AP187</f>
        <v>0</v>
      </c>
      <c r="AQ203" s="5">
        <f>IS!AQ187</f>
        <v>0</v>
      </c>
      <c r="AR203" s="4">
        <f>IS!AR187</f>
        <v>0</v>
      </c>
      <c r="AS203" s="4">
        <f>IS!AS187</f>
        <v>0</v>
      </c>
      <c r="BL203" s="108"/>
      <c r="BM203" s="38"/>
      <c r="BN203" s="4">
        <f>IS!BN187</f>
        <v>0</v>
      </c>
      <c r="BO203" s="4">
        <f>IS!BO187</f>
        <v>0</v>
      </c>
      <c r="BP203" s="4">
        <f>IS!BP187</f>
        <v>0</v>
      </c>
      <c r="BQ203" s="4">
        <f>IS!BQ187</f>
        <v>0</v>
      </c>
      <c r="BR203" s="4">
        <f>IS!BR187</f>
        <v>0</v>
      </c>
      <c r="BS203" s="4">
        <f>IS!BS187</f>
        <v>0</v>
      </c>
      <c r="BT203" s="4">
        <f>IS!BT187</f>
        <v>0</v>
      </c>
      <c r="BU203" s="5">
        <f>IS!BU187</f>
        <v>0</v>
      </c>
      <c r="BV203" s="4">
        <f>IS!BV187</f>
        <v>0</v>
      </c>
      <c r="CB203" s="18"/>
      <c r="CC203" s="18"/>
      <c r="CD203" s="18"/>
      <c r="CE203" s="18"/>
      <c r="CF203" s="18"/>
      <c r="CG203" s="18"/>
      <c r="CH203" s="23"/>
      <c r="CI203" s="38"/>
      <c r="CJ203" s="4"/>
      <c r="CK203" s="4"/>
      <c r="CL203" s="4"/>
      <c r="CM203" s="4"/>
      <c r="CN203" s="4"/>
      <c r="CO203" s="4"/>
      <c r="CP203" s="5"/>
      <c r="CQ203" s="4"/>
      <c r="CR203" s="4"/>
      <c r="CS203" s="5"/>
    </row>
    <row r="204" spans="1:97" ht="14.25" hidden="1" customHeight="1" outlineLevel="2">
      <c r="A204" s="18"/>
      <c r="B204" s="9"/>
      <c r="C204" s="18"/>
      <c r="D204" s="33"/>
      <c r="E204" s="33"/>
      <c r="F204" s="33"/>
      <c r="G204" s="36"/>
      <c r="H204" s="33"/>
      <c r="I204" s="33"/>
      <c r="J204" s="33"/>
      <c r="K204" s="36"/>
      <c r="L204" s="33"/>
      <c r="M204" s="33"/>
      <c r="N204" s="33"/>
      <c r="O204" s="36"/>
      <c r="P204" s="33"/>
      <c r="Q204" s="33"/>
      <c r="R204" s="33"/>
      <c r="S204" s="36"/>
      <c r="T204" s="33"/>
      <c r="U204" s="33"/>
      <c r="V204" s="33"/>
      <c r="W204" s="36"/>
      <c r="X204" s="33"/>
      <c r="Y204" s="33"/>
      <c r="Z204" s="33"/>
      <c r="AA204" s="36"/>
      <c r="AB204" s="33"/>
      <c r="AC204" s="33"/>
      <c r="AD204" s="33"/>
      <c r="AE204" s="36"/>
      <c r="AF204" s="33"/>
      <c r="AG204" s="33"/>
      <c r="AH204" s="33"/>
      <c r="AI204" s="36"/>
      <c r="AJ204" s="33"/>
      <c r="AK204" s="33"/>
      <c r="AL204" s="33"/>
      <c r="AM204" s="36"/>
      <c r="AN204" s="33"/>
      <c r="AO204" s="33"/>
      <c r="AP204" s="33"/>
      <c r="AQ204" s="36"/>
      <c r="AR204" s="33"/>
      <c r="AS204" s="33"/>
      <c r="BL204" s="106"/>
      <c r="BM204" s="33"/>
      <c r="BN204" s="33"/>
      <c r="BO204" s="33"/>
      <c r="BP204" s="33"/>
      <c r="BQ204" s="33"/>
      <c r="BR204" s="33"/>
      <c r="BS204" s="33"/>
      <c r="BT204" s="33"/>
      <c r="BU204" s="36"/>
      <c r="BV204" s="33"/>
      <c r="CH204" s="22"/>
      <c r="CI204" s="33"/>
      <c r="CJ204" s="33"/>
      <c r="CK204" s="33"/>
      <c r="CL204" s="33"/>
      <c r="CM204" s="33"/>
      <c r="CN204" s="33"/>
      <c r="CO204" s="33"/>
      <c r="CP204" s="36"/>
      <c r="CQ204" s="33"/>
      <c r="CR204" s="33"/>
      <c r="CS204" s="36"/>
    </row>
    <row r="205" spans="1:97" ht="14.25" hidden="1" customHeight="1" outlineLevel="2">
      <c r="A205" s="18"/>
      <c r="B205" s="9" t="s">
        <v>194</v>
      </c>
      <c r="C205" s="26"/>
      <c r="D205" s="42"/>
      <c r="E205" s="42"/>
      <c r="F205" s="42"/>
      <c r="G205" s="43"/>
      <c r="H205" s="42">
        <f t="shared" ref="H205:AS205" si="399">IF(ABS(H199-H203)&lt;1,"OK",H199-H203)</f>
        <v>2277.2669999999998</v>
      </c>
      <c r="I205" s="42">
        <f t="shared" si="399"/>
        <v>2529.5609999999997</v>
      </c>
      <c r="J205" s="42">
        <f t="shared" si="399"/>
        <v>2560.9839999999999</v>
      </c>
      <c r="K205" s="43">
        <f t="shared" si="399"/>
        <v>2367.0440000000003</v>
      </c>
      <c r="L205" s="42">
        <f t="shared" si="399"/>
        <v>2087.3969999999999</v>
      </c>
      <c r="M205" s="42">
        <f t="shared" si="399"/>
        <v>2149.9979999999996</v>
      </c>
      <c r="N205" s="42">
        <f t="shared" si="399"/>
        <v>1848.1680000000001</v>
      </c>
      <c r="O205" s="43">
        <f t="shared" si="399"/>
        <v>2043.6770000000001</v>
      </c>
      <c r="P205" s="42">
        <f t="shared" si="399"/>
        <v>1333.396</v>
      </c>
      <c r="Q205" s="42">
        <f t="shared" si="399"/>
        <v>1020.077</v>
      </c>
      <c r="R205" s="42">
        <f t="shared" si="399"/>
        <v>1133.74</v>
      </c>
      <c r="S205" s="43">
        <f t="shared" si="399"/>
        <v>1526.7869999999998</v>
      </c>
      <c r="T205" s="42">
        <f t="shared" si="399"/>
        <v>1848.9019999999998</v>
      </c>
      <c r="U205" s="42">
        <f t="shared" si="399"/>
        <v>2295.54</v>
      </c>
      <c r="V205" s="42">
        <f t="shared" si="399"/>
        <v>2517.79</v>
      </c>
      <c r="W205" s="43">
        <f t="shared" si="399"/>
        <v>2886.768</v>
      </c>
      <c r="X205" s="42">
        <f t="shared" si="399"/>
        <v>2686</v>
      </c>
      <c r="Y205" s="42">
        <f t="shared" si="399"/>
        <v>2862</v>
      </c>
      <c r="Z205" s="42">
        <f t="shared" si="399"/>
        <v>2787</v>
      </c>
      <c r="AA205" s="43">
        <f t="shared" si="399"/>
        <v>2182</v>
      </c>
      <c r="AB205" s="42">
        <f t="shared" si="399"/>
        <v>2189</v>
      </c>
      <c r="AC205" s="42">
        <f t="shared" si="399"/>
        <v>2541</v>
      </c>
      <c r="AD205" s="42">
        <f t="shared" si="399"/>
        <v>2343</v>
      </c>
      <c r="AE205" s="43">
        <f t="shared" si="399"/>
        <v>1646</v>
      </c>
      <c r="AF205" s="42">
        <f t="shared" si="399"/>
        <v>1573</v>
      </c>
      <c r="AG205" s="42">
        <f t="shared" si="399"/>
        <v>1973</v>
      </c>
      <c r="AH205" s="42">
        <f t="shared" si="399"/>
        <v>1975</v>
      </c>
      <c r="AI205" s="43">
        <f t="shared" si="399"/>
        <v>1988</v>
      </c>
      <c r="AJ205" s="42">
        <f t="shared" si="399"/>
        <v>2190</v>
      </c>
      <c r="AK205" s="42">
        <f t="shared" si="399"/>
        <v>2353</v>
      </c>
      <c r="AL205" s="42">
        <f t="shared" si="399"/>
        <v>2265</v>
      </c>
      <c r="AM205" s="43">
        <f t="shared" si="399"/>
        <v>2264</v>
      </c>
      <c r="AN205" s="42">
        <f t="shared" si="399"/>
        <v>2359</v>
      </c>
      <c r="AO205" s="42">
        <f t="shared" si="399"/>
        <v>2442</v>
      </c>
      <c r="AP205" s="42">
        <f t="shared" si="399"/>
        <v>2490</v>
      </c>
      <c r="AQ205" s="43">
        <f t="shared" si="399"/>
        <v>2368</v>
      </c>
      <c r="AR205" s="42">
        <f t="shared" si="399"/>
        <v>2257</v>
      </c>
      <c r="AS205" s="42">
        <f t="shared" si="399"/>
        <v>2450</v>
      </c>
      <c r="BL205" s="109"/>
      <c r="BM205" s="42"/>
      <c r="BN205" s="42">
        <f t="shared" ref="BN205:BV205" si="400">IF(ABS(BN199-BN203)&lt;1,"OK",BN199-BN203)</f>
        <v>9734.8560000000016</v>
      </c>
      <c r="BO205" s="42">
        <f t="shared" si="400"/>
        <v>8129.24</v>
      </c>
      <c r="BP205" s="42">
        <f t="shared" si="400"/>
        <v>5014</v>
      </c>
      <c r="BQ205" s="42">
        <f t="shared" si="400"/>
        <v>9549</v>
      </c>
      <c r="BR205" s="42">
        <f t="shared" si="400"/>
        <v>10517</v>
      </c>
      <c r="BS205" s="42">
        <f t="shared" si="400"/>
        <v>8719</v>
      </c>
      <c r="BT205" s="42">
        <f t="shared" si="400"/>
        <v>7509</v>
      </c>
      <c r="BU205" s="43">
        <f t="shared" si="400"/>
        <v>9072</v>
      </c>
      <c r="BV205" s="42">
        <f t="shared" si="400"/>
        <v>9659</v>
      </c>
      <c r="CB205" s="18"/>
      <c r="CC205" s="18"/>
      <c r="CD205" s="18"/>
      <c r="CE205" s="18"/>
      <c r="CF205" s="18"/>
      <c r="CG205" s="18"/>
      <c r="CH205" s="23"/>
      <c r="CI205" s="42"/>
      <c r="CJ205" s="42"/>
      <c r="CK205" s="42"/>
      <c r="CL205" s="42"/>
      <c r="CM205" s="42"/>
      <c r="CN205" s="42"/>
      <c r="CO205" s="42"/>
      <c r="CP205" s="43"/>
      <c r="CQ205" s="42"/>
      <c r="CR205" s="42"/>
      <c r="CS205" s="43"/>
    </row>
    <row r="206" spans="1:97" ht="14.25" hidden="1" customHeight="1" outlineLevel="2">
      <c r="A206" s="18"/>
      <c r="B206" s="9"/>
      <c r="C206" s="26"/>
      <c r="D206" s="42"/>
      <c r="E206" s="42"/>
      <c r="F206" s="42"/>
      <c r="G206" s="43"/>
      <c r="H206" s="42"/>
      <c r="I206" s="42"/>
      <c r="J206" s="42"/>
      <c r="K206" s="43"/>
      <c r="L206" s="42"/>
      <c r="M206" s="42"/>
      <c r="N206" s="42"/>
      <c r="O206" s="43"/>
      <c r="P206" s="42"/>
      <c r="Q206" s="42"/>
      <c r="R206" s="42"/>
      <c r="S206" s="43"/>
      <c r="T206" s="42"/>
      <c r="U206" s="42"/>
      <c r="V206" s="42"/>
      <c r="W206" s="43"/>
      <c r="X206" s="42"/>
      <c r="Y206" s="42"/>
      <c r="Z206" s="42"/>
      <c r="AA206" s="43"/>
      <c r="AB206" s="42"/>
      <c r="AC206" s="42"/>
      <c r="AD206" s="42"/>
      <c r="AE206" s="43"/>
      <c r="AF206" s="42"/>
      <c r="AG206" s="42"/>
      <c r="AH206" s="42"/>
      <c r="AI206" s="43"/>
      <c r="AJ206" s="42"/>
      <c r="AK206" s="42"/>
      <c r="AL206" s="42"/>
      <c r="AM206" s="43"/>
      <c r="AN206" s="42"/>
      <c r="AO206" s="42"/>
      <c r="AP206" s="42"/>
      <c r="AQ206" s="43"/>
      <c r="AR206" s="42"/>
      <c r="AS206" s="42"/>
      <c r="BL206" s="109"/>
      <c r="BM206" s="42"/>
      <c r="BN206" s="42"/>
      <c r="BO206" s="42"/>
      <c r="BP206" s="42"/>
      <c r="BQ206" s="42"/>
      <c r="BR206" s="42"/>
      <c r="BS206" s="42"/>
      <c r="BT206" s="42"/>
      <c r="BU206" s="43"/>
      <c r="BV206" s="42"/>
      <c r="CH206" s="22"/>
      <c r="CI206" s="42"/>
      <c r="CJ206" s="42"/>
      <c r="CK206" s="42"/>
      <c r="CL206" s="42"/>
      <c r="CM206" s="42"/>
      <c r="CN206" s="42"/>
      <c r="CO206" s="42"/>
      <c r="CP206" s="43"/>
      <c r="CQ206" s="42"/>
      <c r="CR206" s="42"/>
      <c r="CS206" s="43"/>
    </row>
    <row r="207" spans="1:97" ht="14.25" hidden="1" customHeight="1" outlineLevel="2">
      <c r="A207" s="18"/>
      <c r="B207" s="9" t="s">
        <v>195</v>
      </c>
      <c r="C207" s="26"/>
      <c r="D207" s="42"/>
      <c r="E207" s="42"/>
      <c r="F207" s="42"/>
      <c r="G207" s="43"/>
      <c r="H207" s="42" t="e">
        <f t="shared" ref="H207:AR207" si="401">IF(ROUND(SUM(H154,H174,H181,H188),1)=1,"OK",SUM(H154,H174,H181,H188))</f>
        <v>#DIV/0!</v>
      </c>
      <c r="I207" s="42" t="e">
        <f t="shared" si="401"/>
        <v>#DIV/0!</v>
      </c>
      <c r="J207" s="42" t="e">
        <f t="shared" si="401"/>
        <v>#DIV/0!</v>
      </c>
      <c r="K207" s="43" t="e">
        <f t="shared" si="401"/>
        <v>#DIV/0!</v>
      </c>
      <c r="L207" s="42" t="e">
        <f t="shared" si="401"/>
        <v>#DIV/0!</v>
      </c>
      <c r="M207" s="42" t="e">
        <f t="shared" si="401"/>
        <v>#DIV/0!</v>
      </c>
      <c r="N207" s="42" t="e">
        <f t="shared" si="401"/>
        <v>#DIV/0!</v>
      </c>
      <c r="O207" s="43" t="e">
        <f t="shared" si="401"/>
        <v>#DIV/0!</v>
      </c>
      <c r="P207" s="42" t="e">
        <f t="shared" si="401"/>
        <v>#DIV/0!</v>
      </c>
      <c r="Q207" s="42" t="e">
        <f t="shared" si="401"/>
        <v>#DIV/0!</v>
      </c>
      <c r="R207" s="42" t="e">
        <f t="shared" si="401"/>
        <v>#DIV/0!</v>
      </c>
      <c r="S207" s="43" t="e">
        <f t="shared" si="401"/>
        <v>#DIV/0!</v>
      </c>
      <c r="T207" s="42" t="e">
        <f t="shared" si="401"/>
        <v>#DIV/0!</v>
      </c>
      <c r="U207" s="42" t="e">
        <f t="shared" si="401"/>
        <v>#DIV/0!</v>
      </c>
      <c r="V207" s="42" t="e">
        <f t="shared" si="401"/>
        <v>#DIV/0!</v>
      </c>
      <c r="W207" s="43" t="e">
        <f t="shared" si="401"/>
        <v>#DIV/0!</v>
      </c>
      <c r="X207" s="42" t="e">
        <f t="shared" si="401"/>
        <v>#DIV/0!</v>
      </c>
      <c r="Y207" s="42" t="e">
        <f t="shared" si="401"/>
        <v>#DIV/0!</v>
      </c>
      <c r="Z207" s="42" t="e">
        <f t="shared" si="401"/>
        <v>#DIV/0!</v>
      </c>
      <c r="AA207" s="43" t="e">
        <f t="shared" si="401"/>
        <v>#DIV/0!</v>
      </c>
      <c r="AB207" s="42" t="e">
        <f t="shared" si="401"/>
        <v>#DIV/0!</v>
      </c>
      <c r="AC207" s="42" t="e">
        <f t="shared" si="401"/>
        <v>#DIV/0!</v>
      </c>
      <c r="AD207" s="42" t="e">
        <f t="shared" si="401"/>
        <v>#DIV/0!</v>
      </c>
      <c r="AE207" s="43" t="e">
        <f t="shared" si="401"/>
        <v>#DIV/0!</v>
      </c>
      <c r="AF207" s="42" t="e">
        <f t="shared" si="401"/>
        <v>#DIV/0!</v>
      </c>
      <c r="AG207" s="42" t="e">
        <f t="shared" si="401"/>
        <v>#DIV/0!</v>
      </c>
      <c r="AH207" s="42" t="e">
        <f t="shared" si="401"/>
        <v>#DIV/0!</v>
      </c>
      <c r="AI207" s="43" t="e">
        <f t="shared" si="401"/>
        <v>#DIV/0!</v>
      </c>
      <c r="AJ207" s="42" t="e">
        <f t="shared" si="401"/>
        <v>#DIV/0!</v>
      </c>
      <c r="AK207" s="42" t="e">
        <f t="shared" si="401"/>
        <v>#DIV/0!</v>
      </c>
      <c r="AL207" s="42" t="e">
        <f t="shared" si="401"/>
        <v>#DIV/0!</v>
      </c>
      <c r="AM207" s="43" t="e">
        <f t="shared" si="401"/>
        <v>#DIV/0!</v>
      </c>
      <c r="AN207" s="42" t="str">
        <f t="shared" si="401"/>
        <v>OK</v>
      </c>
      <c r="AO207" s="42" t="str">
        <f t="shared" si="401"/>
        <v>OK</v>
      </c>
      <c r="AP207" s="42" t="str">
        <f t="shared" si="401"/>
        <v>OK</v>
      </c>
      <c r="AQ207" s="43" t="str">
        <f t="shared" si="401"/>
        <v>OK</v>
      </c>
      <c r="AR207" s="42" t="str">
        <f t="shared" si="401"/>
        <v>OK</v>
      </c>
      <c r="AS207" s="42" t="str">
        <f>IF(ROUND(SUM(AS154,AS174,AS181,AS188),1)=1,"OK",SUM(AS154,AS174,AS181,AS188))</f>
        <v>OK</v>
      </c>
      <c r="BL207" s="109"/>
      <c r="BM207" s="44"/>
      <c r="BN207" s="44" t="e">
        <f t="shared" ref="BN207:BV207" si="402">IF(ROUND(SUM(BN154,BN174,BN181,BN188),1)=1,"OK",SUM(BN154,BN174,BN181,BN188))</f>
        <v>#DIV/0!</v>
      </c>
      <c r="BO207" s="44" t="e">
        <f t="shared" si="402"/>
        <v>#DIV/0!</v>
      </c>
      <c r="BP207" s="44" t="e">
        <f t="shared" si="402"/>
        <v>#DIV/0!</v>
      </c>
      <c r="BQ207" s="44" t="e">
        <f t="shared" si="402"/>
        <v>#DIV/0!</v>
      </c>
      <c r="BR207" s="44" t="e">
        <f t="shared" si="402"/>
        <v>#DIV/0!</v>
      </c>
      <c r="BS207" s="44" t="e">
        <f t="shared" si="402"/>
        <v>#DIV/0!</v>
      </c>
      <c r="BT207" s="44" t="e">
        <f t="shared" si="402"/>
        <v>#DIV/0!</v>
      </c>
      <c r="BU207" s="45" t="str">
        <f t="shared" si="402"/>
        <v>OK</v>
      </c>
      <c r="BV207" s="44" t="str">
        <f t="shared" si="402"/>
        <v>OK</v>
      </c>
      <c r="CH207" s="22"/>
      <c r="CI207" s="44"/>
      <c r="CJ207" s="44"/>
      <c r="CK207" s="44"/>
      <c r="CL207" s="44"/>
      <c r="CM207" s="44"/>
      <c r="CN207" s="44"/>
      <c r="CO207" s="44"/>
      <c r="CP207" s="45"/>
      <c r="CQ207" s="44"/>
      <c r="CR207" s="44"/>
      <c r="CS207" s="45"/>
    </row>
    <row r="208" spans="1:97" ht="14.25" hidden="1" customHeight="1" outlineLevel="1">
      <c r="A208" s="18"/>
      <c r="B208" s="9"/>
      <c r="C208" s="26"/>
      <c r="D208" s="42"/>
      <c r="E208" s="42"/>
      <c r="F208" s="42"/>
      <c r="G208" s="43"/>
      <c r="H208" s="42"/>
      <c r="I208" s="42"/>
      <c r="J208" s="42"/>
      <c r="K208" s="43"/>
      <c r="L208" s="42"/>
      <c r="M208" s="42"/>
      <c r="N208" s="42"/>
      <c r="O208" s="43"/>
      <c r="P208" s="42"/>
      <c r="Q208" s="42"/>
      <c r="R208" s="42"/>
      <c r="S208" s="43"/>
      <c r="T208" s="42"/>
      <c r="U208" s="42"/>
      <c r="V208" s="42"/>
      <c r="W208" s="43"/>
      <c r="X208" s="42"/>
      <c r="Y208" s="42"/>
      <c r="Z208" s="42"/>
      <c r="AA208" s="43"/>
      <c r="AB208" s="42"/>
      <c r="AC208" s="42"/>
      <c r="AD208" s="42"/>
      <c r="AE208" s="43"/>
      <c r="AF208" s="42"/>
      <c r="AG208" s="42"/>
      <c r="AH208" s="42"/>
      <c r="AI208" s="43"/>
      <c r="AJ208" s="42"/>
      <c r="AK208" s="42"/>
      <c r="AL208" s="42"/>
      <c r="AM208" s="43"/>
      <c r="AN208" s="42"/>
      <c r="AO208" s="42"/>
      <c r="AP208" s="42"/>
      <c r="AQ208" s="43"/>
      <c r="AR208" s="42"/>
      <c r="AS208" s="42"/>
      <c r="BL208" s="109"/>
      <c r="BM208" s="42"/>
      <c r="BN208" s="42"/>
      <c r="BO208" s="42"/>
      <c r="BP208" s="42"/>
      <c r="BQ208" s="42"/>
      <c r="BR208" s="42"/>
      <c r="BS208" s="42"/>
      <c r="BT208" s="42"/>
      <c r="BU208" s="43"/>
      <c r="BV208" s="42"/>
      <c r="CH208" s="22"/>
      <c r="CI208" s="42"/>
      <c r="CJ208" s="42"/>
      <c r="CK208" s="42"/>
      <c r="CL208" s="42"/>
      <c r="CM208" s="42"/>
      <c r="CN208" s="42"/>
      <c r="CO208" s="42"/>
      <c r="CP208" s="43"/>
      <c r="CQ208" s="42"/>
      <c r="CR208" s="42"/>
      <c r="CS208" s="43"/>
    </row>
    <row r="209" spans="1:97" ht="14.25" hidden="1" customHeight="1" outlineLevel="1">
      <c r="A209" s="18"/>
      <c r="AM209" s="45"/>
      <c r="AQ209" s="45"/>
      <c r="AR209" s="44"/>
      <c r="BL209" s="109"/>
      <c r="BM209" s="44"/>
      <c r="BN209" s="44"/>
      <c r="BO209" s="44"/>
      <c r="BP209" s="44"/>
      <c r="BQ209" s="44"/>
      <c r="BR209" s="44"/>
      <c r="BS209" s="44"/>
      <c r="BT209" s="44"/>
      <c r="BU209" s="45"/>
      <c r="BV209" s="44"/>
      <c r="CH209" s="22"/>
      <c r="CI209" s="44"/>
      <c r="CJ209" s="44"/>
      <c r="CK209" s="44"/>
      <c r="CL209" s="44"/>
      <c r="CM209" s="44"/>
      <c r="CN209" s="44"/>
      <c r="CO209" s="44"/>
      <c r="CP209" s="45"/>
      <c r="CQ209" s="44"/>
      <c r="CR209" s="44"/>
      <c r="CS209" s="45"/>
    </row>
    <row r="210" spans="1:97" ht="14.25" hidden="1" customHeight="1" outlineLevel="1">
      <c r="G210" s="22"/>
      <c r="K210" s="22"/>
      <c r="O210" s="22"/>
      <c r="S210" s="22"/>
      <c r="W210" s="22"/>
      <c r="AA210" s="22"/>
      <c r="AE210" s="22"/>
      <c r="AI210" s="22"/>
      <c r="AM210" s="22"/>
      <c r="AQ210" s="22"/>
      <c r="BL210" s="110"/>
      <c r="BU210" s="22"/>
      <c r="CH210" s="22"/>
      <c r="CP210" s="22"/>
      <c r="CS210" s="22"/>
    </row>
    <row r="211" spans="1:97" s="64" customFormat="1" ht="14.25" hidden="1" customHeight="1" outlineLevel="1">
      <c r="A211" s="26"/>
      <c r="B211" s="99" t="s">
        <v>196</v>
      </c>
      <c r="C211" s="100"/>
      <c r="D211" s="94" t="str">
        <f t="shared" ref="D211:AR211" si="403">D149</f>
        <v>1Q06</v>
      </c>
      <c r="E211" s="95" t="str">
        <f t="shared" si="403"/>
        <v>2Q06</v>
      </c>
      <c r="F211" s="95" t="str">
        <f t="shared" si="403"/>
        <v>3Q06</v>
      </c>
      <c r="G211" s="96" t="str">
        <f t="shared" si="403"/>
        <v>4Q06</v>
      </c>
      <c r="H211" s="95" t="str">
        <f t="shared" si="403"/>
        <v>1Q07</v>
      </c>
      <c r="I211" s="95" t="str">
        <f t="shared" si="403"/>
        <v>2Q07</v>
      </c>
      <c r="J211" s="95" t="str">
        <f t="shared" si="403"/>
        <v>3Q07</v>
      </c>
      <c r="K211" s="96" t="str">
        <f t="shared" si="403"/>
        <v>4Q07</v>
      </c>
      <c r="L211" s="95" t="str">
        <f t="shared" si="403"/>
        <v>1Q08</v>
      </c>
      <c r="M211" s="95" t="str">
        <f t="shared" si="403"/>
        <v>2Q08</v>
      </c>
      <c r="N211" s="95" t="str">
        <f t="shared" si="403"/>
        <v>3Q08</v>
      </c>
      <c r="O211" s="96" t="str">
        <f t="shared" si="403"/>
        <v>4Q08</v>
      </c>
      <c r="P211" s="95" t="str">
        <f t="shared" si="403"/>
        <v>1Q09</v>
      </c>
      <c r="Q211" s="95" t="str">
        <f t="shared" si="403"/>
        <v>2Q09</v>
      </c>
      <c r="R211" s="95" t="str">
        <f t="shared" si="403"/>
        <v>3Q09</v>
      </c>
      <c r="S211" s="96" t="str">
        <f t="shared" si="403"/>
        <v>4Q09</v>
      </c>
      <c r="T211" s="95" t="str">
        <f t="shared" si="403"/>
        <v>1Q10</v>
      </c>
      <c r="U211" s="95" t="str">
        <f t="shared" si="403"/>
        <v>2Q10</v>
      </c>
      <c r="V211" s="95" t="str">
        <f t="shared" si="403"/>
        <v>3Q10</v>
      </c>
      <c r="W211" s="96" t="str">
        <f t="shared" si="403"/>
        <v>4Q10</v>
      </c>
      <c r="X211" s="95" t="str">
        <f t="shared" si="403"/>
        <v>1Q11</v>
      </c>
      <c r="Y211" s="95" t="str">
        <f t="shared" si="403"/>
        <v>2Q11</v>
      </c>
      <c r="Z211" s="95" t="str">
        <f t="shared" si="403"/>
        <v>3Q11</v>
      </c>
      <c r="AA211" s="96" t="str">
        <f t="shared" si="403"/>
        <v>4Q11</v>
      </c>
      <c r="AB211" s="95" t="str">
        <f t="shared" si="403"/>
        <v>1Q12</v>
      </c>
      <c r="AC211" s="95" t="str">
        <f t="shared" si="403"/>
        <v>2Q12</v>
      </c>
      <c r="AD211" s="95" t="str">
        <f t="shared" si="403"/>
        <v>3Q12</v>
      </c>
      <c r="AE211" s="96" t="str">
        <f t="shared" si="403"/>
        <v>4Q12</v>
      </c>
      <c r="AF211" s="95" t="str">
        <f t="shared" si="403"/>
        <v>1Q13</v>
      </c>
      <c r="AG211" s="95" t="str">
        <f t="shared" si="403"/>
        <v>2Q13</v>
      </c>
      <c r="AH211" s="95" t="str">
        <f t="shared" si="403"/>
        <v>3Q13</v>
      </c>
      <c r="AI211" s="96" t="str">
        <f t="shared" si="403"/>
        <v>4Q13</v>
      </c>
      <c r="AJ211" s="95" t="str">
        <f t="shared" si="403"/>
        <v>1Q14</v>
      </c>
      <c r="AK211" s="95" t="str">
        <f t="shared" si="403"/>
        <v>2Q14</v>
      </c>
      <c r="AL211" s="95" t="str">
        <f t="shared" si="403"/>
        <v>3Q14</v>
      </c>
      <c r="AM211" s="96" t="str">
        <f t="shared" si="403"/>
        <v>4Q14</v>
      </c>
      <c r="AN211" s="95" t="str">
        <f t="shared" si="403"/>
        <v>1Q15</v>
      </c>
      <c r="AO211" s="95" t="str">
        <f t="shared" si="403"/>
        <v>2Q15</v>
      </c>
      <c r="AP211" s="95" t="str">
        <f t="shared" si="403"/>
        <v>3Q15</v>
      </c>
      <c r="AQ211" s="96" t="str">
        <f t="shared" si="403"/>
        <v>4Q15</v>
      </c>
      <c r="AR211" s="97" t="str">
        <f t="shared" si="403"/>
        <v>1Q16</v>
      </c>
      <c r="AS211" s="95" t="str">
        <f>AS149</f>
        <v>2Q16</v>
      </c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I211" s="20"/>
      <c r="BJ211" s="20"/>
      <c r="BK211" s="20"/>
      <c r="BL211" s="141"/>
      <c r="BM211" s="136" t="str">
        <f t="shared" ref="BM211:BV211" si="404">BM149</f>
        <v>FY2006A</v>
      </c>
      <c r="BN211" s="137" t="str">
        <f t="shared" si="404"/>
        <v>FY2007A</v>
      </c>
      <c r="BO211" s="136" t="str">
        <f t="shared" si="404"/>
        <v>FY2008A</v>
      </c>
      <c r="BP211" s="136" t="str">
        <f t="shared" si="404"/>
        <v>FY2009A</v>
      </c>
      <c r="BQ211" s="138" t="str">
        <f t="shared" si="404"/>
        <v>FY2010A</v>
      </c>
      <c r="BR211" s="138" t="str">
        <f t="shared" si="404"/>
        <v>FY2011A</v>
      </c>
      <c r="BS211" s="138" t="str">
        <f t="shared" si="404"/>
        <v>FY2012A</v>
      </c>
      <c r="BT211" s="138" t="str">
        <f t="shared" si="404"/>
        <v>FY2013A</v>
      </c>
      <c r="BU211" s="139" t="str">
        <f t="shared" si="404"/>
        <v>FY2014E</v>
      </c>
      <c r="BV211" s="97" t="str">
        <f t="shared" si="404"/>
        <v>FY2015E</v>
      </c>
      <c r="BW211" s="20"/>
      <c r="BX211" s="20"/>
      <c r="BY211" s="20"/>
      <c r="BZ211" s="20"/>
      <c r="CA211" s="20"/>
      <c r="CH211" s="151"/>
      <c r="CI211" s="136"/>
      <c r="CJ211" s="138"/>
      <c r="CK211" s="138"/>
      <c r="CL211" s="138"/>
      <c r="CM211" s="138"/>
      <c r="CN211" s="138"/>
      <c r="CO211" s="138"/>
      <c r="CP211" s="98"/>
      <c r="CQ211" s="97"/>
      <c r="CR211" s="97"/>
      <c r="CS211" s="98"/>
    </row>
    <row r="212" spans="1:97" ht="14.25" hidden="1" customHeight="1" outlineLevel="1">
      <c r="A212" s="18"/>
      <c r="B212" s="46"/>
      <c r="C212" s="26"/>
      <c r="D212" s="29"/>
      <c r="E212" s="29"/>
      <c r="F212" s="29"/>
      <c r="G212" s="30"/>
      <c r="H212" s="29"/>
      <c r="I212" s="29"/>
      <c r="J212" s="29"/>
      <c r="K212" s="30"/>
      <c r="L212" s="29"/>
      <c r="M212" s="29"/>
      <c r="N212" s="29"/>
      <c r="O212" s="30"/>
      <c r="P212" s="29"/>
      <c r="Q212" s="29"/>
      <c r="R212" s="29"/>
      <c r="S212" s="30"/>
      <c r="T212" s="29"/>
      <c r="U212" s="29"/>
      <c r="V212" s="29"/>
      <c r="W212" s="30"/>
      <c r="X212" s="29"/>
      <c r="Y212" s="29"/>
      <c r="Z212" s="29"/>
      <c r="AA212" s="30"/>
      <c r="AB212" s="29"/>
      <c r="AC212" s="29"/>
      <c r="AD212" s="29"/>
      <c r="AE212" s="30"/>
      <c r="AF212" s="29"/>
      <c r="AG212" s="29"/>
      <c r="AH212" s="29"/>
      <c r="AI212" s="30"/>
      <c r="AJ212" s="29"/>
      <c r="AK212" s="29"/>
      <c r="AL212" s="29"/>
      <c r="AM212" s="126"/>
      <c r="AN212" s="29"/>
      <c r="AO212" s="29"/>
      <c r="AP212" s="29"/>
      <c r="AQ212" s="126"/>
      <c r="AR212" s="29"/>
      <c r="AS212" s="29"/>
      <c r="BL212" s="109"/>
      <c r="BM212" s="29"/>
      <c r="BN212" s="29"/>
      <c r="BO212" s="29"/>
      <c r="BP212" s="29"/>
      <c r="BQ212" s="29"/>
      <c r="BR212" s="29"/>
      <c r="BS212" s="29"/>
      <c r="BT212" s="29"/>
      <c r="BU212" s="30"/>
      <c r="BV212" s="29"/>
      <c r="CB212" s="18"/>
      <c r="CC212" s="18"/>
      <c r="CD212" s="18"/>
      <c r="CE212" s="18"/>
      <c r="CF212" s="18"/>
      <c r="CG212" s="18"/>
      <c r="CH212" s="18"/>
      <c r="CI212" s="29"/>
      <c r="CJ212" s="29"/>
      <c r="CK212" s="29"/>
      <c r="CL212" s="29"/>
      <c r="CM212" s="29"/>
      <c r="CN212" s="29"/>
      <c r="CO212" s="29"/>
      <c r="CP212" s="29"/>
      <c r="CQ212" s="29"/>
      <c r="CR212" s="29"/>
      <c r="CS212" s="30"/>
    </row>
    <row r="213" spans="1:97" ht="14.25" hidden="1" customHeight="1" outlineLevel="1">
      <c r="A213" s="18"/>
      <c r="B213" s="9" t="s">
        <v>185</v>
      </c>
      <c r="C213" s="26"/>
      <c r="D213" s="47"/>
      <c r="E213" s="47"/>
      <c r="F213" s="47"/>
      <c r="G213" s="48"/>
      <c r="H213" s="47" t="e">
        <f>IS!H205*H154</f>
        <v>#DIV/0!</v>
      </c>
      <c r="I213" s="47" t="e">
        <f>IS!I205*I154</f>
        <v>#DIV/0!</v>
      </c>
      <c r="J213" s="47" t="e">
        <f>IS!J205*J154</f>
        <v>#DIV/0!</v>
      </c>
      <c r="K213" s="48" t="e">
        <f>IS!K205*K154</f>
        <v>#DIV/0!</v>
      </c>
      <c r="L213" s="47" t="e">
        <f>IS!L205*L154</f>
        <v>#DIV/0!</v>
      </c>
      <c r="M213" s="47" t="e">
        <f>IS!M205*M154</f>
        <v>#DIV/0!</v>
      </c>
      <c r="N213" s="47" t="e">
        <f>IS!N205*N154</f>
        <v>#DIV/0!</v>
      </c>
      <c r="O213" s="48" t="e">
        <f>IS!O205*O154</f>
        <v>#DIV/0!</v>
      </c>
      <c r="P213" s="47" t="e">
        <f>IS!P205*P154</f>
        <v>#DIV/0!</v>
      </c>
      <c r="Q213" s="47" t="e">
        <f>IS!Q205*Q154</f>
        <v>#DIV/0!</v>
      </c>
      <c r="R213" s="47" t="e">
        <f>IS!R205*R154</f>
        <v>#DIV/0!</v>
      </c>
      <c r="S213" s="48" t="e">
        <f>IS!S205*S154</f>
        <v>#DIV/0!</v>
      </c>
      <c r="T213" s="47" t="e">
        <f>IS!T205*T154</f>
        <v>#DIV/0!</v>
      </c>
      <c r="U213" s="47" t="e">
        <f>IS!U205*U154</f>
        <v>#DIV/0!</v>
      </c>
      <c r="V213" s="47" t="e">
        <f>IS!V205*V154</f>
        <v>#DIV/0!</v>
      </c>
      <c r="W213" s="48" t="e">
        <f>IS!W205*W154</f>
        <v>#DIV/0!</v>
      </c>
      <c r="X213" s="47" t="e">
        <f>IS!X205*X154</f>
        <v>#DIV/0!</v>
      </c>
      <c r="Y213" s="47" t="e">
        <f>IS!Y205*Y154</f>
        <v>#DIV/0!</v>
      </c>
      <c r="Z213" s="47" t="e">
        <f>IS!Z205*Z154</f>
        <v>#DIV/0!</v>
      </c>
      <c r="AA213" s="48" t="e">
        <f>IS!AA205*AA154</f>
        <v>#DIV/0!</v>
      </c>
      <c r="AB213" s="47" t="e">
        <f>IS!AB205*AB154</f>
        <v>#DIV/0!</v>
      </c>
      <c r="AC213" s="47" t="e">
        <f>IS!AC205*AC154</f>
        <v>#DIV/0!</v>
      </c>
      <c r="AD213" s="47" t="e">
        <f>IS!AD205*AD154</f>
        <v>#DIV/0!</v>
      </c>
      <c r="AE213" s="48" t="e">
        <f>IS!AE205*AE154</f>
        <v>#DIV/0!</v>
      </c>
      <c r="AF213" s="47" t="e">
        <f>IS!AF205*AF154</f>
        <v>#DIV/0!</v>
      </c>
      <c r="AG213" s="47" t="e">
        <f>IS!AG205*AG154</f>
        <v>#DIV/0!</v>
      </c>
      <c r="AH213" s="47" t="e">
        <f>IS!AH205*AH154</f>
        <v>#DIV/0!</v>
      </c>
      <c r="AI213" s="48" t="e">
        <f>IS!AI205*AI154</f>
        <v>#DIV/0!</v>
      </c>
      <c r="AJ213" s="32" t="e">
        <f>IS!AJ205*AJ154</f>
        <v>#DIV/0!</v>
      </c>
      <c r="AK213" s="32" t="e">
        <f>IS!AK205*AK154</f>
        <v>#DIV/0!</v>
      </c>
      <c r="AL213" s="32" t="e">
        <f>IS!AL205*AL154</f>
        <v>#DIV/0!</v>
      </c>
      <c r="AM213" s="31" t="e">
        <f>IS!AM205*AM154</f>
        <v>#DIV/0!</v>
      </c>
      <c r="AN213" s="32">
        <f>IS!AN205*AN154</f>
        <v>0</v>
      </c>
      <c r="AO213" s="32">
        <f>IS!AO205*AO154</f>
        <v>0</v>
      </c>
      <c r="AP213" s="32">
        <f>IS!AP205*AP154</f>
        <v>0</v>
      </c>
      <c r="AQ213" s="31">
        <f>IS!AQ205*AQ154</f>
        <v>0</v>
      </c>
      <c r="AR213" s="32">
        <f>IS!AR205*AR154</f>
        <v>0</v>
      </c>
      <c r="AS213" s="32">
        <f>IS!AS205*AS154</f>
        <v>0</v>
      </c>
      <c r="BL213" s="106"/>
      <c r="BM213" s="34"/>
      <c r="BN213" s="34" t="e">
        <f>SUM(H213:K213)</f>
        <v>#DIV/0!</v>
      </c>
      <c r="BO213" s="34" t="e">
        <f>SUM(L213:O213)</f>
        <v>#DIV/0!</v>
      </c>
      <c r="BP213" s="34" t="e">
        <f>SUM(P213:S213)</f>
        <v>#DIV/0!</v>
      </c>
      <c r="BQ213" s="34" t="e">
        <f>SUM(T213:W213)</f>
        <v>#DIV/0!</v>
      </c>
      <c r="BR213" s="34" t="e">
        <f>SUM(X213:AA213)</f>
        <v>#DIV/0!</v>
      </c>
      <c r="BS213" s="34" t="e">
        <f>SUM(AB213:AE213)</f>
        <v>#DIV/0!</v>
      </c>
      <c r="BT213" s="34" t="e">
        <f>SUM(AF213:AI213)</f>
        <v>#DIV/0!</v>
      </c>
      <c r="BU213" s="114" t="e">
        <f>SUM(AJ213:AM213)</f>
        <v>#DIV/0!</v>
      </c>
      <c r="BV213" s="34">
        <f>SUM(AN213:AQ213)</f>
        <v>0</v>
      </c>
      <c r="CB213" s="18"/>
      <c r="CC213" s="18"/>
      <c r="CD213" s="18"/>
      <c r="CE213" s="18"/>
      <c r="CF213" s="18"/>
      <c r="CG213" s="18"/>
      <c r="CH213" s="18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114"/>
    </row>
    <row r="214" spans="1:97" ht="14.25" hidden="1" customHeight="1" outlineLevel="2">
      <c r="A214" s="18"/>
      <c r="B214" s="79" t="s">
        <v>186</v>
      </c>
      <c r="C214" s="79"/>
      <c r="D214" s="80"/>
      <c r="E214" s="80"/>
      <c r="F214" s="80"/>
      <c r="G214" s="41"/>
      <c r="H214" s="80"/>
      <c r="I214" s="80" t="e">
        <f t="shared" ref="I214:AS214" si="405">I213/H213-1</f>
        <v>#DIV/0!</v>
      </c>
      <c r="J214" s="80" t="e">
        <f t="shared" si="405"/>
        <v>#DIV/0!</v>
      </c>
      <c r="K214" s="41" t="e">
        <f t="shared" si="405"/>
        <v>#DIV/0!</v>
      </c>
      <c r="L214" s="80" t="e">
        <f t="shared" si="405"/>
        <v>#DIV/0!</v>
      </c>
      <c r="M214" s="80" t="e">
        <f t="shared" si="405"/>
        <v>#DIV/0!</v>
      </c>
      <c r="N214" s="80" t="e">
        <f t="shared" si="405"/>
        <v>#DIV/0!</v>
      </c>
      <c r="O214" s="41" t="e">
        <f t="shared" si="405"/>
        <v>#DIV/0!</v>
      </c>
      <c r="P214" s="80" t="e">
        <f t="shared" si="405"/>
        <v>#DIV/0!</v>
      </c>
      <c r="Q214" s="80" t="e">
        <f t="shared" si="405"/>
        <v>#DIV/0!</v>
      </c>
      <c r="R214" s="80" t="e">
        <f t="shared" si="405"/>
        <v>#DIV/0!</v>
      </c>
      <c r="S214" s="41" t="e">
        <f t="shared" si="405"/>
        <v>#DIV/0!</v>
      </c>
      <c r="T214" s="80" t="e">
        <f t="shared" si="405"/>
        <v>#DIV/0!</v>
      </c>
      <c r="U214" s="80" t="e">
        <f t="shared" si="405"/>
        <v>#DIV/0!</v>
      </c>
      <c r="V214" s="80" t="e">
        <f t="shared" si="405"/>
        <v>#DIV/0!</v>
      </c>
      <c r="W214" s="41" t="e">
        <f t="shared" si="405"/>
        <v>#DIV/0!</v>
      </c>
      <c r="X214" s="80" t="e">
        <f t="shared" si="405"/>
        <v>#DIV/0!</v>
      </c>
      <c r="Y214" s="80" t="e">
        <f t="shared" si="405"/>
        <v>#DIV/0!</v>
      </c>
      <c r="Z214" s="80" t="e">
        <f t="shared" si="405"/>
        <v>#DIV/0!</v>
      </c>
      <c r="AA214" s="41" t="e">
        <f t="shared" si="405"/>
        <v>#DIV/0!</v>
      </c>
      <c r="AB214" s="80" t="e">
        <f t="shared" si="405"/>
        <v>#DIV/0!</v>
      </c>
      <c r="AC214" s="80" t="e">
        <f t="shared" si="405"/>
        <v>#DIV/0!</v>
      </c>
      <c r="AD214" s="80" t="e">
        <f t="shared" si="405"/>
        <v>#DIV/0!</v>
      </c>
      <c r="AE214" s="41" t="e">
        <f t="shared" si="405"/>
        <v>#DIV/0!</v>
      </c>
      <c r="AF214" s="80" t="e">
        <f t="shared" si="405"/>
        <v>#DIV/0!</v>
      </c>
      <c r="AG214" s="80" t="e">
        <f t="shared" si="405"/>
        <v>#DIV/0!</v>
      </c>
      <c r="AH214" s="80" t="e">
        <f t="shared" si="405"/>
        <v>#DIV/0!</v>
      </c>
      <c r="AI214" s="41" t="e">
        <f t="shared" si="405"/>
        <v>#DIV/0!</v>
      </c>
      <c r="AJ214" s="80" t="e">
        <f t="shared" si="405"/>
        <v>#DIV/0!</v>
      </c>
      <c r="AK214" s="80" t="e">
        <f t="shared" si="405"/>
        <v>#DIV/0!</v>
      </c>
      <c r="AL214" s="80" t="e">
        <f t="shared" si="405"/>
        <v>#DIV/0!</v>
      </c>
      <c r="AM214" s="41" t="e">
        <f t="shared" si="405"/>
        <v>#DIV/0!</v>
      </c>
      <c r="AN214" s="80" t="e">
        <f t="shared" si="405"/>
        <v>#DIV/0!</v>
      </c>
      <c r="AO214" s="80" t="e">
        <f t="shared" si="405"/>
        <v>#DIV/0!</v>
      </c>
      <c r="AP214" s="80" t="e">
        <f t="shared" si="405"/>
        <v>#DIV/0!</v>
      </c>
      <c r="AQ214" s="41" t="e">
        <f t="shared" si="405"/>
        <v>#DIV/0!</v>
      </c>
      <c r="AR214" s="80" t="e">
        <f t="shared" si="405"/>
        <v>#DIV/0!</v>
      </c>
      <c r="AS214" s="80" t="e">
        <f t="shared" si="405"/>
        <v>#DIV/0!</v>
      </c>
      <c r="BL214" s="106"/>
      <c r="BM214" s="81"/>
      <c r="BN214" s="81"/>
      <c r="BO214" s="81"/>
      <c r="BP214" s="81"/>
      <c r="BQ214" s="81"/>
      <c r="BR214" s="81"/>
      <c r="BS214" s="81"/>
      <c r="BT214" s="81"/>
      <c r="BU214" s="115"/>
      <c r="BV214" s="81"/>
      <c r="CB214" s="18"/>
      <c r="CC214" s="18"/>
      <c r="CD214" s="18"/>
      <c r="CE214" s="18"/>
      <c r="CF214" s="18"/>
      <c r="CG214" s="18"/>
      <c r="CH214" s="18"/>
      <c r="CI214" s="81"/>
      <c r="CJ214" s="81"/>
      <c r="CK214" s="81"/>
      <c r="CL214" s="81"/>
      <c r="CM214" s="81"/>
      <c r="CN214" s="81"/>
      <c r="CO214" s="81"/>
      <c r="CP214" s="81"/>
      <c r="CQ214" s="81"/>
      <c r="CR214" s="81"/>
      <c r="CS214" s="115"/>
    </row>
    <row r="215" spans="1:97" ht="14.25" hidden="1" customHeight="1" outlineLevel="2">
      <c r="A215" s="18"/>
      <c r="B215" s="82" t="s">
        <v>187</v>
      </c>
      <c r="C215" s="82"/>
      <c r="D215" s="80"/>
      <c r="E215" s="80"/>
      <c r="F215" s="80"/>
      <c r="G215" s="41"/>
      <c r="H215" s="80"/>
      <c r="I215" s="80"/>
      <c r="J215" s="80"/>
      <c r="K215" s="41"/>
      <c r="L215" s="80" t="e">
        <f t="shared" ref="L215:AS215" si="406">L213/H213-1</f>
        <v>#DIV/0!</v>
      </c>
      <c r="M215" s="80" t="e">
        <f t="shared" si="406"/>
        <v>#DIV/0!</v>
      </c>
      <c r="N215" s="80" t="e">
        <f t="shared" si="406"/>
        <v>#DIV/0!</v>
      </c>
      <c r="O215" s="41" t="e">
        <f t="shared" si="406"/>
        <v>#DIV/0!</v>
      </c>
      <c r="P215" s="80" t="e">
        <f t="shared" si="406"/>
        <v>#DIV/0!</v>
      </c>
      <c r="Q215" s="80" t="e">
        <f t="shared" si="406"/>
        <v>#DIV/0!</v>
      </c>
      <c r="R215" s="80" t="e">
        <f t="shared" si="406"/>
        <v>#DIV/0!</v>
      </c>
      <c r="S215" s="41" t="e">
        <f t="shared" si="406"/>
        <v>#DIV/0!</v>
      </c>
      <c r="T215" s="80" t="e">
        <f t="shared" si="406"/>
        <v>#DIV/0!</v>
      </c>
      <c r="U215" s="80" t="e">
        <f t="shared" si="406"/>
        <v>#DIV/0!</v>
      </c>
      <c r="V215" s="80" t="e">
        <f t="shared" si="406"/>
        <v>#DIV/0!</v>
      </c>
      <c r="W215" s="41" t="e">
        <f t="shared" si="406"/>
        <v>#DIV/0!</v>
      </c>
      <c r="X215" s="80" t="e">
        <f t="shared" si="406"/>
        <v>#DIV/0!</v>
      </c>
      <c r="Y215" s="80" t="e">
        <f t="shared" si="406"/>
        <v>#DIV/0!</v>
      </c>
      <c r="Z215" s="80" t="e">
        <f t="shared" si="406"/>
        <v>#DIV/0!</v>
      </c>
      <c r="AA215" s="41" t="e">
        <f t="shared" si="406"/>
        <v>#DIV/0!</v>
      </c>
      <c r="AB215" s="80" t="e">
        <f t="shared" si="406"/>
        <v>#DIV/0!</v>
      </c>
      <c r="AC215" s="80" t="e">
        <f t="shared" si="406"/>
        <v>#DIV/0!</v>
      </c>
      <c r="AD215" s="80" t="e">
        <f t="shared" si="406"/>
        <v>#DIV/0!</v>
      </c>
      <c r="AE215" s="41" t="e">
        <f t="shared" si="406"/>
        <v>#DIV/0!</v>
      </c>
      <c r="AF215" s="80" t="e">
        <f t="shared" si="406"/>
        <v>#DIV/0!</v>
      </c>
      <c r="AG215" s="80" t="e">
        <f t="shared" si="406"/>
        <v>#DIV/0!</v>
      </c>
      <c r="AH215" s="80" t="e">
        <f t="shared" si="406"/>
        <v>#DIV/0!</v>
      </c>
      <c r="AI215" s="41" t="e">
        <f t="shared" si="406"/>
        <v>#DIV/0!</v>
      </c>
      <c r="AJ215" s="80" t="e">
        <f t="shared" si="406"/>
        <v>#DIV/0!</v>
      </c>
      <c r="AK215" s="80" t="e">
        <f t="shared" si="406"/>
        <v>#DIV/0!</v>
      </c>
      <c r="AL215" s="80" t="e">
        <f t="shared" si="406"/>
        <v>#DIV/0!</v>
      </c>
      <c r="AM215" s="41" t="e">
        <f t="shared" si="406"/>
        <v>#DIV/0!</v>
      </c>
      <c r="AN215" s="80" t="e">
        <f t="shared" si="406"/>
        <v>#DIV/0!</v>
      </c>
      <c r="AO215" s="80" t="e">
        <f t="shared" si="406"/>
        <v>#DIV/0!</v>
      </c>
      <c r="AP215" s="80" t="e">
        <f t="shared" si="406"/>
        <v>#DIV/0!</v>
      </c>
      <c r="AQ215" s="41" t="e">
        <f t="shared" si="406"/>
        <v>#DIV/0!</v>
      </c>
      <c r="AR215" s="80" t="e">
        <f t="shared" si="406"/>
        <v>#DIV/0!</v>
      </c>
      <c r="AS215" s="80" t="e">
        <f t="shared" si="406"/>
        <v>#DIV/0!</v>
      </c>
      <c r="BL215" s="106"/>
      <c r="BM215" s="80"/>
      <c r="BN215" s="83"/>
      <c r="BO215" s="83" t="e">
        <f t="shared" ref="BO215:BV215" si="407">BO213/BN213-1</f>
        <v>#DIV/0!</v>
      </c>
      <c r="BP215" s="83" t="e">
        <f t="shared" si="407"/>
        <v>#DIV/0!</v>
      </c>
      <c r="BQ215" s="83" t="e">
        <f t="shared" si="407"/>
        <v>#DIV/0!</v>
      </c>
      <c r="BR215" s="83" t="e">
        <f t="shared" si="407"/>
        <v>#DIV/0!</v>
      </c>
      <c r="BS215" s="83" t="e">
        <f t="shared" si="407"/>
        <v>#DIV/0!</v>
      </c>
      <c r="BT215" s="83" t="e">
        <f t="shared" si="407"/>
        <v>#DIV/0!</v>
      </c>
      <c r="BU215" s="117" t="e">
        <f t="shared" si="407"/>
        <v>#DIV/0!</v>
      </c>
      <c r="BV215" s="83" t="e">
        <f t="shared" si="407"/>
        <v>#DIV/0!</v>
      </c>
      <c r="CB215" s="18"/>
      <c r="CC215" s="18"/>
      <c r="CD215" s="18"/>
      <c r="CE215" s="18"/>
      <c r="CF215" s="18"/>
      <c r="CG215" s="18"/>
      <c r="CH215" s="18"/>
      <c r="CI215" s="80"/>
      <c r="CJ215" s="83"/>
      <c r="CK215" s="83"/>
      <c r="CL215" s="83"/>
      <c r="CM215" s="83"/>
      <c r="CN215" s="83"/>
      <c r="CO215" s="83"/>
      <c r="CP215" s="83"/>
      <c r="CQ215" s="83"/>
      <c r="CR215" s="83"/>
      <c r="CS215" s="117"/>
    </row>
    <row r="216" spans="1:97" ht="14.25" hidden="1" customHeight="1" outlineLevel="1">
      <c r="A216" s="18"/>
      <c r="B216" s="82" t="s">
        <v>197</v>
      </c>
      <c r="C216" s="79"/>
      <c r="D216" s="80"/>
      <c r="E216" s="80"/>
      <c r="F216" s="80"/>
      <c r="G216" s="41"/>
      <c r="H216" s="80" t="e">
        <f t="shared" ref="H216:Q216" si="408">H213/H151</f>
        <v>#DIV/0!</v>
      </c>
      <c r="I216" s="80" t="e">
        <f t="shared" si="408"/>
        <v>#DIV/0!</v>
      </c>
      <c r="J216" s="80" t="e">
        <f t="shared" si="408"/>
        <v>#DIV/0!</v>
      </c>
      <c r="K216" s="41" t="e">
        <f t="shared" si="408"/>
        <v>#DIV/0!</v>
      </c>
      <c r="L216" s="80" t="e">
        <f t="shared" si="408"/>
        <v>#DIV/0!</v>
      </c>
      <c r="M216" s="80" t="e">
        <f t="shared" si="408"/>
        <v>#DIV/0!</v>
      </c>
      <c r="N216" s="80" t="e">
        <f t="shared" si="408"/>
        <v>#DIV/0!</v>
      </c>
      <c r="O216" s="41" t="e">
        <f t="shared" si="408"/>
        <v>#DIV/0!</v>
      </c>
      <c r="P216" s="80" t="e">
        <f t="shared" si="408"/>
        <v>#DIV/0!</v>
      </c>
      <c r="Q216" s="80" t="e">
        <f t="shared" si="408"/>
        <v>#DIV/0!</v>
      </c>
      <c r="R216" s="80" t="e">
        <f t="shared" ref="R216:AQ216" si="409">R213/R151</f>
        <v>#DIV/0!</v>
      </c>
      <c r="S216" s="41" t="e">
        <f t="shared" si="409"/>
        <v>#DIV/0!</v>
      </c>
      <c r="T216" s="80" t="e">
        <f t="shared" si="409"/>
        <v>#DIV/0!</v>
      </c>
      <c r="U216" s="80" t="e">
        <f t="shared" si="409"/>
        <v>#DIV/0!</v>
      </c>
      <c r="V216" s="80" t="e">
        <f t="shared" si="409"/>
        <v>#DIV/0!</v>
      </c>
      <c r="W216" s="41" t="e">
        <f t="shared" si="409"/>
        <v>#DIV/0!</v>
      </c>
      <c r="X216" s="80" t="e">
        <f t="shared" si="409"/>
        <v>#DIV/0!</v>
      </c>
      <c r="Y216" s="80" t="e">
        <f t="shared" si="409"/>
        <v>#DIV/0!</v>
      </c>
      <c r="Z216" s="80" t="e">
        <f t="shared" si="409"/>
        <v>#DIV/0!</v>
      </c>
      <c r="AA216" s="41" t="e">
        <f t="shared" si="409"/>
        <v>#DIV/0!</v>
      </c>
      <c r="AB216" s="80" t="e">
        <f t="shared" si="409"/>
        <v>#DIV/0!</v>
      </c>
      <c r="AC216" s="80" t="e">
        <f t="shared" si="409"/>
        <v>#DIV/0!</v>
      </c>
      <c r="AD216" s="80" t="e">
        <f t="shared" si="409"/>
        <v>#DIV/0!</v>
      </c>
      <c r="AE216" s="41" t="e">
        <f t="shared" si="409"/>
        <v>#DIV/0!</v>
      </c>
      <c r="AF216" s="80" t="e">
        <f t="shared" si="409"/>
        <v>#DIV/0!</v>
      </c>
      <c r="AG216" s="80" t="e">
        <f t="shared" si="409"/>
        <v>#DIV/0!</v>
      </c>
      <c r="AH216" s="80" t="e">
        <f t="shared" si="409"/>
        <v>#DIV/0!</v>
      </c>
      <c r="AI216" s="41" t="e">
        <f t="shared" si="409"/>
        <v>#DIV/0!</v>
      </c>
      <c r="AJ216" s="80" t="e">
        <f t="shared" si="409"/>
        <v>#DIV/0!</v>
      </c>
      <c r="AK216" s="80" t="e">
        <f t="shared" si="409"/>
        <v>#DIV/0!</v>
      </c>
      <c r="AL216" s="80" t="e">
        <f t="shared" si="409"/>
        <v>#DIV/0!</v>
      </c>
      <c r="AM216" s="41" t="e">
        <f t="shared" si="409"/>
        <v>#DIV/0!</v>
      </c>
      <c r="AN216" s="80">
        <f t="shared" si="409"/>
        <v>0</v>
      </c>
      <c r="AO216" s="80">
        <f t="shared" si="409"/>
        <v>0</v>
      </c>
      <c r="AP216" s="80">
        <f t="shared" si="409"/>
        <v>0</v>
      </c>
      <c r="AQ216" s="41">
        <f t="shared" si="409"/>
        <v>0</v>
      </c>
      <c r="AR216" s="80">
        <f>AR213/AR151</f>
        <v>0</v>
      </c>
      <c r="AS216" s="80">
        <f>AS213/AS151</f>
        <v>0</v>
      </c>
      <c r="BL216" s="106"/>
      <c r="BM216" s="83"/>
      <c r="BN216" s="86" t="e">
        <f>BN213/BN$8</f>
        <v>#DIV/0!</v>
      </c>
      <c r="BO216" s="83" t="e">
        <f t="shared" ref="BO216:BV216" si="410">BO213/BO$8</f>
        <v>#DIV/0!</v>
      </c>
      <c r="BP216" s="83" t="e">
        <f t="shared" si="410"/>
        <v>#DIV/0!</v>
      </c>
      <c r="BQ216" s="83" t="e">
        <f t="shared" si="410"/>
        <v>#DIV/0!</v>
      </c>
      <c r="BR216" s="83" t="e">
        <f t="shared" si="410"/>
        <v>#DIV/0!</v>
      </c>
      <c r="BS216" s="83" t="e">
        <f t="shared" si="410"/>
        <v>#DIV/0!</v>
      </c>
      <c r="BT216" s="83" t="e">
        <f t="shared" si="410"/>
        <v>#DIV/0!</v>
      </c>
      <c r="BU216" s="117" t="e">
        <f t="shared" si="410"/>
        <v>#DIV/0!</v>
      </c>
      <c r="BV216" s="83">
        <f t="shared" si="410"/>
        <v>0</v>
      </c>
      <c r="CB216" s="18"/>
      <c r="CC216" s="18"/>
      <c r="CD216" s="18"/>
      <c r="CE216" s="18"/>
      <c r="CF216" s="18"/>
      <c r="CG216" s="18"/>
      <c r="CH216" s="18"/>
      <c r="CI216" s="83"/>
      <c r="CJ216" s="83"/>
      <c r="CK216" s="83"/>
      <c r="CL216" s="83"/>
      <c r="CM216" s="83"/>
      <c r="CN216" s="83"/>
      <c r="CO216" s="83"/>
      <c r="CP216" s="83"/>
      <c r="CQ216" s="83"/>
      <c r="CR216" s="83"/>
      <c r="CS216" s="117"/>
    </row>
    <row r="217" spans="1:97" ht="14.25" hidden="1" customHeight="1" outlineLevel="1">
      <c r="A217" s="18"/>
      <c r="B217" s="82"/>
      <c r="C217" s="79"/>
      <c r="D217" s="80"/>
      <c r="E217" s="80"/>
      <c r="F217" s="80"/>
      <c r="G217" s="41"/>
      <c r="H217" s="80"/>
      <c r="I217" s="80"/>
      <c r="J217" s="80"/>
      <c r="K217" s="41"/>
      <c r="L217" s="80"/>
      <c r="M217" s="80"/>
      <c r="N217" s="80"/>
      <c r="O217" s="41"/>
      <c r="P217" s="80"/>
      <c r="Q217" s="80"/>
      <c r="R217" s="80"/>
      <c r="S217" s="41"/>
      <c r="T217" s="80"/>
      <c r="U217" s="80"/>
      <c r="V217" s="80"/>
      <c r="W217" s="41"/>
      <c r="X217" s="80"/>
      <c r="Y217" s="80"/>
      <c r="Z217" s="80"/>
      <c r="AA217" s="41"/>
      <c r="AB217" s="80"/>
      <c r="AC217" s="80"/>
      <c r="AD217" s="80"/>
      <c r="AE217" s="41"/>
      <c r="AF217" s="80"/>
      <c r="AG217" s="80"/>
      <c r="AH217" s="80"/>
      <c r="AI217" s="41"/>
      <c r="AJ217" s="80"/>
      <c r="AK217" s="80"/>
      <c r="AL217" s="80"/>
      <c r="AM217" s="41"/>
      <c r="AN217" s="80"/>
      <c r="AO217" s="80"/>
      <c r="AP217" s="160"/>
      <c r="AQ217" s="41"/>
      <c r="AR217" s="80"/>
      <c r="AS217" s="80"/>
      <c r="BL217" s="106"/>
      <c r="BM217" s="83"/>
      <c r="BN217" s="86"/>
      <c r="BO217" s="83"/>
      <c r="BP217" s="83"/>
      <c r="BQ217" s="83"/>
      <c r="BR217" s="83"/>
      <c r="BS217" s="83"/>
      <c r="BT217" s="83"/>
      <c r="BU217" s="117"/>
      <c r="BV217" s="83"/>
      <c r="CB217" s="18"/>
      <c r="CC217" s="18"/>
      <c r="CD217" s="18"/>
      <c r="CE217" s="18"/>
      <c r="CF217" s="18"/>
      <c r="CG217" s="18"/>
      <c r="CH217" s="18"/>
      <c r="CI217" s="83"/>
      <c r="CJ217" s="83"/>
      <c r="CK217" s="83"/>
      <c r="CL217" s="83"/>
      <c r="CM217" s="83"/>
      <c r="CN217" s="83"/>
      <c r="CO217" s="83"/>
      <c r="CP217" s="83"/>
      <c r="CQ217" s="83"/>
      <c r="CR217" s="83"/>
      <c r="CS217" s="117"/>
    </row>
    <row r="218" spans="1:97" ht="14.25" hidden="1" customHeight="1" outlineLevel="1">
      <c r="A218" s="18"/>
      <c r="B218" s="9" t="s">
        <v>189</v>
      </c>
      <c r="C218" s="26"/>
      <c r="D218" s="47"/>
      <c r="E218" s="47"/>
      <c r="F218" s="47"/>
      <c r="G218" s="48"/>
      <c r="H218" s="47" t="e">
        <f>IS!H205*'BU-Segment'!H174</f>
        <v>#DIV/0!</v>
      </c>
      <c r="I218" s="47" t="e">
        <f>IS!I205*'BU-Segment'!I174</f>
        <v>#DIV/0!</v>
      </c>
      <c r="J218" s="47" t="e">
        <f>IS!J205*'BU-Segment'!J174</f>
        <v>#DIV/0!</v>
      </c>
      <c r="K218" s="48" t="e">
        <f>IS!K205*'BU-Segment'!K174</f>
        <v>#DIV/0!</v>
      </c>
      <c r="L218" s="47" t="e">
        <f>IS!L205*'BU-Segment'!L174</f>
        <v>#DIV/0!</v>
      </c>
      <c r="M218" s="47" t="e">
        <f>IS!M205*'BU-Segment'!M174</f>
        <v>#DIV/0!</v>
      </c>
      <c r="N218" s="47" t="e">
        <f>IS!N205*'BU-Segment'!N174</f>
        <v>#DIV/0!</v>
      </c>
      <c r="O218" s="48" t="e">
        <f>IS!O205*'BU-Segment'!O174</f>
        <v>#DIV/0!</v>
      </c>
      <c r="P218" s="47" t="e">
        <f>IS!P205*'BU-Segment'!P174</f>
        <v>#DIV/0!</v>
      </c>
      <c r="Q218" s="47" t="e">
        <f>IS!Q205*'BU-Segment'!Q174</f>
        <v>#DIV/0!</v>
      </c>
      <c r="R218" s="47" t="e">
        <f>IS!R205*'BU-Segment'!R174</f>
        <v>#DIV/0!</v>
      </c>
      <c r="S218" s="48" t="e">
        <f>IS!S205*'BU-Segment'!S174</f>
        <v>#DIV/0!</v>
      </c>
      <c r="T218" s="47" t="e">
        <f>IS!T205*'BU-Segment'!T174</f>
        <v>#DIV/0!</v>
      </c>
      <c r="U218" s="47" t="e">
        <f>IS!U205*'BU-Segment'!U174</f>
        <v>#DIV/0!</v>
      </c>
      <c r="V218" s="47" t="e">
        <f>IS!V205*'BU-Segment'!V174</f>
        <v>#DIV/0!</v>
      </c>
      <c r="W218" s="48" t="e">
        <f>IS!W205*'BU-Segment'!W174</f>
        <v>#DIV/0!</v>
      </c>
      <c r="X218" s="47" t="e">
        <f>IS!X205*'BU-Segment'!X174</f>
        <v>#DIV/0!</v>
      </c>
      <c r="Y218" s="47" t="e">
        <f>IS!Y205*'BU-Segment'!Y174</f>
        <v>#DIV/0!</v>
      </c>
      <c r="Z218" s="47" t="e">
        <f>IS!Z205*'BU-Segment'!Z174</f>
        <v>#DIV/0!</v>
      </c>
      <c r="AA218" s="48" t="e">
        <f>IS!AA205*'BU-Segment'!AA174</f>
        <v>#DIV/0!</v>
      </c>
      <c r="AB218" s="47" t="e">
        <f>IS!AB205*'BU-Segment'!AB174</f>
        <v>#DIV/0!</v>
      </c>
      <c r="AC218" s="47" t="e">
        <f>IS!AC205*'BU-Segment'!AC174</f>
        <v>#DIV/0!</v>
      </c>
      <c r="AD218" s="47" t="e">
        <f>IS!AD205*'BU-Segment'!AD174</f>
        <v>#DIV/0!</v>
      </c>
      <c r="AE218" s="48" t="e">
        <f>IS!AE205*'BU-Segment'!AE174</f>
        <v>#DIV/0!</v>
      </c>
      <c r="AF218" s="47" t="e">
        <f>IS!AF205*'BU-Segment'!AF174</f>
        <v>#DIV/0!</v>
      </c>
      <c r="AG218" s="47" t="e">
        <f>IS!AG205*'BU-Segment'!AG174</f>
        <v>#DIV/0!</v>
      </c>
      <c r="AH218" s="47" t="e">
        <f>IS!AH205*'BU-Segment'!AH174</f>
        <v>#DIV/0!</v>
      </c>
      <c r="AI218" s="48" t="e">
        <f>IS!AI205*'BU-Segment'!AI174</f>
        <v>#DIV/0!</v>
      </c>
      <c r="AJ218" s="32" t="e">
        <f>IS!AJ205*'BU-Segment'!AJ174</f>
        <v>#DIV/0!</v>
      </c>
      <c r="AK218" s="32" t="e">
        <f>IS!AK205*'BU-Segment'!AK174</f>
        <v>#DIV/0!</v>
      </c>
      <c r="AL218" s="32" t="e">
        <f>IS!AL205*'BU-Segment'!AL174</f>
        <v>#DIV/0!</v>
      </c>
      <c r="AM218" s="31" t="e">
        <f>IS!AM205*'BU-Segment'!AM174</f>
        <v>#DIV/0!</v>
      </c>
      <c r="AN218" s="32">
        <f>IS!AN205*'BU-Segment'!AN174</f>
        <v>0</v>
      </c>
      <c r="AO218" s="32">
        <f>IS!AO205*'BU-Segment'!AO174</f>
        <v>0</v>
      </c>
      <c r="AP218" s="32">
        <f>IS!AP205*'BU-Segment'!AP174</f>
        <v>0</v>
      </c>
      <c r="AQ218" s="31">
        <f>IS!AQ205*'BU-Segment'!AQ174</f>
        <v>0</v>
      </c>
      <c r="AR218" s="32">
        <f>IS!AR205*'BU-Segment'!AR174</f>
        <v>0</v>
      </c>
      <c r="AS218" s="32">
        <f>IS!AS205*'BU-Segment'!AS174</f>
        <v>0</v>
      </c>
      <c r="BL218" s="106"/>
      <c r="BM218" s="34"/>
      <c r="BN218" s="34" t="e">
        <f>SUM(H218:K218)</f>
        <v>#DIV/0!</v>
      </c>
      <c r="BO218" s="34" t="e">
        <f>SUM(L218:O218)</f>
        <v>#DIV/0!</v>
      </c>
      <c r="BP218" s="34" t="e">
        <f>SUM(P218:S218)</f>
        <v>#DIV/0!</v>
      </c>
      <c r="BQ218" s="34" t="e">
        <f>SUM(T218:W218)</f>
        <v>#DIV/0!</v>
      </c>
      <c r="BR218" s="34" t="e">
        <f>SUM(X218:AA218)</f>
        <v>#DIV/0!</v>
      </c>
      <c r="BS218" s="34" t="e">
        <f>SUM(AB218:AE218)</f>
        <v>#DIV/0!</v>
      </c>
      <c r="BT218" s="34" t="e">
        <f>SUM(AF218:AI218)</f>
        <v>#DIV/0!</v>
      </c>
      <c r="BU218" s="114" t="e">
        <f>SUM(AJ218:AM218)</f>
        <v>#DIV/0!</v>
      </c>
      <c r="BV218" s="34">
        <f>SUM(AN218:AQ218)</f>
        <v>0</v>
      </c>
      <c r="CB218" s="18"/>
      <c r="CC218" s="18"/>
      <c r="CD218" s="18"/>
      <c r="CE218" s="18"/>
      <c r="CF218" s="18"/>
      <c r="CG218" s="18"/>
      <c r="CH218" s="18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114"/>
    </row>
    <row r="219" spans="1:97" ht="14.25" hidden="1" customHeight="1" outlineLevel="2">
      <c r="A219" s="18"/>
      <c r="B219" s="79" t="s">
        <v>186</v>
      </c>
      <c r="C219" s="79"/>
      <c r="D219" s="80"/>
      <c r="E219" s="80"/>
      <c r="F219" s="80"/>
      <c r="G219" s="41"/>
      <c r="H219" s="80"/>
      <c r="I219" s="80" t="e">
        <f t="shared" ref="I219:AS219" si="411">I218/H218-1</f>
        <v>#DIV/0!</v>
      </c>
      <c r="J219" s="80" t="e">
        <f t="shared" si="411"/>
        <v>#DIV/0!</v>
      </c>
      <c r="K219" s="41" t="e">
        <f t="shared" si="411"/>
        <v>#DIV/0!</v>
      </c>
      <c r="L219" s="80" t="e">
        <f t="shared" si="411"/>
        <v>#DIV/0!</v>
      </c>
      <c r="M219" s="80" t="e">
        <f t="shared" si="411"/>
        <v>#DIV/0!</v>
      </c>
      <c r="N219" s="80" t="e">
        <f t="shared" si="411"/>
        <v>#DIV/0!</v>
      </c>
      <c r="O219" s="41" t="e">
        <f t="shared" si="411"/>
        <v>#DIV/0!</v>
      </c>
      <c r="P219" s="80" t="e">
        <f t="shared" si="411"/>
        <v>#DIV/0!</v>
      </c>
      <c r="Q219" s="80" t="e">
        <f t="shared" si="411"/>
        <v>#DIV/0!</v>
      </c>
      <c r="R219" s="80" t="e">
        <f t="shared" si="411"/>
        <v>#DIV/0!</v>
      </c>
      <c r="S219" s="41" t="e">
        <f t="shared" si="411"/>
        <v>#DIV/0!</v>
      </c>
      <c r="T219" s="80" t="e">
        <f t="shared" si="411"/>
        <v>#DIV/0!</v>
      </c>
      <c r="U219" s="80" t="e">
        <f t="shared" si="411"/>
        <v>#DIV/0!</v>
      </c>
      <c r="V219" s="80" t="e">
        <f t="shared" si="411"/>
        <v>#DIV/0!</v>
      </c>
      <c r="W219" s="41" t="e">
        <f t="shared" si="411"/>
        <v>#DIV/0!</v>
      </c>
      <c r="X219" s="80" t="e">
        <f t="shared" si="411"/>
        <v>#DIV/0!</v>
      </c>
      <c r="Y219" s="80" t="e">
        <f t="shared" si="411"/>
        <v>#DIV/0!</v>
      </c>
      <c r="Z219" s="80" t="e">
        <f t="shared" si="411"/>
        <v>#DIV/0!</v>
      </c>
      <c r="AA219" s="41" t="e">
        <f t="shared" si="411"/>
        <v>#DIV/0!</v>
      </c>
      <c r="AB219" s="80" t="e">
        <f t="shared" si="411"/>
        <v>#DIV/0!</v>
      </c>
      <c r="AC219" s="80" t="e">
        <f t="shared" si="411"/>
        <v>#DIV/0!</v>
      </c>
      <c r="AD219" s="80" t="e">
        <f t="shared" si="411"/>
        <v>#DIV/0!</v>
      </c>
      <c r="AE219" s="41" t="e">
        <f t="shared" si="411"/>
        <v>#DIV/0!</v>
      </c>
      <c r="AF219" s="80" t="e">
        <f t="shared" si="411"/>
        <v>#DIV/0!</v>
      </c>
      <c r="AG219" s="80" t="e">
        <f t="shared" si="411"/>
        <v>#DIV/0!</v>
      </c>
      <c r="AH219" s="80" t="e">
        <f t="shared" si="411"/>
        <v>#DIV/0!</v>
      </c>
      <c r="AI219" s="41" t="e">
        <f t="shared" si="411"/>
        <v>#DIV/0!</v>
      </c>
      <c r="AJ219" s="80" t="e">
        <f t="shared" si="411"/>
        <v>#DIV/0!</v>
      </c>
      <c r="AK219" s="80" t="e">
        <f t="shared" si="411"/>
        <v>#DIV/0!</v>
      </c>
      <c r="AL219" s="80" t="e">
        <f t="shared" si="411"/>
        <v>#DIV/0!</v>
      </c>
      <c r="AM219" s="41" t="e">
        <f t="shared" si="411"/>
        <v>#DIV/0!</v>
      </c>
      <c r="AN219" s="80" t="e">
        <f t="shared" si="411"/>
        <v>#DIV/0!</v>
      </c>
      <c r="AO219" s="80" t="e">
        <f t="shared" si="411"/>
        <v>#DIV/0!</v>
      </c>
      <c r="AP219" s="80" t="e">
        <f t="shared" si="411"/>
        <v>#DIV/0!</v>
      </c>
      <c r="AQ219" s="41" t="e">
        <f t="shared" si="411"/>
        <v>#DIV/0!</v>
      </c>
      <c r="AR219" s="80" t="e">
        <f t="shared" si="411"/>
        <v>#DIV/0!</v>
      </c>
      <c r="AS219" s="80" t="e">
        <f t="shared" si="411"/>
        <v>#DIV/0!</v>
      </c>
      <c r="BL219" s="106"/>
      <c r="BM219" s="81"/>
      <c r="BN219" s="81"/>
      <c r="BO219" s="81"/>
      <c r="BP219" s="81"/>
      <c r="BQ219" s="81"/>
      <c r="BR219" s="81"/>
      <c r="BS219" s="81"/>
      <c r="BT219" s="81"/>
      <c r="BU219" s="115"/>
      <c r="BV219" s="81"/>
      <c r="CB219" s="18"/>
      <c r="CC219" s="18"/>
      <c r="CD219" s="18"/>
      <c r="CE219" s="18"/>
      <c r="CF219" s="18"/>
      <c r="CG219" s="18"/>
      <c r="CH219" s="18"/>
      <c r="CI219" s="81"/>
      <c r="CJ219" s="81"/>
      <c r="CK219" s="81"/>
      <c r="CL219" s="81"/>
      <c r="CM219" s="81"/>
      <c r="CN219" s="81"/>
      <c r="CO219" s="81"/>
      <c r="CP219" s="81"/>
      <c r="CQ219" s="81"/>
      <c r="CR219" s="81"/>
      <c r="CS219" s="115"/>
    </row>
    <row r="220" spans="1:97" ht="14.25" hidden="1" customHeight="1" outlineLevel="2">
      <c r="A220" s="18"/>
      <c r="B220" s="82" t="s">
        <v>187</v>
      </c>
      <c r="C220" s="82"/>
      <c r="D220" s="80"/>
      <c r="E220" s="80"/>
      <c r="F220" s="80"/>
      <c r="G220" s="41"/>
      <c r="H220" s="80"/>
      <c r="I220" s="80"/>
      <c r="J220" s="80"/>
      <c r="K220" s="41"/>
      <c r="L220" s="80" t="e">
        <f t="shared" ref="L220:AS220" si="412">L218/H218-1</f>
        <v>#DIV/0!</v>
      </c>
      <c r="M220" s="80" t="e">
        <f t="shared" si="412"/>
        <v>#DIV/0!</v>
      </c>
      <c r="N220" s="80" t="e">
        <f t="shared" si="412"/>
        <v>#DIV/0!</v>
      </c>
      <c r="O220" s="41" t="e">
        <f t="shared" si="412"/>
        <v>#DIV/0!</v>
      </c>
      <c r="P220" s="80" t="e">
        <f t="shared" si="412"/>
        <v>#DIV/0!</v>
      </c>
      <c r="Q220" s="80" t="e">
        <f t="shared" si="412"/>
        <v>#DIV/0!</v>
      </c>
      <c r="R220" s="80" t="e">
        <f t="shared" si="412"/>
        <v>#DIV/0!</v>
      </c>
      <c r="S220" s="41" t="e">
        <f t="shared" si="412"/>
        <v>#DIV/0!</v>
      </c>
      <c r="T220" s="80" t="e">
        <f t="shared" si="412"/>
        <v>#DIV/0!</v>
      </c>
      <c r="U220" s="80" t="e">
        <f t="shared" si="412"/>
        <v>#DIV/0!</v>
      </c>
      <c r="V220" s="80" t="e">
        <f t="shared" si="412"/>
        <v>#DIV/0!</v>
      </c>
      <c r="W220" s="41" t="e">
        <f t="shared" si="412"/>
        <v>#DIV/0!</v>
      </c>
      <c r="X220" s="80" t="e">
        <f t="shared" si="412"/>
        <v>#DIV/0!</v>
      </c>
      <c r="Y220" s="80" t="e">
        <f t="shared" si="412"/>
        <v>#DIV/0!</v>
      </c>
      <c r="Z220" s="80" t="e">
        <f t="shared" si="412"/>
        <v>#DIV/0!</v>
      </c>
      <c r="AA220" s="41" t="e">
        <f t="shared" si="412"/>
        <v>#DIV/0!</v>
      </c>
      <c r="AB220" s="80" t="e">
        <f t="shared" si="412"/>
        <v>#DIV/0!</v>
      </c>
      <c r="AC220" s="80" t="e">
        <f t="shared" si="412"/>
        <v>#DIV/0!</v>
      </c>
      <c r="AD220" s="80" t="e">
        <f t="shared" si="412"/>
        <v>#DIV/0!</v>
      </c>
      <c r="AE220" s="41" t="e">
        <f t="shared" si="412"/>
        <v>#DIV/0!</v>
      </c>
      <c r="AF220" s="80" t="e">
        <f t="shared" si="412"/>
        <v>#DIV/0!</v>
      </c>
      <c r="AG220" s="80" t="e">
        <f t="shared" si="412"/>
        <v>#DIV/0!</v>
      </c>
      <c r="AH220" s="80" t="e">
        <f t="shared" si="412"/>
        <v>#DIV/0!</v>
      </c>
      <c r="AI220" s="41" t="e">
        <f t="shared" si="412"/>
        <v>#DIV/0!</v>
      </c>
      <c r="AJ220" s="80" t="e">
        <f t="shared" si="412"/>
        <v>#DIV/0!</v>
      </c>
      <c r="AK220" s="80" t="e">
        <f t="shared" si="412"/>
        <v>#DIV/0!</v>
      </c>
      <c r="AL220" s="80" t="e">
        <f t="shared" si="412"/>
        <v>#DIV/0!</v>
      </c>
      <c r="AM220" s="41" t="e">
        <f t="shared" si="412"/>
        <v>#DIV/0!</v>
      </c>
      <c r="AN220" s="80" t="e">
        <f t="shared" si="412"/>
        <v>#DIV/0!</v>
      </c>
      <c r="AO220" s="80" t="e">
        <f t="shared" si="412"/>
        <v>#DIV/0!</v>
      </c>
      <c r="AP220" s="80" t="e">
        <f t="shared" si="412"/>
        <v>#DIV/0!</v>
      </c>
      <c r="AQ220" s="41" t="e">
        <f t="shared" si="412"/>
        <v>#DIV/0!</v>
      </c>
      <c r="AR220" s="80" t="e">
        <f t="shared" si="412"/>
        <v>#DIV/0!</v>
      </c>
      <c r="AS220" s="80" t="e">
        <f t="shared" si="412"/>
        <v>#DIV/0!</v>
      </c>
      <c r="BL220" s="106"/>
      <c r="BM220" s="80"/>
      <c r="BN220" s="83"/>
      <c r="BO220" s="83" t="e">
        <f t="shared" ref="BO220:BV220" si="413">BO218/BN218-1</f>
        <v>#DIV/0!</v>
      </c>
      <c r="BP220" s="83" t="e">
        <f t="shared" si="413"/>
        <v>#DIV/0!</v>
      </c>
      <c r="BQ220" s="83" t="e">
        <f t="shared" si="413"/>
        <v>#DIV/0!</v>
      </c>
      <c r="BR220" s="83" t="e">
        <f t="shared" si="413"/>
        <v>#DIV/0!</v>
      </c>
      <c r="BS220" s="83" t="e">
        <f t="shared" si="413"/>
        <v>#DIV/0!</v>
      </c>
      <c r="BT220" s="83" t="e">
        <f t="shared" si="413"/>
        <v>#DIV/0!</v>
      </c>
      <c r="BU220" s="117" t="e">
        <f t="shared" si="413"/>
        <v>#DIV/0!</v>
      </c>
      <c r="BV220" s="83" t="e">
        <f t="shared" si="413"/>
        <v>#DIV/0!</v>
      </c>
      <c r="CB220" s="18"/>
      <c r="CC220" s="18"/>
      <c r="CD220" s="18"/>
      <c r="CE220" s="18"/>
      <c r="CF220" s="18"/>
      <c r="CG220" s="18"/>
      <c r="CH220" s="18"/>
      <c r="CI220" s="80"/>
      <c r="CJ220" s="83"/>
      <c r="CK220" s="83"/>
      <c r="CL220" s="83"/>
      <c r="CM220" s="83"/>
      <c r="CN220" s="83"/>
      <c r="CO220" s="83"/>
      <c r="CP220" s="83"/>
      <c r="CQ220" s="83"/>
      <c r="CR220" s="83"/>
      <c r="CS220" s="117"/>
    </row>
    <row r="221" spans="1:97" ht="14.25" hidden="1" customHeight="1" outlineLevel="1">
      <c r="A221" s="18"/>
      <c r="B221" s="82" t="s">
        <v>197</v>
      </c>
      <c r="C221" s="79"/>
      <c r="D221" s="80"/>
      <c r="E221" s="80"/>
      <c r="F221" s="80"/>
      <c r="G221" s="41"/>
      <c r="H221" s="80" t="e">
        <f t="shared" ref="H221:AQ221" si="414">H218/H171</f>
        <v>#DIV/0!</v>
      </c>
      <c r="I221" s="80" t="e">
        <f t="shared" si="414"/>
        <v>#DIV/0!</v>
      </c>
      <c r="J221" s="80" t="e">
        <f t="shared" si="414"/>
        <v>#DIV/0!</v>
      </c>
      <c r="K221" s="41" t="e">
        <f t="shared" si="414"/>
        <v>#DIV/0!</v>
      </c>
      <c r="L221" s="80" t="e">
        <f t="shared" si="414"/>
        <v>#DIV/0!</v>
      </c>
      <c r="M221" s="80" t="e">
        <f t="shared" si="414"/>
        <v>#DIV/0!</v>
      </c>
      <c r="N221" s="80" t="e">
        <f t="shared" si="414"/>
        <v>#DIV/0!</v>
      </c>
      <c r="O221" s="41" t="e">
        <f t="shared" si="414"/>
        <v>#DIV/0!</v>
      </c>
      <c r="P221" s="80" t="e">
        <f t="shared" si="414"/>
        <v>#DIV/0!</v>
      </c>
      <c r="Q221" s="80" t="e">
        <f t="shared" si="414"/>
        <v>#DIV/0!</v>
      </c>
      <c r="R221" s="80" t="e">
        <f t="shared" si="414"/>
        <v>#DIV/0!</v>
      </c>
      <c r="S221" s="41" t="e">
        <f t="shared" si="414"/>
        <v>#DIV/0!</v>
      </c>
      <c r="T221" s="80" t="e">
        <f t="shared" si="414"/>
        <v>#DIV/0!</v>
      </c>
      <c r="U221" s="80" t="e">
        <f t="shared" si="414"/>
        <v>#DIV/0!</v>
      </c>
      <c r="V221" s="80" t="e">
        <f t="shared" si="414"/>
        <v>#DIV/0!</v>
      </c>
      <c r="W221" s="41" t="e">
        <f t="shared" si="414"/>
        <v>#DIV/0!</v>
      </c>
      <c r="X221" s="80" t="e">
        <f t="shared" si="414"/>
        <v>#DIV/0!</v>
      </c>
      <c r="Y221" s="80" t="e">
        <f t="shared" si="414"/>
        <v>#DIV/0!</v>
      </c>
      <c r="Z221" s="80" t="e">
        <f t="shared" si="414"/>
        <v>#DIV/0!</v>
      </c>
      <c r="AA221" s="41" t="e">
        <f t="shared" si="414"/>
        <v>#DIV/0!</v>
      </c>
      <c r="AB221" s="80" t="e">
        <f t="shared" si="414"/>
        <v>#DIV/0!</v>
      </c>
      <c r="AC221" s="80" t="e">
        <f t="shared" si="414"/>
        <v>#DIV/0!</v>
      </c>
      <c r="AD221" s="80" t="e">
        <f t="shared" si="414"/>
        <v>#DIV/0!</v>
      </c>
      <c r="AE221" s="41" t="e">
        <f t="shared" si="414"/>
        <v>#DIV/0!</v>
      </c>
      <c r="AF221" s="80" t="e">
        <f t="shared" si="414"/>
        <v>#DIV/0!</v>
      </c>
      <c r="AG221" s="80" t="e">
        <f t="shared" si="414"/>
        <v>#DIV/0!</v>
      </c>
      <c r="AH221" s="80" t="e">
        <f t="shared" si="414"/>
        <v>#DIV/0!</v>
      </c>
      <c r="AI221" s="41" t="e">
        <f t="shared" si="414"/>
        <v>#DIV/0!</v>
      </c>
      <c r="AJ221" s="80" t="e">
        <f t="shared" si="414"/>
        <v>#DIV/0!</v>
      </c>
      <c r="AK221" s="80" t="e">
        <f t="shared" si="414"/>
        <v>#DIV/0!</v>
      </c>
      <c r="AL221" s="80" t="e">
        <f t="shared" si="414"/>
        <v>#DIV/0!</v>
      </c>
      <c r="AM221" s="41" t="e">
        <f t="shared" si="414"/>
        <v>#DIV/0!</v>
      </c>
      <c r="AN221" s="80">
        <f t="shared" si="414"/>
        <v>0</v>
      </c>
      <c r="AO221" s="80">
        <f t="shared" si="414"/>
        <v>0</v>
      </c>
      <c r="AP221" s="80">
        <f t="shared" si="414"/>
        <v>0</v>
      </c>
      <c r="AQ221" s="41">
        <f t="shared" si="414"/>
        <v>0</v>
      </c>
      <c r="AR221" s="80">
        <f>AR218/AR171</f>
        <v>0</v>
      </c>
      <c r="AS221" s="80">
        <f>AS218/AS171</f>
        <v>0</v>
      </c>
      <c r="BL221" s="106"/>
      <c r="BM221" s="83"/>
      <c r="BN221" s="86" t="e">
        <f t="shared" ref="BN221:BV221" si="415">BN218/BN171</f>
        <v>#DIV/0!</v>
      </c>
      <c r="BO221" s="83" t="e">
        <f t="shared" si="415"/>
        <v>#DIV/0!</v>
      </c>
      <c r="BP221" s="83" t="e">
        <f t="shared" si="415"/>
        <v>#DIV/0!</v>
      </c>
      <c r="BQ221" s="83" t="e">
        <f t="shared" si="415"/>
        <v>#DIV/0!</v>
      </c>
      <c r="BR221" s="83" t="e">
        <f t="shared" si="415"/>
        <v>#DIV/0!</v>
      </c>
      <c r="BS221" s="83" t="e">
        <f t="shared" si="415"/>
        <v>#DIV/0!</v>
      </c>
      <c r="BT221" s="83" t="e">
        <f t="shared" si="415"/>
        <v>#DIV/0!</v>
      </c>
      <c r="BU221" s="117" t="e">
        <f t="shared" si="415"/>
        <v>#DIV/0!</v>
      </c>
      <c r="BV221" s="83">
        <f t="shared" si="415"/>
        <v>0</v>
      </c>
      <c r="CB221" s="18"/>
      <c r="CC221" s="18"/>
      <c r="CD221" s="18"/>
      <c r="CE221" s="18"/>
      <c r="CF221" s="18"/>
      <c r="CG221" s="18"/>
      <c r="CH221" s="18"/>
      <c r="CI221" s="83"/>
      <c r="CJ221" s="83"/>
      <c r="CK221" s="83"/>
      <c r="CL221" s="83"/>
      <c r="CM221" s="83"/>
      <c r="CN221" s="83"/>
      <c r="CO221" s="83"/>
      <c r="CP221" s="83"/>
      <c r="CQ221" s="83"/>
      <c r="CR221" s="83"/>
      <c r="CS221" s="117"/>
    </row>
    <row r="222" spans="1:97" ht="14.25" hidden="1" customHeight="1" outlineLevel="1">
      <c r="A222" s="18"/>
      <c r="B222" s="82"/>
      <c r="C222" s="79"/>
      <c r="D222" s="80"/>
      <c r="E222" s="80"/>
      <c r="F222" s="80"/>
      <c r="G222" s="41"/>
      <c r="H222" s="80"/>
      <c r="I222" s="80"/>
      <c r="J222" s="80"/>
      <c r="K222" s="41"/>
      <c r="L222" s="80"/>
      <c r="M222" s="80"/>
      <c r="N222" s="80"/>
      <c r="O222" s="41"/>
      <c r="P222" s="80"/>
      <c r="Q222" s="80"/>
      <c r="R222" s="80"/>
      <c r="S222" s="41"/>
      <c r="T222" s="80"/>
      <c r="U222" s="80"/>
      <c r="V222" s="80"/>
      <c r="W222" s="41"/>
      <c r="X222" s="80"/>
      <c r="Y222" s="80"/>
      <c r="Z222" s="80"/>
      <c r="AA222" s="41"/>
      <c r="AB222" s="80"/>
      <c r="AC222" s="80"/>
      <c r="AD222" s="80"/>
      <c r="AE222" s="41"/>
      <c r="AF222" s="80"/>
      <c r="AG222" s="80"/>
      <c r="AH222" s="80"/>
      <c r="AI222" s="41"/>
      <c r="AJ222" s="80"/>
      <c r="AK222" s="80"/>
      <c r="AL222" s="80"/>
      <c r="AM222" s="41"/>
      <c r="AN222" s="80"/>
      <c r="AO222" s="80"/>
      <c r="AP222" s="160"/>
      <c r="AQ222" s="41"/>
      <c r="AR222" s="80"/>
      <c r="AS222" s="80"/>
      <c r="BL222" s="106"/>
      <c r="BM222" s="83"/>
      <c r="BN222" s="86"/>
      <c r="BO222" s="83"/>
      <c r="BP222" s="83"/>
      <c r="BQ222" s="83"/>
      <c r="BR222" s="83"/>
      <c r="BS222" s="83"/>
      <c r="BT222" s="83"/>
      <c r="BU222" s="117"/>
      <c r="BV222" s="83"/>
      <c r="CB222" s="18"/>
      <c r="CC222" s="18"/>
      <c r="CD222" s="18"/>
      <c r="CE222" s="18"/>
      <c r="CF222" s="18"/>
      <c r="CG222" s="18"/>
      <c r="CH222" s="18"/>
      <c r="CI222" s="83"/>
      <c r="CJ222" s="83"/>
      <c r="CK222" s="83"/>
      <c r="CL222" s="83"/>
      <c r="CM222" s="83"/>
      <c r="CN222" s="83"/>
      <c r="CO222" s="83"/>
      <c r="CP222" s="83"/>
      <c r="CQ222" s="83"/>
      <c r="CR222" s="83"/>
      <c r="CS222" s="117"/>
    </row>
    <row r="223" spans="1:97" ht="14.25" hidden="1" customHeight="1" outlineLevel="1">
      <c r="A223" s="18"/>
      <c r="B223" s="9" t="s">
        <v>190</v>
      </c>
      <c r="C223" s="26"/>
      <c r="D223" s="47"/>
      <c r="E223" s="47"/>
      <c r="F223" s="47"/>
      <c r="G223" s="48"/>
      <c r="H223" s="47" t="e">
        <f>IS!H205*'BU-Segment'!H181</f>
        <v>#DIV/0!</v>
      </c>
      <c r="I223" s="47" t="e">
        <f>IS!I205*'BU-Segment'!I181</f>
        <v>#DIV/0!</v>
      </c>
      <c r="J223" s="47" t="e">
        <f>IS!J205*'BU-Segment'!J181</f>
        <v>#DIV/0!</v>
      </c>
      <c r="K223" s="48" t="e">
        <f>IS!K205*'BU-Segment'!K181</f>
        <v>#DIV/0!</v>
      </c>
      <c r="L223" s="47" t="e">
        <f>IS!L205*'BU-Segment'!L181</f>
        <v>#DIV/0!</v>
      </c>
      <c r="M223" s="47" t="e">
        <f>IS!M205*'BU-Segment'!M181</f>
        <v>#DIV/0!</v>
      </c>
      <c r="N223" s="47" t="e">
        <f>IS!N205*'BU-Segment'!N181</f>
        <v>#DIV/0!</v>
      </c>
      <c r="O223" s="48" t="e">
        <f>IS!O205*'BU-Segment'!O181</f>
        <v>#DIV/0!</v>
      </c>
      <c r="P223" s="47" t="e">
        <f>IS!P205*'BU-Segment'!P181</f>
        <v>#DIV/0!</v>
      </c>
      <c r="Q223" s="47" t="e">
        <f>IS!Q205*'BU-Segment'!Q181</f>
        <v>#DIV/0!</v>
      </c>
      <c r="R223" s="47" t="e">
        <f>IS!R205*'BU-Segment'!R181</f>
        <v>#DIV/0!</v>
      </c>
      <c r="S223" s="48" t="e">
        <f>IS!S205*'BU-Segment'!S181</f>
        <v>#DIV/0!</v>
      </c>
      <c r="T223" s="47" t="e">
        <f>IS!T205*'BU-Segment'!T181</f>
        <v>#DIV/0!</v>
      </c>
      <c r="U223" s="47" t="e">
        <f>IS!U205*'BU-Segment'!U181</f>
        <v>#DIV/0!</v>
      </c>
      <c r="V223" s="47" t="e">
        <f>IS!V205*'BU-Segment'!V181</f>
        <v>#DIV/0!</v>
      </c>
      <c r="W223" s="48" t="e">
        <f>IS!W205*'BU-Segment'!W181</f>
        <v>#DIV/0!</v>
      </c>
      <c r="X223" s="47" t="e">
        <f>IS!X205*'BU-Segment'!X181</f>
        <v>#DIV/0!</v>
      </c>
      <c r="Y223" s="47" t="e">
        <f>IS!Y205*'BU-Segment'!Y181</f>
        <v>#DIV/0!</v>
      </c>
      <c r="Z223" s="47" t="e">
        <f>IS!Z205*'BU-Segment'!Z181</f>
        <v>#DIV/0!</v>
      </c>
      <c r="AA223" s="48" t="e">
        <f>IS!AA205*'BU-Segment'!AA181</f>
        <v>#DIV/0!</v>
      </c>
      <c r="AB223" s="47" t="e">
        <f>IS!AB205*'BU-Segment'!AB181</f>
        <v>#DIV/0!</v>
      </c>
      <c r="AC223" s="47" t="e">
        <f>IS!AC205*'BU-Segment'!AC181</f>
        <v>#DIV/0!</v>
      </c>
      <c r="AD223" s="47" t="e">
        <f>IS!AD205*'BU-Segment'!AD181</f>
        <v>#DIV/0!</v>
      </c>
      <c r="AE223" s="48" t="e">
        <f>IS!AE205*'BU-Segment'!AE181</f>
        <v>#DIV/0!</v>
      </c>
      <c r="AF223" s="47" t="e">
        <f>IS!AF205*'BU-Segment'!AF181</f>
        <v>#DIV/0!</v>
      </c>
      <c r="AG223" s="47" t="e">
        <f>IS!AG205*'BU-Segment'!AG181</f>
        <v>#DIV/0!</v>
      </c>
      <c r="AH223" s="47" t="e">
        <f>IS!AH205*'BU-Segment'!AH181</f>
        <v>#DIV/0!</v>
      </c>
      <c r="AI223" s="48" t="e">
        <f>IS!AI205*'BU-Segment'!AI181</f>
        <v>#DIV/0!</v>
      </c>
      <c r="AJ223" s="32" t="e">
        <f>IS!AJ205*'BU-Segment'!AJ181</f>
        <v>#DIV/0!</v>
      </c>
      <c r="AK223" s="32" t="e">
        <f>IS!AK205*'BU-Segment'!AK181</f>
        <v>#DIV/0!</v>
      </c>
      <c r="AL223" s="32" t="e">
        <f>IS!AL205*'BU-Segment'!AL181</f>
        <v>#DIV/0!</v>
      </c>
      <c r="AM223" s="31" t="e">
        <f>IS!AM205*'BU-Segment'!AM181</f>
        <v>#DIV/0!</v>
      </c>
      <c r="AN223" s="32">
        <f>IS!AN205*'BU-Segment'!AN181</f>
        <v>0</v>
      </c>
      <c r="AO223" s="32">
        <f>IS!AO205*'BU-Segment'!AO181</f>
        <v>0</v>
      </c>
      <c r="AP223" s="32">
        <f>IS!AP205*'BU-Segment'!AP181</f>
        <v>0</v>
      </c>
      <c r="AQ223" s="31">
        <f>IS!AQ205*'BU-Segment'!AQ181</f>
        <v>0</v>
      </c>
      <c r="AR223" s="32">
        <f>IS!AR205*'BU-Segment'!AR181</f>
        <v>0</v>
      </c>
      <c r="AS223" s="32">
        <f>IS!AS205*'BU-Segment'!AS181</f>
        <v>0</v>
      </c>
      <c r="BL223" s="106"/>
      <c r="BM223" s="34"/>
      <c r="BN223" s="34" t="e">
        <f>SUM(H223:K223)</f>
        <v>#DIV/0!</v>
      </c>
      <c r="BO223" s="34" t="e">
        <f>SUM(L223:O223)</f>
        <v>#DIV/0!</v>
      </c>
      <c r="BP223" s="34" t="e">
        <f>SUM(P223:S223)</f>
        <v>#DIV/0!</v>
      </c>
      <c r="BQ223" s="34" t="e">
        <f>SUM(T223:W223)</f>
        <v>#DIV/0!</v>
      </c>
      <c r="BR223" s="34" t="e">
        <f>SUM(X223:AA223)</f>
        <v>#DIV/0!</v>
      </c>
      <c r="BS223" s="34" t="e">
        <f>SUM(AB223:AE223)</f>
        <v>#DIV/0!</v>
      </c>
      <c r="BT223" s="34" t="e">
        <f>SUM(AF223:AI223)</f>
        <v>#DIV/0!</v>
      </c>
      <c r="BU223" s="114" t="e">
        <f>SUM(AJ223:AM223)</f>
        <v>#DIV/0!</v>
      </c>
      <c r="BV223" s="34">
        <f>SUM(AN223:AQ223)</f>
        <v>0</v>
      </c>
      <c r="CB223" s="18"/>
      <c r="CC223" s="18"/>
      <c r="CD223" s="18"/>
      <c r="CE223" s="18"/>
      <c r="CF223" s="18"/>
      <c r="CG223" s="18"/>
      <c r="CH223" s="18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114"/>
    </row>
    <row r="224" spans="1:97" ht="14.25" hidden="1" customHeight="1" outlineLevel="2">
      <c r="A224" s="18"/>
      <c r="B224" s="79" t="s">
        <v>186</v>
      </c>
      <c r="C224" s="79"/>
      <c r="D224" s="80"/>
      <c r="E224" s="80"/>
      <c r="F224" s="80"/>
      <c r="G224" s="41"/>
      <c r="H224" s="80"/>
      <c r="I224" s="80" t="e">
        <f t="shared" ref="I224:AS224" si="416">I223/H223-1</f>
        <v>#DIV/0!</v>
      </c>
      <c r="J224" s="80" t="e">
        <f t="shared" si="416"/>
        <v>#DIV/0!</v>
      </c>
      <c r="K224" s="41" t="e">
        <f t="shared" si="416"/>
        <v>#DIV/0!</v>
      </c>
      <c r="L224" s="80" t="e">
        <f t="shared" si="416"/>
        <v>#DIV/0!</v>
      </c>
      <c r="M224" s="80" t="e">
        <f t="shared" si="416"/>
        <v>#DIV/0!</v>
      </c>
      <c r="N224" s="80" t="e">
        <f t="shared" si="416"/>
        <v>#DIV/0!</v>
      </c>
      <c r="O224" s="41" t="e">
        <f t="shared" si="416"/>
        <v>#DIV/0!</v>
      </c>
      <c r="P224" s="80" t="e">
        <f t="shared" si="416"/>
        <v>#DIV/0!</v>
      </c>
      <c r="Q224" s="80" t="e">
        <f t="shared" si="416"/>
        <v>#DIV/0!</v>
      </c>
      <c r="R224" s="80" t="e">
        <f t="shared" si="416"/>
        <v>#DIV/0!</v>
      </c>
      <c r="S224" s="41" t="e">
        <f t="shared" si="416"/>
        <v>#DIV/0!</v>
      </c>
      <c r="T224" s="80" t="e">
        <f t="shared" si="416"/>
        <v>#DIV/0!</v>
      </c>
      <c r="U224" s="80" t="e">
        <f t="shared" si="416"/>
        <v>#DIV/0!</v>
      </c>
      <c r="V224" s="80" t="e">
        <f t="shared" si="416"/>
        <v>#DIV/0!</v>
      </c>
      <c r="W224" s="41" t="e">
        <f t="shared" si="416"/>
        <v>#DIV/0!</v>
      </c>
      <c r="X224" s="80" t="e">
        <f t="shared" si="416"/>
        <v>#DIV/0!</v>
      </c>
      <c r="Y224" s="80" t="e">
        <f t="shared" si="416"/>
        <v>#DIV/0!</v>
      </c>
      <c r="Z224" s="80" t="e">
        <f t="shared" si="416"/>
        <v>#DIV/0!</v>
      </c>
      <c r="AA224" s="41" t="e">
        <f t="shared" si="416"/>
        <v>#DIV/0!</v>
      </c>
      <c r="AB224" s="80" t="e">
        <f t="shared" si="416"/>
        <v>#DIV/0!</v>
      </c>
      <c r="AC224" s="80" t="e">
        <f t="shared" si="416"/>
        <v>#DIV/0!</v>
      </c>
      <c r="AD224" s="80" t="e">
        <f t="shared" si="416"/>
        <v>#DIV/0!</v>
      </c>
      <c r="AE224" s="41" t="e">
        <f t="shared" si="416"/>
        <v>#DIV/0!</v>
      </c>
      <c r="AF224" s="80" t="e">
        <f t="shared" si="416"/>
        <v>#DIV/0!</v>
      </c>
      <c r="AG224" s="80" t="e">
        <f t="shared" si="416"/>
        <v>#DIV/0!</v>
      </c>
      <c r="AH224" s="80" t="e">
        <f t="shared" si="416"/>
        <v>#DIV/0!</v>
      </c>
      <c r="AI224" s="41" t="e">
        <f t="shared" si="416"/>
        <v>#DIV/0!</v>
      </c>
      <c r="AJ224" s="80" t="e">
        <f t="shared" si="416"/>
        <v>#DIV/0!</v>
      </c>
      <c r="AK224" s="80" t="e">
        <f t="shared" si="416"/>
        <v>#DIV/0!</v>
      </c>
      <c r="AL224" s="80" t="e">
        <f t="shared" si="416"/>
        <v>#DIV/0!</v>
      </c>
      <c r="AM224" s="41" t="e">
        <f t="shared" si="416"/>
        <v>#DIV/0!</v>
      </c>
      <c r="AN224" s="80" t="e">
        <f t="shared" si="416"/>
        <v>#DIV/0!</v>
      </c>
      <c r="AO224" s="80" t="e">
        <f t="shared" si="416"/>
        <v>#DIV/0!</v>
      </c>
      <c r="AP224" s="80" t="e">
        <f t="shared" si="416"/>
        <v>#DIV/0!</v>
      </c>
      <c r="AQ224" s="41" t="e">
        <f t="shared" si="416"/>
        <v>#DIV/0!</v>
      </c>
      <c r="AR224" s="80" t="e">
        <f t="shared" si="416"/>
        <v>#DIV/0!</v>
      </c>
      <c r="AS224" s="80" t="e">
        <f t="shared" si="416"/>
        <v>#DIV/0!</v>
      </c>
      <c r="BL224" s="106"/>
      <c r="BM224" s="81"/>
      <c r="BN224" s="81"/>
      <c r="BO224" s="81"/>
      <c r="BP224" s="81"/>
      <c r="BQ224" s="81"/>
      <c r="BR224" s="81"/>
      <c r="BS224" s="81"/>
      <c r="BT224" s="81"/>
      <c r="BU224" s="115"/>
      <c r="BV224" s="81"/>
      <c r="CB224" s="18"/>
      <c r="CC224" s="18"/>
      <c r="CD224" s="18"/>
      <c r="CE224" s="18"/>
      <c r="CF224" s="18"/>
      <c r="CG224" s="18"/>
      <c r="CH224" s="18"/>
      <c r="CI224" s="81"/>
      <c r="CJ224" s="81"/>
      <c r="CK224" s="81"/>
      <c r="CL224" s="81"/>
      <c r="CM224" s="81"/>
      <c r="CN224" s="81"/>
      <c r="CO224" s="81"/>
      <c r="CP224" s="81"/>
      <c r="CQ224" s="81"/>
      <c r="CR224" s="81"/>
      <c r="CS224" s="115"/>
    </row>
    <row r="225" spans="1:97" ht="14.25" hidden="1" customHeight="1" outlineLevel="2">
      <c r="A225" s="18"/>
      <c r="B225" s="82" t="s">
        <v>187</v>
      </c>
      <c r="C225" s="82"/>
      <c r="D225" s="80"/>
      <c r="E225" s="80"/>
      <c r="F225" s="80"/>
      <c r="G225" s="41"/>
      <c r="H225" s="80"/>
      <c r="I225" s="80"/>
      <c r="J225" s="80"/>
      <c r="K225" s="41"/>
      <c r="L225" s="80" t="e">
        <f t="shared" ref="L225:AS225" si="417">L223/H223-1</f>
        <v>#DIV/0!</v>
      </c>
      <c r="M225" s="80" t="e">
        <f t="shared" si="417"/>
        <v>#DIV/0!</v>
      </c>
      <c r="N225" s="80" t="e">
        <f t="shared" si="417"/>
        <v>#DIV/0!</v>
      </c>
      <c r="O225" s="41" t="e">
        <f t="shared" si="417"/>
        <v>#DIV/0!</v>
      </c>
      <c r="P225" s="80" t="e">
        <f t="shared" si="417"/>
        <v>#DIV/0!</v>
      </c>
      <c r="Q225" s="80" t="e">
        <f t="shared" si="417"/>
        <v>#DIV/0!</v>
      </c>
      <c r="R225" s="80" t="e">
        <f t="shared" si="417"/>
        <v>#DIV/0!</v>
      </c>
      <c r="S225" s="41" t="e">
        <f t="shared" si="417"/>
        <v>#DIV/0!</v>
      </c>
      <c r="T225" s="80" t="e">
        <f t="shared" si="417"/>
        <v>#DIV/0!</v>
      </c>
      <c r="U225" s="80" t="e">
        <f t="shared" si="417"/>
        <v>#DIV/0!</v>
      </c>
      <c r="V225" s="80" t="e">
        <f t="shared" si="417"/>
        <v>#DIV/0!</v>
      </c>
      <c r="W225" s="41" t="e">
        <f t="shared" si="417"/>
        <v>#DIV/0!</v>
      </c>
      <c r="X225" s="80" t="e">
        <f t="shared" si="417"/>
        <v>#DIV/0!</v>
      </c>
      <c r="Y225" s="80" t="e">
        <f t="shared" si="417"/>
        <v>#DIV/0!</v>
      </c>
      <c r="Z225" s="80" t="e">
        <f t="shared" si="417"/>
        <v>#DIV/0!</v>
      </c>
      <c r="AA225" s="41" t="e">
        <f t="shared" si="417"/>
        <v>#DIV/0!</v>
      </c>
      <c r="AB225" s="80" t="e">
        <f t="shared" si="417"/>
        <v>#DIV/0!</v>
      </c>
      <c r="AC225" s="80" t="e">
        <f t="shared" si="417"/>
        <v>#DIV/0!</v>
      </c>
      <c r="AD225" s="80" t="e">
        <f t="shared" si="417"/>
        <v>#DIV/0!</v>
      </c>
      <c r="AE225" s="41" t="e">
        <f t="shared" si="417"/>
        <v>#DIV/0!</v>
      </c>
      <c r="AF225" s="80" t="e">
        <f t="shared" si="417"/>
        <v>#DIV/0!</v>
      </c>
      <c r="AG225" s="80" t="e">
        <f t="shared" si="417"/>
        <v>#DIV/0!</v>
      </c>
      <c r="AH225" s="80" t="e">
        <f t="shared" si="417"/>
        <v>#DIV/0!</v>
      </c>
      <c r="AI225" s="41" t="e">
        <f t="shared" si="417"/>
        <v>#DIV/0!</v>
      </c>
      <c r="AJ225" s="80" t="e">
        <f t="shared" si="417"/>
        <v>#DIV/0!</v>
      </c>
      <c r="AK225" s="80" t="e">
        <f t="shared" si="417"/>
        <v>#DIV/0!</v>
      </c>
      <c r="AL225" s="80" t="e">
        <f t="shared" si="417"/>
        <v>#DIV/0!</v>
      </c>
      <c r="AM225" s="41" t="e">
        <f t="shared" si="417"/>
        <v>#DIV/0!</v>
      </c>
      <c r="AN225" s="80" t="e">
        <f t="shared" si="417"/>
        <v>#DIV/0!</v>
      </c>
      <c r="AO225" s="80" t="e">
        <f t="shared" si="417"/>
        <v>#DIV/0!</v>
      </c>
      <c r="AP225" s="80" t="e">
        <f t="shared" si="417"/>
        <v>#DIV/0!</v>
      </c>
      <c r="AQ225" s="41" t="e">
        <f t="shared" si="417"/>
        <v>#DIV/0!</v>
      </c>
      <c r="AR225" s="80" t="e">
        <f t="shared" si="417"/>
        <v>#DIV/0!</v>
      </c>
      <c r="AS225" s="80" t="e">
        <f t="shared" si="417"/>
        <v>#DIV/0!</v>
      </c>
      <c r="BL225" s="106"/>
      <c r="BM225" s="80"/>
      <c r="BN225" s="83"/>
      <c r="BO225" s="83" t="e">
        <f t="shared" ref="BO225:BV225" si="418">BO223/BN223-1</f>
        <v>#DIV/0!</v>
      </c>
      <c r="BP225" s="83" t="e">
        <f t="shared" si="418"/>
        <v>#DIV/0!</v>
      </c>
      <c r="BQ225" s="83" t="e">
        <f t="shared" si="418"/>
        <v>#DIV/0!</v>
      </c>
      <c r="BR225" s="83" t="e">
        <f t="shared" si="418"/>
        <v>#DIV/0!</v>
      </c>
      <c r="BS225" s="83" t="e">
        <f t="shared" si="418"/>
        <v>#DIV/0!</v>
      </c>
      <c r="BT225" s="83" t="e">
        <f t="shared" si="418"/>
        <v>#DIV/0!</v>
      </c>
      <c r="BU225" s="117" t="e">
        <f t="shared" si="418"/>
        <v>#DIV/0!</v>
      </c>
      <c r="BV225" s="83" t="e">
        <f t="shared" si="418"/>
        <v>#DIV/0!</v>
      </c>
      <c r="CB225" s="18"/>
      <c r="CC225" s="18"/>
      <c r="CD225" s="18"/>
      <c r="CE225" s="18"/>
      <c r="CF225" s="18"/>
      <c r="CG225" s="18"/>
      <c r="CH225" s="18"/>
      <c r="CI225" s="80"/>
      <c r="CJ225" s="83"/>
      <c r="CK225" s="83"/>
      <c r="CL225" s="83"/>
      <c r="CM225" s="83"/>
      <c r="CN225" s="83"/>
      <c r="CO225" s="83"/>
      <c r="CP225" s="83"/>
      <c r="CQ225" s="83"/>
      <c r="CR225" s="83"/>
      <c r="CS225" s="117"/>
    </row>
    <row r="226" spans="1:97" ht="14.25" hidden="1" customHeight="1" outlineLevel="1">
      <c r="A226" s="18"/>
      <c r="B226" s="82" t="s">
        <v>197</v>
      </c>
      <c r="C226" s="79"/>
      <c r="D226" s="80"/>
      <c r="E226" s="80"/>
      <c r="F226" s="80"/>
      <c r="G226" s="41"/>
      <c r="H226" s="80" t="e">
        <f t="shared" ref="H226:AQ226" si="419">H223/H178</f>
        <v>#DIV/0!</v>
      </c>
      <c r="I226" s="80" t="e">
        <f t="shared" si="419"/>
        <v>#DIV/0!</v>
      </c>
      <c r="J226" s="80" t="e">
        <f t="shared" si="419"/>
        <v>#DIV/0!</v>
      </c>
      <c r="K226" s="41" t="e">
        <f t="shared" si="419"/>
        <v>#DIV/0!</v>
      </c>
      <c r="L226" s="80" t="e">
        <f t="shared" si="419"/>
        <v>#DIV/0!</v>
      </c>
      <c r="M226" s="80" t="e">
        <f t="shared" si="419"/>
        <v>#DIV/0!</v>
      </c>
      <c r="N226" s="80" t="e">
        <f t="shared" si="419"/>
        <v>#DIV/0!</v>
      </c>
      <c r="O226" s="41" t="e">
        <f t="shared" si="419"/>
        <v>#DIV/0!</v>
      </c>
      <c r="P226" s="80" t="e">
        <f t="shared" si="419"/>
        <v>#DIV/0!</v>
      </c>
      <c r="Q226" s="80" t="e">
        <f t="shared" si="419"/>
        <v>#DIV/0!</v>
      </c>
      <c r="R226" s="80" t="e">
        <f t="shared" si="419"/>
        <v>#DIV/0!</v>
      </c>
      <c r="S226" s="41" t="e">
        <f t="shared" si="419"/>
        <v>#DIV/0!</v>
      </c>
      <c r="T226" s="80" t="e">
        <f t="shared" si="419"/>
        <v>#DIV/0!</v>
      </c>
      <c r="U226" s="80" t="e">
        <f t="shared" si="419"/>
        <v>#DIV/0!</v>
      </c>
      <c r="V226" s="80" t="e">
        <f t="shared" si="419"/>
        <v>#DIV/0!</v>
      </c>
      <c r="W226" s="41" t="e">
        <f t="shared" si="419"/>
        <v>#DIV/0!</v>
      </c>
      <c r="X226" s="80" t="e">
        <f t="shared" si="419"/>
        <v>#DIV/0!</v>
      </c>
      <c r="Y226" s="80" t="e">
        <f t="shared" si="419"/>
        <v>#DIV/0!</v>
      </c>
      <c r="Z226" s="80" t="e">
        <f t="shared" si="419"/>
        <v>#DIV/0!</v>
      </c>
      <c r="AA226" s="41" t="e">
        <f t="shared" si="419"/>
        <v>#DIV/0!</v>
      </c>
      <c r="AB226" s="80" t="e">
        <f t="shared" si="419"/>
        <v>#DIV/0!</v>
      </c>
      <c r="AC226" s="80" t="e">
        <f t="shared" si="419"/>
        <v>#DIV/0!</v>
      </c>
      <c r="AD226" s="80" t="e">
        <f t="shared" si="419"/>
        <v>#DIV/0!</v>
      </c>
      <c r="AE226" s="41" t="e">
        <f t="shared" si="419"/>
        <v>#DIV/0!</v>
      </c>
      <c r="AF226" s="80" t="e">
        <f t="shared" si="419"/>
        <v>#DIV/0!</v>
      </c>
      <c r="AG226" s="80" t="e">
        <f t="shared" si="419"/>
        <v>#DIV/0!</v>
      </c>
      <c r="AH226" s="80" t="e">
        <f t="shared" si="419"/>
        <v>#DIV/0!</v>
      </c>
      <c r="AI226" s="41" t="e">
        <f t="shared" si="419"/>
        <v>#DIV/0!</v>
      </c>
      <c r="AJ226" s="80" t="e">
        <f t="shared" si="419"/>
        <v>#DIV/0!</v>
      </c>
      <c r="AK226" s="80" t="e">
        <f t="shared" si="419"/>
        <v>#DIV/0!</v>
      </c>
      <c r="AL226" s="80" t="e">
        <f t="shared" si="419"/>
        <v>#DIV/0!</v>
      </c>
      <c r="AM226" s="41" t="e">
        <f t="shared" si="419"/>
        <v>#DIV/0!</v>
      </c>
      <c r="AN226" s="80">
        <f t="shared" si="419"/>
        <v>0</v>
      </c>
      <c r="AO226" s="80">
        <f t="shared" si="419"/>
        <v>0</v>
      </c>
      <c r="AP226" s="80">
        <f t="shared" si="419"/>
        <v>0</v>
      </c>
      <c r="AQ226" s="41">
        <f t="shared" si="419"/>
        <v>0</v>
      </c>
      <c r="AR226" s="80">
        <f>AR223/AR178</f>
        <v>0</v>
      </c>
      <c r="AS226" s="80">
        <f>AS223/AS178</f>
        <v>0</v>
      </c>
      <c r="BL226" s="106"/>
      <c r="BM226" s="83"/>
      <c r="BN226" s="86" t="e">
        <f t="shared" ref="BN226:BV226" si="420">BN223/BN178</f>
        <v>#DIV/0!</v>
      </c>
      <c r="BO226" s="83" t="e">
        <f t="shared" si="420"/>
        <v>#DIV/0!</v>
      </c>
      <c r="BP226" s="83" t="e">
        <f t="shared" si="420"/>
        <v>#DIV/0!</v>
      </c>
      <c r="BQ226" s="83" t="e">
        <f t="shared" si="420"/>
        <v>#DIV/0!</v>
      </c>
      <c r="BR226" s="83" t="e">
        <f t="shared" si="420"/>
        <v>#DIV/0!</v>
      </c>
      <c r="BS226" s="83" t="e">
        <f t="shared" si="420"/>
        <v>#DIV/0!</v>
      </c>
      <c r="BT226" s="83" t="e">
        <f t="shared" si="420"/>
        <v>#DIV/0!</v>
      </c>
      <c r="BU226" s="117" t="e">
        <f t="shared" si="420"/>
        <v>#DIV/0!</v>
      </c>
      <c r="BV226" s="83">
        <f t="shared" si="420"/>
        <v>0</v>
      </c>
      <c r="CB226" s="18"/>
      <c r="CC226" s="18"/>
      <c r="CD226" s="18"/>
      <c r="CE226" s="18"/>
      <c r="CF226" s="18"/>
      <c r="CG226" s="18"/>
      <c r="CH226" s="18"/>
      <c r="CI226" s="83"/>
      <c r="CJ226" s="83"/>
      <c r="CK226" s="83"/>
      <c r="CL226" s="83"/>
      <c r="CM226" s="83"/>
      <c r="CN226" s="83"/>
      <c r="CO226" s="83"/>
      <c r="CP226" s="83"/>
      <c r="CQ226" s="83"/>
      <c r="CR226" s="83"/>
      <c r="CS226" s="117"/>
    </row>
    <row r="227" spans="1:97" ht="14.25" hidden="1" customHeight="1" outlineLevel="1">
      <c r="A227" s="18"/>
      <c r="B227" s="82"/>
      <c r="C227" s="79"/>
      <c r="D227" s="80"/>
      <c r="E227" s="80"/>
      <c r="F227" s="80"/>
      <c r="G227" s="41"/>
      <c r="H227" s="80"/>
      <c r="I227" s="80"/>
      <c r="J227" s="80"/>
      <c r="K227" s="41"/>
      <c r="L227" s="80"/>
      <c r="M227" s="80"/>
      <c r="N227" s="80"/>
      <c r="O227" s="41"/>
      <c r="P227" s="80"/>
      <c r="Q227" s="80"/>
      <c r="R227" s="80"/>
      <c r="S227" s="41"/>
      <c r="T227" s="80"/>
      <c r="U227" s="80"/>
      <c r="V227" s="80"/>
      <c r="W227" s="41"/>
      <c r="X227" s="80"/>
      <c r="Y227" s="80"/>
      <c r="Z227" s="80"/>
      <c r="AA227" s="41"/>
      <c r="AB227" s="80"/>
      <c r="AC227" s="80"/>
      <c r="AD227" s="80"/>
      <c r="AE227" s="41"/>
      <c r="AF227" s="80"/>
      <c r="AG227" s="80"/>
      <c r="AH227" s="80"/>
      <c r="AI227" s="41"/>
      <c r="AJ227" s="80"/>
      <c r="AK227" s="80"/>
      <c r="AL227" s="80"/>
      <c r="AM227" s="41"/>
      <c r="AN227" s="80"/>
      <c r="AO227" s="80"/>
      <c r="AP227" s="160"/>
      <c r="AQ227" s="41"/>
      <c r="AR227" s="80"/>
      <c r="AS227" s="80"/>
      <c r="BL227" s="106"/>
      <c r="BM227" s="83"/>
      <c r="BN227" s="86"/>
      <c r="BO227" s="83"/>
      <c r="BP227" s="83"/>
      <c r="BQ227" s="83"/>
      <c r="BR227" s="83"/>
      <c r="BS227" s="83"/>
      <c r="BT227" s="83"/>
      <c r="BU227" s="117"/>
      <c r="BV227" s="83"/>
      <c r="CB227" s="18"/>
      <c r="CC227" s="18"/>
      <c r="CD227" s="18"/>
      <c r="CE227" s="18"/>
      <c r="CF227" s="18"/>
      <c r="CG227" s="18"/>
      <c r="CH227" s="18"/>
      <c r="CI227" s="83"/>
      <c r="CJ227" s="83"/>
      <c r="CK227" s="83"/>
      <c r="CL227" s="83"/>
      <c r="CM227" s="83"/>
      <c r="CN227" s="83"/>
      <c r="CO227" s="83"/>
      <c r="CP227" s="83"/>
      <c r="CQ227" s="83"/>
      <c r="CR227" s="83"/>
      <c r="CS227" s="117"/>
    </row>
    <row r="228" spans="1:97" ht="14.25" hidden="1" customHeight="1" outlineLevel="1">
      <c r="A228" s="18"/>
      <c r="B228" s="9" t="s">
        <v>191</v>
      </c>
      <c r="C228" s="26"/>
      <c r="D228" s="47"/>
      <c r="E228" s="47"/>
      <c r="F228" s="47"/>
      <c r="G228" s="48"/>
      <c r="H228" s="47" t="e">
        <f>IS!H205*'BU-Segment'!H188</f>
        <v>#DIV/0!</v>
      </c>
      <c r="I228" s="47" t="e">
        <f>IS!I205*'BU-Segment'!I188</f>
        <v>#DIV/0!</v>
      </c>
      <c r="J228" s="47" t="e">
        <f>IS!J205*'BU-Segment'!J188</f>
        <v>#DIV/0!</v>
      </c>
      <c r="K228" s="48" t="e">
        <f>IS!K205*'BU-Segment'!K188</f>
        <v>#DIV/0!</v>
      </c>
      <c r="L228" s="47" t="e">
        <f>IS!L205*'BU-Segment'!L188</f>
        <v>#DIV/0!</v>
      </c>
      <c r="M228" s="47" t="e">
        <f>IS!M205*'BU-Segment'!M188</f>
        <v>#DIV/0!</v>
      </c>
      <c r="N228" s="47" t="e">
        <f>IS!N205*'BU-Segment'!N188</f>
        <v>#DIV/0!</v>
      </c>
      <c r="O228" s="48" t="e">
        <f>IS!O205*'BU-Segment'!O188</f>
        <v>#DIV/0!</v>
      </c>
      <c r="P228" s="47" t="e">
        <f>IS!P205*'BU-Segment'!P188</f>
        <v>#DIV/0!</v>
      </c>
      <c r="Q228" s="47" t="e">
        <f>IS!Q205*'BU-Segment'!Q188</f>
        <v>#DIV/0!</v>
      </c>
      <c r="R228" s="47" t="e">
        <f>IS!R205*'BU-Segment'!R188</f>
        <v>#DIV/0!</v>
      </c>
      <c r="S228" s="48" t="e">
        <f>IS!S205*'BU-Segment'!S188</f>
        <v>#DIV/0!</v>
      </c>
      <c r="T228" s="47" t="e">
        <f>IS!T205*'BU-Segment'!T188</f>
        <v>#DIV/0!</v>
      </c>
      <c r="U228" s="47" t="e">
        <f>IS!U205*'BU-Segment'!U188</f>
        <v>#DIV/0!</v>
      </c>
      <c r="V228" s="47" t="e">
        <f>IS!V205*'BU-Segment'!V188</f>
        <v>#DIV/0!</v>
      </c>
      <c r="W228" s="48" t="e">
        <f>IS!W205*'BU-Segment'!W188</f>
        <v>#DIV/0!</v>
      </c>
      <c r="X228" s="47" t="e">
        <f>IS!X205*'BU-Segment'!X188</f>
        <v>#DIV/0!</v>
      </c>
      <c r="Y228" s="47" t="e">
        <f>IS!Y205*'BU-Segment'!Y188</f>
        <v>#DIV/0!</v>
      </c>
      <c r="Z228" s="47" t="e">
        <f>IS!Z205*'BU-Segment'!Z188</f>
        <v>#DIV/0!</v>
      </c>
      <c r="AA228" s="48" t="e">
        <f>IS!AA205*'BU-Segment'!AA188</f>
        <v>#DIV/0!</v>
      </c>
      <c r="AB228" s="47" t="e">
        <f>IS!AB205*'BU-Segment'!AB188</f>
        <v>#DIV/0!</v>
      </c>
      <c r="AC228" s="47" t="e">
        <f>IS!AC205*'BU-Segment'!AC188</f>
        <v>#DIV/0!</v>
      </c>
      <c r="AD228" s="47" t="e">
        <f>IS!AD205*'BU-Segment'!AD188</f>
        <v>#DIV/0!</v>
      </c>
      <c r="AE228" s="48" t="e">
        <f>IS!AE205*'BU-Segment'!AE188</f>
        <v>#DIV/0!</v>
      </c>
      <c r="AF228" s="47" t="e">
        <f>IS!AF205*'BU-Segment'!AF188</f>
        <v>#DIV/0!</v>
      </c>
      <c r="AG228" s="47" t="e">
        <f>IS!AG205*'BU-Segment'!AG188</f>
        <v>#DIV/0!</v>
      </c>
      <c r="AH228" s="47" t="e">
        <f>IS!AH205*'BU-Segment'!AH188</f>
        <v>#DIV/0!</v>
      </c>
      <c r="AI228" s="48" t="e">
        <f>IS!AI205*'BU-Segment'!AI188</f>
        <v>#DIV/0!</v>
      </c>
      <c r="AJ228" s="32" t="e">
        <f>IS!AJ205*'BU-Segment'!AJ188</f>
        <v>#DIV/0!</v>
      </c>
      <c r="AK228" s="32" t="e">
        <f>IS!AK205*'BU-Segment'!AK188</f>
        <v>#DIV/0!</v>
      </c>
      <c r="AL228" s="32" t="e">
        <f>IS!AL205*'BU-Segment'!AL188</f>
        <v>#DIV/0!</v>
      </c>
      <c r="AM228" s="31" t="e">
        <f>IS!AM205*'BU-Segment'!AM188</f>
        <v>#DIV/0!</v>
      </c>
      <c r="AN228" s="32">
        <f>IS!AN205*'BU-Segment'!AN188</f>
        <v>0</v>
      </c>
      <c r="AO228" s="32">
        <f>IS!AO205*'BU-Segment'!AO188</f>
        <v>0</v>
      </c>
      <c r="AP228" s="32">
        <f>IS!AP205*'BU-Segment'!AP188</f>
        <v>0</v>
      </c>
      <c r="AQ228" s="31">
        <f>IS!AQ205*'BU-Segment'!AQ188</f>
        <v>0</v>
      </c>
      <c r="AR228" s="32">
        <f>IS!AR205*'BU-Segment'!AR188</f>
        <v>0</v>
      </c>
      <c r="AS228" s="32">
        <f>IS!AS205*'BU-Segment'!AS188</f>
        <v>0</v>
      </c>
      <c r="BL228" s="106"/>
      <c r="BM228" s="34"/>
      <c r="BN228" s="34" t="e">
        <f>SUM(H228:K228)</f>
        <v>#DIV/0!</v>
      </c>
      <c r="BO228" s="34" t="e">
        <f>SUM(L228:O228)</f>
        <v>#DIV/0!</v>
      </c>
      <c r="BP228" s="34" t="e">
        <f>SUM(P228:S228)</f>
        <v>#DIV/0!</v>
      </c>
      <c r="BQ228" s="34" t="e">
        <f>SUM(T228:W228)</f>
        <v>#DIV/0!</v>
      </c>
      <c r="BR228" s="34" t="e">
        <f>SUM(X228:AA228)</f>
        <v>#DIV/0!</v>
      </c>
      <c r="BS228" s="34" t="e">
        <f>SUM(AB228:AE228)</f>
        <v>#DIV/0!</v>
      </c>
      <c r="BT228" s="34" t="e">
        <f>SUM(AF228:AI228)</f>
        <v>#DIV/0!</v>
      </c>
      <c r="BU228" s="114" t="e">
        <f>SUM(AJ228:AM228)</f>
        <v>#DIV/0!</v>
      </c>
      <c r="BV228" s="34">
        <f>SUM(AN228:AQ228)</f>
        <v>0</v>
      </c>
      <c r="CB228" s="18"/>
      <c r="CC228" s="18"/>
      <c r="CD228" s="18"/>
      <c r="CE228" s="18"/>
      <c r="CF228" s="18"/>
      <c r="CG228" s="18"/>
      <c r="CH228" s="18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114"/>
    </row>
    <row r="229" spans="1:97" ht="14.25" hidden="1" customHeight="1" outlineLevel="2">
      <c r="A229" s="18"/>
      <c r="B229" s="79" t="s">
        <v>186</v>
      </c>
      <c r="C229" s="79"/>
      <c r="D229" s="80"/>
      <c r="E229" s="80"/>
      <c r="F229" s="80"/>
      <c r="G229" s="41"/>
      <c r="H229" s="80"/>
      <c r="I229" s="80" t="e">
        <f t="shared" ref="I229:AS229" si="421">I228/H228-1</f>
        <v>#DIV/0!</v>
      </c>
      <c r="J229" s="80" t="e">
        <f t="shared" si="421"/>
        <v>#DIV/0!</v>
      </c>
      <c r="K229" s="41" t="e">
        <f t="shared" si="421"/>
        <v>#DIV/0!</v>
      </c>
      <c r="L229" s="80" t="e">
        <f t="shared" si="421"/>
        <v>#DIV/0!</v>
      </c>
      <c r="M229" s="80" t="e">
        <f t="shared" si="421"/>
        <v>#DIV/0!</v>
      </c>
      <c r="N229" s="80" t="e">
        <f t="shared" si="421"/>
        <v>#DIV/0!</v>
      </c>
      <c r="O229" s="41" t="e">
        <f t="shared" si="421"/>
        <v>#DIV/0!</v>
      </c>
      <c r="P229" s="80" t="e">
        <f t="shared" si="421"/>
        <v>#DIV/0!</v>
      </c>
      <c r="Q229" s="80" t="e">
        <f t="shared" si="421"/>
        <v>#DIV/0!</v>
      </c>
      <c r="R229" s="80" t="e">
        <f t="shared" si="421"/>
        <v>#DIV/0!</v>
      </c>
      <c r="S229" s="41" t="e">
        <f t="shared" si="421"/>
        <v>#DIV/0!</v>
      </c>
      <c r="T229" s="80" t="e">
        <f t="shared" si="421"/>
        <v>#DIV/0!</v>
      </c>
      <c r="U229" s="80" t="e">
        <f t="shared" si="421"/>
        <v>#DIV/0!</v>
      </c>
      <c r="V229" s="80" t="e">
        <f t="shared" si="421"/>
        <v>#DIV/0!</v>
      </c>
      <c r="W229" s="41" t="e">
        <f t="shared" si="421"/>
        <v>#DIV/0!</v>
      </c>
      <c r="X229" s="80" t="e">
        <f t="shared" si="421"/>
        <v>#DIV/0!</v>
      </c>
      <c r="Y229" s="80" t="e">
        <f t="shared" si="421"/>
        <v>#DIV/0!</v>
      </c>
      <c r="Z229" s="80" t="e">
        <f t="shared" si="421"/>
        <v>#DIV/0!</v>
      </c>
      <c r="AA229" s="41" t="e">
        <f t="shared" si="421"/>
        <v>#DIV/0!</v>
      </c>
      <c r="AB229" s="80" t="e">
        <f t="shared" si="421"/>
        <v>#DIV/0!</v>
      </c>
      <c r="AC229" s="80" t="e">
        <f t="shared" si="421"/>
        <v>#DIV/0!</v>
      </c>
      <c r="AD229" s="80" t="e">
        <f t="shared" si="421"/>
        <v>#DIV/0!</v>
      </c>
      <c r="AE229" s="41" t="e">
        <f t="shared" si="421"/>
        <v>#DIV/0!</v>
      </c>
      <c r="AF229" s="80" t="e">
        <f t="shared" si="421"/>
        <v>#DIV/0!</v>
      </c>
      <c r="AG229" s="80" t="e">
        <f t="shared" si="421"/>
        <v>#DIV/0!</v>
      </c>
      <c r="AH229" s="80" t="e">
        <f t="shared" si="421"/>
        <v>#DIV/0!</v>
      </c>
      <c r="AI229" s="41" t="e">
        <f t="shared" si="421"/>
        <v>#DIV/0!</v>
      </c>
      <c r="AJ229" s="80" t="e">
        <f t="shared" si="421"/>
        <v>#DIV/0!</v>
      </c>
      <c r="AK229" s="80" t="e">
        <f t="shared" si="421"/>
        <v>#DIV/0!</v>
      </c>
      <c r="AL229" s="80" t="e">
        <f t="shared" si="421"/>
        <v>#DIV/0!</v>
      </c>
      <c r="AM229" s="41" t="e">
        <f t="shared" si="421"/>
        <v>#DIV/0!</v>
      </c>
      <c r="AN229" s="80" t="e">
        <f t="shared" si="421"/>
        <v>#DIV/0!</v>
      </c>
      <c r="AO229" s="80" t="e">
        <f t="shared" si="421"/>
        <v>#DIV/0!</v>
      </c>
      <c r="AP229" s="80" t="e">
        <f t="shared" si="421"/>
        <v>#DIV/0!</v>
      </c>
      <c r="AQ229" s="41" t="e">
        <f t="shared" si="421"/>
        <v>#DIV/0!</v>
      </c>
      <c r="AR229" s="80" t="e">
        <f t="shared" si="421"/>
        <v>#DIV/0!</v>
      </c>
      <c r="AS229" s="80" t="e">
        <f t="shared" si="421"/>
        <v>#DIV/0!</v>
      </c>
      <c r="BL229" s="106"/>
      <c r="BM229" s="81"/>
      <c r="BN229" s="81"/>
      <c r="BO229" s="81"/>
      <c r="BP229" s="81"/>
      <c r="BQ229" s="81"/>
      <c r="BR229" s="81"/>
      <c r="BS229" s="81"/>
      <c r="BT229" s="81"/>
      <c r="BU229" s="115"/>
      <c r="BV229" s="81"/>
      <c r="CB229" s="18"/>
      <c r="CC229" s="18"/>
      <c r="CD229" s="18"/>
      <c r="CE229" s="18"/>
      <c r="CF229" s="18"/>
      <c r="CG229" s="18"/>
      <c r="CH229" s="18"/>
      <c r="CI229" s="81"/>
      <c r="CJ229" s="81"/>
      <c r="CK229" s="81"/>
      <c r="CL229" s="81"/>
      <c r="CM229" s="81"/>
      <c r="CN229" s="81"/>
      <c r="CO229" s="81"/>
      <c r="CP229" s="81"/>
      <c r="CQ229" s="81"/>
      <c r="CR229" s="81"/>
      <c r="CS229" s="115"/>
    </row>
    <row r="230" spans="1:97" ht="14.25" hidden="1" customHeight="1" outlineLevel="2">
      <c r="A230" s="18"/>
      <c r="B230" s="82" t="s">
        <v>187</v>
      </c>
      <c r="C230" s="82"/>
      <c r="D230" s="80"/>
      <c r="E230" s="80"/>
      <c r="F230" s="80"/>
      <c r="G230" s="41"/>
      <c r="H230" s="80"/>
      <c r="I230" s="80"/>
      <c r="J230" s="80"/>
      <c r="K230" s="41"/>
      <c r="L230" s="80" t="e">
        <f t="shared" ref="L230:AS230" si="422">L228/H228-1</f>
        <v>#DIV/0!</v>
      </c>
      <c r="M230" s="80" t="e">
        <f t="shared" si="422"/>
        <v>#DIV/0!</v>
      </c>
      <c r="N230" s="80" t="e">
        <f t="shared" si="422"/>
        <v>#DIV/0!</v>
      </c>
      <c r="O230" s="41" t="e">
        <f t="shared" si="422"/>
        <v>#DIV/0!</v>
      </c>
      <c r="P230" s="80" t="e">
        <f t="shared" si="422"/>
        <v>#DIV/0!</v>
      </c>
      <c r="Q230" s="80" t="e">
        <f t="shared" si="422"/>
        <v>#DIV/0!</v>
      </c>
      <c r="R230" s="80" t="e">
        <f t="shared" si="422"/>
        <v>#DIV/0!</v>
      </c>
      <c r="S230" s="41" t="e">
        <f t="shared" si="422"/>
        <v>#DIV/0!</v>
      </c>
      <c r="T230" s="80" t="e">
        <f t="shared" si="422"/>
        <v>#DIV/0!</v>
      </c>
      <c r="U230" s="80" t="e">
        <f t="shared" si="422"/>
        <v>#DIV/0!</v>
      </c>
      <c r="V230" s="80" t="e">
        <f t="shared" si="422"/>
        <v>#DIV/0!</v>
      </c>
      <c r="W230" s="41" t="e">
        <f t="shared" si="422"/>
        <v>#DIV/0!</v>
      </c>
      <c r="X230" s="80" t="e">
        <f t="shared" si="422"/>
        <v>#DIV/0!</v>
      </c>
      <c r="Y230" s="80" t="e">
        <f t="shared" si="422"/>
        <v>#DIV/0!</v>
      </c>
      <c r="Z230" s="80" t="e">
        <f t="shared" si="422"/>
        <v>#DIV/0!</v>
      </c>
      <c r="AA230" s="41" t="e">
        <f t="shared" si="422"/>
        <v>#DIV/0!</v>
      </c>
      <c r="AB230" s="80" t="e">
        <f t="shared" si="422"/>
        <v>#DIV/0!</v>
      </c>
      <c r="AC230" s="80" t="e">
        <f t="shared" si="422"/>
        <v>#DIV/0!</v>
      </c>
      <c r="AD230" s="80" t="e">
        <f t="shared" si="422"/>
        <v>#DIV/0!</v>
      </c>
      <c r="AE230" s="41" t="e">
        <f t="shared" si="422"/>
        <v>#DIV/0!</v>
      </c>
      <c r="AF230" s="80" t="e">
        <f t="shared" si="422"/>
        <v>#DIV/0!</v>
      </c>
      <c r="AG230" s="80" t="e">
        <f t="shared" si="422"/>
        <v>#DIV/0!</v>
      </c>
      <c r="AH230" s="80" t="e">
        <f t="shared" si="422"/>
        <v>#DIV/0!</v>
      </c>
      <c r="AI230" s="41" t="e">
        <f t="shared" si="422"/>
        <v>#DIV/0!</v>
      </c>
      <c r="AJ230" s="80" t="e">
        <f t="shared" si="422"/>
        <v>#DIV/0!</v>
      </c>
      <c r="AK230" s="80" t="e">
        <f t="shared" si="422"/>
        <v>#DIV/0!</v>
      </c>
      <c r="AL230" s="80" t="e">
        <f t="shared" si="422"/>
        <v>#DIV/0!</v>
      </c>
      <c r="AM230" s="41" t="e">
        <f t="shared" si="422"/>
        <v>#DIV/0!</v>
      </c>
      <c r="AN230" s="80" t="e">
        <f t="shared" si="422"/>
        <v>#DIV/0!</v>
      </c>
      <c r="AO230" s="80" t="e">
        <f t="shared" si="422"/>
        <v>#DIV/0!</v>
      </c>
      <c r="AP230" s="80" t="e">
        <f t="shared" si="422"/>
        <v>#DIV/0!</v>
      </c>
      <c r="AQ230" s="41" t="e">
        <f t="shared" si="422"/>
        <v>#DIV/0!</v>
      </c>
      <c r="AR230" s="80" t="e">
        <f t="shared" si="422"/>
        <v>#DIV/0!</v>
      </c>
      <c r="AS230" s="80" t="e">
        <f t="shared" si="422"/>
        <v>#DIV/0!</v>
      </c>
      <c r="BL230" s="106"/>
      <c r="BM230" s="80"/>
      <c r="BN230" s="83"/>
      <c r="BO230" s="83" t="e">
        <f t="shared" ref="BO230:BV230" si="423">BO228/BN228-1</f>
        <v>#DIV/0!</v>
      </c>
      <c r="BP230" s="83" t="e">
        <f t="shared" si="423"/>
        <v>#DIV/0!</v>
      </c>
      <c r="BQ230" s="83" t="e">
        <f t="shared" si="423"/>
        <v>#DIV/0!</v>
      </c>
      <c r="BR230" s="83" t="e">
        <f t="shared" si="423"/>
        <v>#DIV/0!</v>
      </c>
      <c r="BS230" s="83" t="e">
        <f t="shared" si="423"/>
        <v>#DIV/0!</v>
      </c>
      <c r="BT230" s="83" t="e">
        <f t="shared" si="423"/>
        <v>#DIV/0!</v>
      </c>
      <c r="BU230" s="117" t="e">
        <f t="shared" si="423"/>
        <v>#DIV/0!</v>
      </c>
      <c r="BV230" s="83" t="e">
        <f t="shared" si="423"/>
        <v>#DIV/0!</v>
      </c>
      <c r="CB230" s="18"/>
      <c r="CC230" s="18"/>
      <c r="CD230" s="18"/>
      <c r="CE230" s="18"/>
      <c r="CF230" s="18"/>
      <c r="CG230" s="18"/>
      <c r="CH230" s="18"/>
      <c r="CI230" s="80"/>
      <c r="CJ230" s="83"/>
      <c r="CK230" s="83"/>
      <c r="CL230" s="83"/>
      <c r="CM230" s="83"/>
      <c r="CN230" s="83"/>
      <c r="CO230" s="83"/>
      <c r="CP230" s="83"/>
      <c r="CQ230" s="83"/>
      <c r="CR230" s="83"/>
      <c r="CS230" s="117"/>
    </row>
    <row r="231" spans="1:97" ht="14.25" hidden="1" customHeight="1" outlineLevel="1">
      <c r="A231" s="18"/>
      <c r="B231" s="82" t="s">
        <v>197</v>
      </c>
      <c r="C231" s="79"/>
      <c r="D231" s="80"/>
      <c r="E231" s="80"/>
      <c r="F231" s="80"/>
      <c r="G231" s="41"/>
      <c r="H231" s="80" t="e">
        <f t="shared" ref="H231:AQ231" si="424">H228/H185</f>
        <v>#DIV/0!</v>
      </c>
      <c r="I231" s="80" t="e">
        <f t="shared" si="424"/>
        <v>#DIV/0!</v>
      </c>
      <c r="J231" s="80" t="e">
        <f t="shared" si="424"/>
        <v>#DIV/0!</v>
      </c>
      <c r="K231" s="41" t="e">
        <f t="shared" si="424"/>
        <v>#DIV/0!</v>
      </c>
      <c r="L231" s="80" t="e">
        <f t="shared" si="424"/>
        <v>#DIV/0!</v>
      </c>
      <c r="M231" s="80" t="e">
        <f t="shared" si="424"/>
        <v>#DIV/0!</v>
      </c>
      <c r="N231" s="80" t="e">
        <f t="shared" si="424"/>
        <v>#DIV/0!</v>
      </c>
      <c r="O231" s="41" t="e">
        <f t="shared" si="424"/>
        <v>#DIV/0!</v>
      </c>
      <c r="P231" s="80" t="e">
        <f t="shared" si="424"/>
        <v>#DIV/0!</v>
      </c>
      <c r="Q231" s="80" t="e">
        <f t="shared" si="424"/>
        <v>#DIV/0!</v>
      </c>
      <c r="R231" s="80" t="e">
        <f t="shared" si="424"/>
        <v>#DIV/0!</v>
      </c>
      <c r="S231" s="41" t="e">
        <f t="shared" si="424"/>
        <v>#DIV/0!</v>
      </c>
      <c r="T231" s="80" t="e">
        <f t="shared" si="424"/>
        <v>#DIV/0!</v>
      </c>
      <c r="U231" s="80" t="e">
        <f t="shared" si="424"/>
        <v>#DIV/0!</v>
      </c>
      <c r="V231" s="80" t="e">
        <f t="shared" si="424"/>
        <v>#DIV/0!</v>
      </c>
      <c r="W231" s="41" t="e">
        <f t="shared" si="424"/>
        <v>#DIV/0!</v>
      </c>
      <c r="X231" s="80" t="e">
        <f t="shared" si="424"/>
        <v>#DIV/0!</v>
      </c>
      <c r="Y231" s="80" t="e">
        <f t="shared" si="424"/>
        <v>#DIV/0!</v>
      </c>
      <c r="Z231" s="80" t="e">
        <f t="shared" si="424"/>
        <v>#DIV/0!</v>
      </c>
      <c r="AA231" s="41" t="e">
        <f t="shared" si="424"/>
        <v>#DIV/0!</v>
      </c>
      <c r="AB231" s="80" t="e">
        <f t="shared" si="424"/>
        <v>#DIV/0!</v>
      </c>
      <c r="AC231" s="80" t="e">
        <f t="shared" si="424"/>
        <v>#DIV/0!</v>
      </c>
      <c r="AD231" s="80" t="e">
        <f t="shared" si="424"/>
        <v>#DIV/0!</v>
      </c>
      <c r="AE231" s="41" t="e">
        <f t="shared" si="424"/>
        <v>#DIV/0!</v>
      </c>
      <c r="AF231" s="80" t="e">
        <f t="shared" si="424"/>
        <v>#DIV/0!</v>
      </c>
      <c r="AG231" s="80" t="e">
        <f t="shared" si="424"/>
        <v>#DIV/0!</v>
      </c>
      <c r="AH231" s="80" t="e">
        <f t="shared" si="424"/>
        <v>#DIV/0!</v>
      </c>
      <c r="AI231" s="41" t="e">
        <f t="shared" si="424"/>
        <v>#DIV/0!</v>
      </c>
      <c r="AJ231" s="80" t="e">
        <f t="shared" si="424"/>
        <v>#DIV/0!</v>
      </c>
      <c r="AK231" s="80" t="e">
        <f t="shared" si="424"/>
        <v>#DIV/0!</v>
      </c>
      <c r="AL231" s="80" t="e">
        <f t="shared" si="424"/>
        <v>#DIV/0!</v>
      </c>
      <c r="AM231" s="41" t="e">
        <f t="shared" si="424"/>
        <v>#DIV/0!</v>
      </c>
      <c r="AN231" s="80">
        <f t="shared" si="424"/>
        <v>0</v>
      </c>
      <c r="AO231" s="80">
        <f t="shared" si="424"/>
        <v>0</v>
      </c>
      <c r="AP231" s="80">
        <f t="shared" si="424"/>
        <v>0</v>
      </c>
      <c r="AQ231" s="41">
        <f t="shared" si="424"/>
        <v>0</v>
      </c>
      <c r="AR231" s="80">
        <f>AR228/AR185</f>
        <v>0</v>
      </c>
      <c r="AS231" s="80">
        <f>AS228/AS185</f>
        <v>0</v>
      </c>
      <c r="BL231" s="106"/>
      <c r="BM231" s="83"/>
      <c r="BN231" s="86" t="e">
        <f t="shared" ref="BN231:BV231" si="425">BN228/BN185</f>
        <v>#DIV/0!</v>
      </c>
      <c r="BO231" s="83" t="e">
        <f t="shared" si="425"/>
        <v>#DIV/0!</v>
      </c>
      <c r="BP231" s="83" t="e">
        <f t="shared" si="425"/>
        <v>#DIV/0!</v>
      </c>
      <c r="BQ231" s="83" t="e">
        <f t="shared" si="425"/>
        <v>#DIV/0!</v>
      </c>
      <c r="BR231" s="83" t="e">
        <f t="shared" si="425"/>
        <v>#DIV/0!</v>
      </c>
      <c r="BS231" s="83" t="e">
        <f t="shared" si="425"/>
        <v>#DIV/0!</v>
      </c>
      <c r="BT231" s="83" t="e">
        <f t="shared" si="425"/>
        <v>#DIV/0!</v>
      </c>
      <c r="BU231" s="117" t="e">
        <f t="shared" si="425"/>
        <v>#DIV/0!</v>
      </c>
      <c r="BV231" s="83">
        <f t="shared" si="425"/>
        <v>0</v>
      </c>
      <c r="CB231" s="18"/>
      <c r="CC231" s="18"/>
      <c r="CD231" s="18"/>
      <c r="CE231" s="18"/>
      <c r="CF231" s="18"/>
      <c r="CG231" s="18"/>
      <c r="CH231" s="18"/>
      <c r="CI231" s="83"/>
      <c r="CJ231" s="83"/>
      <c r="CK231" s="83"/>
      <c r="CL231" s="83"/>
      <c r="CM231" s="83"/>
      <c r="CN231" s="83"/>
      <c r="CO231" s="83"/>
      <c r="CP231" s="83"/>
      <c r="CQ231" s="83"/>
      <c r="CR231" s="83"/>
      <c r="CS231" s="117"/>
    </row>
    <row r="232" spans="1:97" ht="14.25" hidden="1" customHeight="1" outlineLevel="1">
      <c r="A232" s="18"/>
      <c r="B232" s="79"/>
      <c r="C232" s="79"/>
      <c r="D232" s="80"/>
      <c r="E232" s="80"/>
      <c r="F232" s="80"/>
      <c r="G232" s="41"/>
      <c r="H232" s="80"/>
      <c r="I232" s="80"/>
      <c r="J232" s="80"/>
      <c r="K232" s="41"/>
      <c r="L232" s="80"/>
      <c r="M232" s="80"/>
      <c r="N232" s="80"/>
      <c r="O232" s="41"/>
      <c r="P232" s="80"/>
      <c r="Q232" s="80"/>
      <c r="R232" s="80"/>
      <c r="S232" s="41"/>
      <c r="T232" s="80"/>
      <c r="U232" s="80"/>
      <c r="V232" s="80"/>
      <c r="W232" s="41"/>
      <c r="X232" s="80"/>
      <c r="Y232" s="80"/>
      <c r="Z232" s="80"/>
      <c r="AA232" s="41"/>
      <c r="AB232" s="80"/>
      <c r="AC232" s="80"/>
      <c r="AD232" s="80"/>
      <c r="AE232" s="41"/>
      <c r="AF232" s="80"/>
      <c r="AG232" s="80"/>
      <c r="AH232" s="80"/>
      <c r="AI232" s="41"/>
      <c r="AJ232" s="80"/>
      <c r="AK232" s="33"/>
      <c r="AL232" s="33"/>
      <c r="AM232" s="41"/>
      <c r="AN232" s="80"/>
      <c r="AO232" s="33"/>
      <c r="AP232" s="33"/>
      <c r="AQ232" s="41"/>
      <c r="AR232" s="80"/>
      <c r="AS232" s="33"/>
      <c r="BL232" s="106"/>
      <c r="BM232" s="37"/>
      <c r="BN232" s="37"/>
      <c r="BO232" s="37"/>
      <c r="BP232" s="37"/>
      <c r="BQ232" s="37"/>
      <c r="BR232" s="37"/>
      <c r="BS232" s="37"/>
      <c r="BT232" s="37"/>
      <c r="BU232" s="118"/>
      <c r="BV232" s="37"/>
      <c r="CB232" s="18"/>
      <c r="CC232" s="18"/>
      <c r="CD232" s="18"/>
      <c r="CE232" s="18"/>
      <c r="CF232" s="18"/>
      <c r="CG232" s="18"/>
      <c r="CH232" s="18"/>
      <c r="CI232" s="37"/>
      <c r="CJ232" s="37"/>
      <c r="CK232" s="37"/>
      <c r="CL232" s="37"/>
      <c r="CM232" s="37"/>
      <c r="CN232" s="37"/>
      <c r="CO232" s="37"/>
      <c r="CP232" s="37"/>
      <c r="CQ232" s="37"/>
      <c r="CR232" s="37"/>
      <c r="CS232" s="118"/>
    </row>
    <row r="233" spans="1:97" ht="14.25" hidden="1" customHeight="1" outlineLevel="1">
      <c r="A233" s="18"/>
      <c r="B233" s="26" t="s">
        <v>198</v>
      </c>
      <c r="C233" s="26"/>
      <c r="D233" s="38">
        <f>IS!C193</f>
        <v>0</v>
      </c>
      <c r="E233" s="38">
        <f>IS!D193</f>
        <v>0</v>
      </c>
      <c r="F233" s="38">
        <f>IS!E193</f>
        <v>0</v>
      </c>
      <c r="G233" s="39">
        <f>IS!F193</f>
        <v>0</v>
      </c>
      <c r="H233" s="38" t="e">
        <f>SUM(H213,H218,H223,H228)</f>
        <v>#DIV/0!</v>
      </c>
      <c r="I233" s="38" t="e">
        <f t="shared" ref="I233:AM233" si="426">SUM(I213,I218,I223,I228)</f>
        <v>#DIV/0!</v>
      </c>
      <c r="J233" s="38" t="e">
        <f t="shared" si="426"/>
        <v>#DIV/0!</v>
      </c>
      <c r="K233" s="39" t="e">
        <f t="shared" si="426"/>
        <v>#DIV/0!</v>
      </c>
      <c r="L233" s="38" t="e">
        <f t="shared" si="426"/>
        <v>#DIV/0!</v>
      </c>
      <c r="M233" s="38" t="e">
        <f t="shared" si="426"/>
        <v>#DIV/0!</v>
      </c>
      <c r="N233" s="38" t="e">
        <f t="shared" si="426"/>
        <v>#DIV/0!</v>
      </c>
      <c r="O233" s="39" t="e">
        <f t="shared" si="426"/>
        <v>#DIV/0!</v>
      </c>
      <c r="P233" s="38" t="e">
        <f t="shared" si="426"/>
        <v>#DIV/0!</v>
      </c>
      <c r="Q233" s="38" t="e">
        <f t="shared" si="426"/>
        <v>#DIV/0!</v>
      </c>
      <c r="R233" s="38" t="e">
        <f t="shared" si="426"/>
        <v>#DIV/0!</v>
      </c>
      <c r="S233" s="39" t="e">
        <f t="shared" si="426"/>
        <v>#DIV/0!</v>
      </c>
      <c r="T233" s="38" t="e">
        <f t="shared" si="426"/>
        <v>#DIV/0!</v>
      </c>
      <c r="U233" s="38" t="e">
        <f t="shared" si="426"/>
        <v>#DIV/0!</v>
      </c>
      <c r="V233" s="38" t="e">
        <f t="shared" si="426"/>
        <v>#DIV/0!</v>
      </c>
      <c r="W233" s="39" t="e">
        <f t="shared" si="426"/>
        <v>#DIV/0!</v>
      </c>
      <c r="X233" s="38" t="e">
        <f t="shared" si="426"/>
        <v>#DIV/0!</v>
      </c>
      <c r="Y233" s="38" t="e">
        <f t="shared" si="426"/>
        <v>#DIV/0!</v>
      </c>
      <c r="Z233" s="38" t="e">
        <f t="shared" si="426"/>
        <v>#DIV/0!</v>
      </c>
      <c r="AA233" s="39" t="e">
        <f t="shared" si="426"/>
        <v>#DIV/0!</v>
      </c>
      <c r="AB233" s="38" t="e">
        <f t="shared" si="426"/>
        <v>#DIV/0!</v>
      </c>
      <c r="AC233" s="38" t="e">
        <f t="shared" si="426"/>
        <v>#DIV/0!</v>
      </c>
      <c r="AD233" s="38" t="e">
        <f t="shared" si="426"/>
        <v>#DIV/0!</v>
      </c>
      <c r="AE233" s="39" t="e">
        <f t="shared" si="426"/>
        <v>#DIV/0!</v>
      </c>
      <c r="AF233" s="38" t="e">
        <f t="shared" si="426"/>
        <v>#DIV/0!</v>
      </c>
      <c r="AG233" s="38" t="e">
        <f t="shared" si="426"/>
        <v>#DIV/0!</v>
      </c>
      <c r="AH233" s="38" t="e">
        <f t="shared" si="426"/>
        <v>#DIV/0!</v>
      </c>
      <c r="AI233" s="39" t="e">
        <f t="shared" si="426"/>
        <v>#DIV/0!</v>
      </c>
      <c r="AJ233" s="38" t="e">
        <f t="shared" si="426"/>
        <v>#DIV/0!</v>
      </c>
      <c r="AK233" s="38" t="e">
        <f t="shared" si="426"/>
        <v>#DIV/0!</v>
      </c>
      <c r="AL233" s="38" t="e">
        <f t="shared" si="426"/>
        <v>#DIV/0!</v>
      </c>
      <c r="AM233" s="39" t="e">
        <f t="shared" si="426"/>
        <v>#DIV/0!</v>
      </c>
      <c r="AN233" s="38">
        <f t="shared" ref="AN233:AS233" si="427">SUM(AN213,AN218,AN223,AN228)</f>
        <v>0</v>
      </c>
      <c r="AO233" s="38">
        <f t="shared" si="427"/>
        <v>0</v>
      </c>
      <c r="AP233" s="38">
        <f t="shared" si="427"/>
        <v>0</v>
      </c>
      <c r="AQ233" s="39">
        <f t="shared" si="427"/>
        <v>0</v>
      </c>
      <c r="AR233" s="38">
        <f t="shared" si="427"/>
        <v>0</v>
      </c>
      <c r="AS233" s="38">
        <f t="shared" si="427"/>
        <v>0</v>
      </c>
      <c r="BL233" s="107"/>
      <c r="BM233" s="40"/>
      <c r="BN233" s="40" t="e">
        <f>SUM(BN213,BN218,BN223,BN228)</f>
        <v>#DIV/0!</v>
      </c>
      <c r="BO233" s="40" t="e">
        <f>SUM(BO213,BO218,BO223,BO228)</f>
        <v>#DIV/0!</v>
      </c>
      <c r="BP233" s="40" t="e">
        <f t="shared" ref="BP233:BV233" si="428">SUM(BP213,BP218,BP223,BP228)</f>
        <v>#DIV/0!</v>
      </c>
      <c r="BQ233" s="40" t="e">
        <f t="shared" si="428"/>
        <v>#DIV/0!</v>
      </c>
      <c r="BR233" s="40" t="e">
        <f t="shared" si="428"/>
        <v>#DIV/0!</v>
      </c>
      <c r="BS233" s="40" t="e">
        <f t="shared" si="428"/>
        <v>#DIV/0!</v>
      </c>
      <c r="BT233" s="40" t="e">
        <f t="shared" si="428"/>
        <v>#DIV/0!</v>
      </c>
      <c r="BU233" s="119" t="e">
        <f t="shared" si="428"/>
        <v>#DIV/0!</v>
      </c>
      <c r="BV233" s="40">
        <f t="shared" si="428"/>
        <v>0</v>
      </c>
      <c r="CB233" s="18"/>
      <c r="CC233" s="18"/>
      <c r="CD233" s="18"/>
      <c r="CE233" s="18"/>
      <c r="CF233" s="18"/>
      <c r="CG233" s="18"/>
      <c r="CH233" s="18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119"/>
    </row>
    <row r="234" spans="1:97" ht="14.25" hidden="1" customHeight="1" outlineLevel="1">
      <c r="A234" s="18"/>
      <c r="B234" s="79" t="s">
        <v>186</v>
      </c>
      <c r="C234" s="79"/>
      <c r="D234" s="80"/>
      <c r="E234" s="80" t="e">
        <f t="shared" ref="E234:AS234" si="429">E233/D233-1</f>
        <v>#DIV/0!</v>
      </c>
      <c r="F234" s="80" t="e">
        <f t="shared" si="429"/>
        <v>#DIV/0!</v>
      </c>
      <c r="G234" s="41" t="e">
        <f t="shared" si="429"/>
        <v>#DIV/0!</v>
      </c>
      <c r="H234" s="80" t="e">
        <f t="shared" si="429"/>
        <v>#DIV/0!</v>
      </c>
      <c r="I234" s="80" t="e">
        <f t="shared" si="429"/>
        <v>#DIV/0!</v>
      </c>
      <c r="J234" s="80" t="e">
        <f t="shared" si="429"/>
        <v>#DIV/0!</v>
      </c>
      <c r="K234" s="41" t="e">
        <f t="shared" si="429"/>
        <v>#DIV/0!</v>
      </c>
      <c r="L234" s="80" t="e">
        <f t="shared" si="429"/>
        <v>#DIV/0!</v>
      </c>
      <c r="M234" s="80" t="e">
        <f t="shared" si="429"/>
        <v>#DIV/0!</v>
      </c>
      <c r="N234" s="80" t="e">
        <f t="shared" si="429"/>
        <v>#DIV/0!</v>
      </c>
      <c r="O234" s="41" t="e">
        <f t="shared" si="429"/>
        <v>#DIV/0!</v>
      </c>
      <c r="P234" s="80" t="e">
        <f t="shared" si="429"/>
        <v>#DIV/0!</v>
      </c>
      <c r="Q234" s="80" t="e">
        <f t="shared" si="429"/>
        <v>#DIV/0!</v>
      </c>
      <c r="R234" s="80" t="e">
        <f t="shared" si="429"/>
        <v>#DIV/0!</v>
      </c>
      <c r="S234" s="41" t="e">
        <f t="shared" si="429"/>
        <v>#DIV/0!</v>
      </c>
      <c r="T234" s="80" t="e">
        <f t="shared" si="429"/>
        <v>#DIV/0!</v>
      </c>
      <c r="U234" s="80" t="e">
        <f t="shared" si="429"/>
        <v>#DIV/0!</v>
      </c>
      <c r="V234" s="80" t="e">
        <f t="shared" si="429"/>
        <v>#DIV/0!</v>
      </c>
      <c r="W234" s="41" t="e">
        <f t="shared" si="429"/>
        <v>#DIV/0!</v>
      </c>
      <c r="X234" s="80" t="e">
        <f t="shared" si="429"/>
        <v>#DIV/0!</v>
      </c>
      <c r="Y234" s="80" t="e">
        <f t="shared" si="429"/>
        <v>#DIV/0!</v>
      </c>
      <c r="Z234" s="80" t="e">
        <f t="shared" si="429"/>
        <v>#DIV/0!</v>
      </c>
      <c r="AA234" s="41" t="e">
        <f t="shared" si="429"/>
        <v>#DIV/0!</v>
      </c>
      <c r="AB234" s="80" t="e">
        <f t="shared" si="429"/>
        <v>#DIV/0!</v>
      </c>
      <c r="AC234" s="80" t="e">
        <f t="shared" si="429"/>
        <v>#DIV/0!</v>
      </c>
      <c r="AD234" s="80" t="e">
        <f t="shared" si="429"/>
        <v>#DIV/0!</v>
      </c>
      <c r="AE234" s="41" t="e">
        <f t="shared" si="429"/>
        <v>#DIV/0!</v>
      </c>
      <c r="AF234" s="80" t="e">
        <f t="shared" si="429"/>
        <v>#DIV/0!</v>
      </c>
      <c r="AG234" s="80" t="e">
        <f t="shared" si="429"/>
        <v>#DIV/0!</v>
      </c>
      <c r="AH234" s="80" t="e">
        <f t="shared" si="429"/>
        <v>#DIV/0!</v>
      </c>
      <c r="AI234" s="41" t="e">
        <f t="shared" si="429"/>
        <v>#DIV/0!</v>
      </c>
      <c r="AJ234" s="80" t="e">
        <f t="shared" si="429"/>
        <v>#DIV/0!</v>
      </c>
      <c r="AK234" s="86" t="e">
        <f t="shared" si="429"/>
        <v>#DIV/0!</v>
      </c>
      <c r="AL234" s="86" t="e">
        <f t="shared" si="429"/>
        <v>#DIV/0!</v>
      </c>
      <c r="AM234" s="41" t="e">
        <f t="shared" si="429"/>
        <v>#DIV/0!</v>
      </c>
      <c r="AN234" s="80" t="e">
        <f t="shared" si="429"/>
        <v>#DIV/0!</v>
      </c>
      <c r="AO234" s="86" t="e">
        <f t="shared" si="429"/>
        <v>#DIV/0!</v>
      </c>
      <c r="AP234" s="86" t="e">
        <f t="shared" si="429"/>
        <v>#DIV/0!</v>
      </c>
      <c r="AQ234" s="41" t="e">
        <f t="shared" si="429"/>
        <v>#DIV/0!</v>
      </c>
      <c r="AR234" s="80" t="e">
        <f t="shared" si="429"/>
        <v>#DIV/0!</v>
      </c>
      <c r="AS234" s="86" t="e">
        <f t="shared" si="429"/>
        <v>#DIV/0!</v>
      </c>
      <c r="BL234" s="106"/>
      <c r="BM234" s="81"/>
      <c r="BN234" s="81"/>
      <c r="BO234" s="81"/>
      <c r="BP234" s="81"/>
      <c r="BQ234" s="81"/>
      <c r="BR234" s="81"/>
      <c r="BS234" s="81"/>
      <c r="BT234" s="81"/>
      <c r="BU234" s="115"/>
      <c r="BV234" s="81"/>
      <c r="CB234" s="18"/>
      <c r="CC234" s="18"/>
      <c r="CD234" s="18"/>
      <c r="CE234" s="18"/>
      <c r="CF234" s="18"/>
      <c r="CG234" s="18"/>
      <c r="CH234" s="18"/>
      <c r="CI234" s="81"/>
      <c r="CJ234" s="81"/>
      <c r="CK234" s="81"/>
      <c r="CL234" s="81"/>
      <c r="CM234" s="81"/>
      <c r="CN234" s="81"/>
      <c r="CO234" s="81"/>
      <c r="CP234" s="81"/>
      <c r="CQ234" s="81"/>
      <c r="CR234" s="81"/>
      <c r="CS234" s="115"/>
    </row>
    <row r="235" spans="1:97" ht="14.25" hidden="1" customHeight="1" outlineLevel="2">
      <c r="A235" s="18"/>
      <c r="B235" s="82" t="s">
        <v>187</v>
      </c>
      <c r="C235" s="82"/>
      <c r="D235" s="80"/>
      <c r="E235" s="80"/>
      <c r="F235" s="80"/>
      <c r="G235" s="41"/>
      <c r="H235" s="80" t="e">
        <f t="shared" ref="H235:AS235" si="430">H233/D233-1</f>
        <v>#DIV/0!</v>
      </c>
      <c r="I235" s="80" t="e">
        <f t="shared" si="430"/>
        <v>#DIV/0!</v>
      </c>
      <c r="J235" s="80" t="e">
        <f t="shared" si="430"/>
        <v>#DIV/0!</v>
      </c>
      <c r="K235" s="41" t="e">
        <f t="shared" si="430"/>
        <v>#DIV/0!</v>
      </c>
      <c r="L235" s="80" t="e">
        <f t="shared" si="430"/>
        <v>#DIV/0!</v>
      </c>
      <c r="M235" s="80" t="e">
        <f t="shared" si="430"/>
        <v>#DIV/0!</v>
      </c>
      <c r="N235" s="80" t="e">
        <f t="shared" si="430"/>
        <v>#DIV/0!</v>
      </c>
      <c r="O235" s="41" t="e">
        <f t="shared" si="430"/>
        <v>#DIV/0!</v>
      </c>
      <c r="P235" s="80" t="e">
        <f t="shared" si="430"/>
        <v>#DIV/0!</v>
      </c>
      <c r="Q235" s="80" t="e">
        <f t="shared" si="430"/>
        <v>#DIV/0!</v>
      </c>
      <c r="R235" s="80" t="e">
        <f t="shared" si="430"/>
        <v>#DIV/0!</v>
      </c>
      <c r="S235" s="41" t="e">
        <f t="shared" si="430"/>
        <v>#DIV/0!</v>
      </c>
      <c r="T235" s="80" t="e">
        <f t="shared" si="430"/>
        <v>#DIV/0!</v>
      </c>
      <c r="U235" s="80" t="e">
        <f t="shared" si="430"/>
        <v>#DIV/0!</v>
      </c>
      <c r="V235" s="80" t="e">
        <f t="shared" si="430"/>
        <v>#DIV/0!</v>
      </c>
      <c r="W235" s="41" t="e">
        <f t="shared" si="430"/>
        <v>#DIV/0!</v>
      </c>
      <c r="X235" s="80" t="e">
        <f t="shared" si="430"/>
        <v>#DIV/0!</v>
      </c>
      <c r="Y235" s="80" t="e">
        <f t="shared" si="430"/>
        <v>#DIV/0!</v>
      </c>
      <c r="Z235" s="80" t="e">
        <f t="shared" si="430"/>
        <v>#DIV/0!</v>
      </c>
      <c r="AA235" s="41" t="e">
        <f t="shared" si="430"/>
        <v>#DIV/0!</v>
      </c>
      <c r="AB235" s="80" t="e">
        <f t="shared" si="430"/>
        <v>#DIV/0!</v>
      </c>
      <c r="AC235" s="80" t="e">
        <f t="shared" si="430"/>
        <v>#DIV/0!</v>
      </c>
      <c r="AD235" s="80" t="e">
        <f t="shared" si="430"/>
        <v>#DIV/0!</v>
      </c>
      <c r="AE235" s="41" t="e">
        <f t="shared" si="430"/>
        <v>#DIV/0!</v>
      </c>
      <c r="AF235" s="80" t="e">
        <f t="shared" si="430"/>
        <v>#DIV/0!</v>
      </c>
      <c r="AG235" s="80" t="e">
        <f t="shared" si="430"/>
        <v>#DIV/0!</v>
      </c>
      <c r="AH235" s="80" t="e">
        <f t="shared" si="430"/>
        <v>#DIV/0!</v>
      </c>
      <c r="AI235" s="41" t="e">
        <f t="shared" si="430"/>
        <v>#DIV/0!</v>
      </c>
      <c r="AJ235" s="80" t="e">
        <f t="shared" si="430"/>
        <v>#DIV/0!</v>
      </c>
      <c r="AK235" s="80" t="e">
        <f t="shared" si="430"/>
        <v>#DIV/0!</v>
      </c>
      <c r="AL235" s="80" t="e">
        <f t="shared" si="430"/>
        <v>#DIV/0!</v>
      </c>
      <c r="AM235" s="41" t="e">
        <f t="shared" si="430"/>
        <v>#DIV/0!</v>
      </c>
      <c r="AN235" s="80" t="e">
        <f t="shared" si="430"/>
        <v>#DIV/0!</v>
      </c>
      <c r="AO235" s="80" t="e">
        <f t="shared" si="430"/>
        <v>#DIV/0!</v>
      </c>
      <c r="AP235" s="80" t="e">
        <f t="shared" si="430"/>
        <v>#DIV/0!</v>
      </c>
      <c r="AQ235" s="41" t="e">
        <f t="shared" si="430"/>
        <v>#DIV/0!</v>
      </c>
      <c r="AR235" s="80" t="e">
        <f t="shared" si="430"/>
        <v>#DIV/0!</v>
      </c>
      <c r="AS235" s="80" t="e">
        <f t="shared" si="430"/>
        <v>#DIV/0!</v>
      </c>
      <c r="BL235" s="106"/>
      <c r="BM235" s="80"/>
      <c r="BN235" s="80"/>
      <c r="BO235" s="80" t="e">
        <f t="shared" ref="BO235:BV235" si="431">BO233/BN233-1</f>
        <v>#DIV/0!</v>
      </c>
      <c r="BP235" s="80" t="e">
        <f t="shared" si="431"/>
        <v>#DIV/0!</v>
      </c>
      <c r="BQ235" s="80" t="e">
        <f t="shared" si="431"/>
        <v>#DIV/0!</v>
      </c>
      <c r="BR235" s="80" t="e">
        <f t="shared" si="431"/>
        <v>#DIV/0!</v>
      </c>
      <c r="BS235" s="80" t="e">
        <f t="shared" si="431"/>
        <v>#DIV/0!</v>
      </c>
      <c r="BT235" s="80" t="e">
        <f t="shared" si="431"/>
        <v>#DIV/0!</v>
      </c>
      <c r="BU235" s="41" t="e">
        <f t="shared" si="431"/>
        <v>#DIV/0!</v>
      </c>
      <c r="BV235" s="80" t="e">
        <f t="shared" si="431"/>
        <v>#DIV/0!</v>
      </c>
      <c r="CB235" s="18"/>
      <c r="CC235" s="18"/>
      <c r="CD235" s="18"/>
      <c r="CE235" s="18"/>
      <c r="CF235" s="18"/>
      <c r="CG235" s="18"/>
      <c r="CH235" s="18"/>
      <c r="CI235" s="80"/>
      <c r="CJ235" s="80"/>
      <c r="CK235" s="80"/>
      <c r="CL235" s="80"/>
      <c r="CM235" s="80"/>
      <c r="CN235" s="80"/>
      <c r="CO235" s="80"/>
      <c r="CP235" s="80"/>
      <c r="CQ235" s="80"/>
      <c r="CR235" s="80"/>
      <c r="CS235" s="41"/>
    </row>
    <row r="236" spans="1:97" ht="14.25" hidden="1" customHeight="1" outlineLevel="1">
      <c r="A236" s="18"/>
      <c r="B236" s="82" t="s">
        <v>197</v>
      </c>
      <c r="C236" s="79"/>
      <c r="D236" s="80" t="e">
        <f>D233/IS!C$7</f>
        <v>#DIV/0!</v>
      </c>
      <c r="E236" s="80">
        <f>E233/IS!D$7</f>
        <v>0</v>
      </c>
      <c r="F236" s="80">
        <f>F233/IS!E$7</f>
        <v>0</v>
      </c>
      <c r="G236" s="41">
        <f>G233/IS!F$7</f>
        <v>0</v>
      </c>
      <c r="H236" s="80" t="e">
        <f>H233/IS!G$7</f>
        <v>#DIV/0!</v>
      </c>
      <c r="I236" s="80" t="e">
        <f>I233/IS!H$7</f>
        <v>#DIV/0!</v>
      </c>
      <c r="J236" s="80" t="e">
        <f>J233/IS!I$7</f>
        <v>#DIV/0!</v>
      </c>
      <c r="K236" s="41" t="e">
        <f>K233/IS!J$7</f>
        <v>#DIV/0!</v>
      </c>
      <c r="L236" s="80" t="e">
        <f>L233/IS!K$7</f>
        <v>#DIV/0!</v>
      </c>
      <c r="M236" s="80" t="e">
        <f>M233/IS!L$7</f>
        <v>#DIV/0!</v>
      </c>
      <c r="N236" s="80" t="e">
        <f>N233/IS!M$7</f>
        <v>#DIV/0!</v>
      </c>
      <c r="O236" s="41" t="e">
        <f>O233/IS!N$7</f>
        <v>#DIV/0!</v>
      </c>
      <c r="P236" s="80" t="e">
        <f>P233/IS!O$7</f>
        <v>#DIV/0!</v>
      </c>
      <c r="Q236" s="80" t="e">
        <f>Q233/IS!P$7</f>
        <v>#DIV/0!</v>
      </c>
      <c r="R236" s="80" t="e">
        <f>R233/IS!Q$7</f>
        <v>#DIV/0!</v>
      </c>
      <c r="S236" s="41" t="e">
        <f>S233/IS!R$7</f>
        <v>#DIV/0!</v>
      </c>
      <c r="T236" s="80" t="e">
        <f>T233/IS!S$7</f>
        <v>#DIV/0!</v>
      </c>
      <c r="U236" s="80" t="e">
        <f>U233/IS!T$7</f>
        <v>#DIV/0!</v>
      </c>
      <c r="V236" s="80" t="e">
        <f>V233/IS!U$7</f>
        <v>#DIV/0!</v>
      </c>
      <c r="W236" s="41" t="e">
        <f>W233/IS!V$7</f>
        <v>#DIV/0!</v>
      </c>
      <c r="X236" s="80" t="e">
        <f>X233/IS!W$7</f>
        <v>#DIV/0!</v>
      </c>
      <c r="Y236" s="80" t="e">
        <f>Y233/IS!X$7</f>
        <v>#DIV/0!</v>
      </c>
      <c r="Z236" s="80" t="e">
        <f>Z233/IS!Y$7</f>
        <v>#DIV/0!</v>
      </c>
      <c r="AA236" s="41" t="e">
        <f>AA233/IS!Z$7</f>
        <v>#DIV/0!</v>
      </c>
      <c r="AB236" s="80" t="e">
        <f>AB233/IS!AA$7</f>
        <v>#DIV/0!</v>
      </c>
      <c r="AC236" s="80" t="e">
        <f>AC233/IS!AB$7</f>
        <v>#DIV/0!</v>
      </c>
      <c r="AD236" s="80" t="e">
        <f>AD233/IS!AC$7</f>
        <v>#DIV/0!</v>
      </c>
      <c r="AE236" s="41" t="e">
        <f>AE233/IS!AD$7</f>
        <v>#DIV/0!</v>
      </c>
      <c r="AF236" s="80" t="e">
        <f>AF233/IS!AE$7</f>
        <v>#DIV/0!</v>
      </c>
      <c r="AG236" s="80" t="e">
        <f>AG233/IS!AF$7</f>
        <v>#DIV/0!</v>
      </c>
      <c r="AH236" s="80" t="e">
        <f>AH233/IS!AG$7</f>
        <v>#DIV/0!</v>
      </c>
      <c r="AI236" s="41" t="e">
        <f>AI233/IS!AH$7</f>
        <v>#DIV/0!</v>
      </c>
      <c r="AJ236" s="80" t="e">
        <f>AJ233/IS!AI$7</f>
        <v>#DIV/0!</v>
      </c>
      <c r="AK236" s="86" t="e">
        <f>AK233/IS!AJ$7</f>
        <v>#DIV/0!</v>
      </c>
      <c r="AL236" s="86" t="e">
        <f>AL233/IS!AK$7</f>
        <v>#DIV/0!</v>
      </c>
      <c r="AM236" s="41" t="e">
        <f>AM233/IS!AL$7</f>
        <v>#DIV/0!</v>
      </c>
      <c r="AN236" s="80">
        <f>AN233/IS!AM$7</f>
        <v>0</v>
      </c>
      <c r="AO236" s="86">
        <f>AO233/IS!AN$7</f>
        <v>0</v>
      </c>
      <c r="AP236" s="86">
        <f>AP233/IS!AO$7</f>
        <v>0</v>
      </c>
      <c r="AQ236" s="41">
        <f>AQ233/IS!AP$7</f>
        <v>0</v>
      </c>
      <c r="AR236" s="80">
        <f>AR233/IS!AQ$7</f>
        <v>0</v>
      </c>
      <c r="AS236" s="86">
        <f>AS233/IS!AR$7</f>
        <v>0</v>
      </c>
      <c r="BL236" s="106"/>
      <c r="BM236" s="83"/>
      <c r="BN236" s="86" t="e">
        <f t="shared" ref="BN236:BV236" si="432">BN233/BN$73</f>
        <v>#DIV/0!</v>
      </c>
      <c r="BO236" s="86" t="e">
        <f t="shared" si="432"/>
        <v>#DIV/0!</v>
      </c>
      <c r="BP236" s="86" t="e">
        <f t="shared" si="432"/>
        <v>#DIV/0!</v>
      </c>
      <c r="BQ236" s="86" t="e">
        <f t="shared" si="432"/>
        <v>#DIV/0!</v>
      </c>
      <c r="BR236" s="86" t="e">
        <f t="shared" si="432"/>
        <v>#DIV/0!</v>
      </c>
      <c r="BS236" s="86" t="e">
        <f t="shared" si="432"/>
        <v>#DIV/0!</v>
      </c>
      <c r="BT236" s="86" t="e">
        <f t="shared" si="432"/>
        <v>#DIV/0!</v>
      </c>
      <c r="BU236" s="85" t="e">
        <f t="shared" si="432"/>
        <v>#DIV/0!</v>
      </c>
      <c r="BV236" s="86">
        <f t="shared" si="432"/>
        <v>0</v>
      </c>
      <c r="CB236" s="18"/>
      <c r="CC236" s="18"/>
      <c r="CD236" s="18"/>
      <c r="CE236" s="18"/>
      <c r="CF236" s="18"/>
      <c r="CG236" s="18"/>
      <c r="CH236" s="18"/>
      <c r="CI236" s="83"/>
      <c r="CJ236" s="86"/>
      <c r="CK236" s="86"/>
      <c r="CL236" s="86"/>
      <c r="CM236" s="86"/>
      <c r="CN236" s="86"/>
      <c r="CO236" s="86"/>
      <c r="CP236" s="83"/>
      <c r="CQ236" s="83"/>
      <c r="CR236" s="83"/>
      <c r="CS236" s="117"/>
    </row>
    <row r="237" spans="1:97" ht="14.25" hidden="1" customHeight="1" outlineLevel="1">
      <c r="A237" s="18"/>
      <c r="B237" s="18"/>
      <c r="C237" s="18"/>
      <c r="D237" s="33"/>
      <c r="E237" s="33"/>
      <c r="F237" s="33"/>
      <c r="G237" s="36"/>
      <c r="H237" s="33"/>
      <c r="I237" s="33"/>
      <c r="J237" s="33"/>
      <c r="K237" s="36"/>
      <c r="L237" s="33"/>
      <c r="M237" s="33"/>
      <c r="N237" s="33"/>
      <c r="O237" s="36"/>
      <c r="P237" s="33"/>
      <c r="Q237" s="33"/>
      <c r="R237" s="33"/>
      <c r="S237" s="36"/>
      <c r="T237" s="33"/>
      <c r="U237" s="33"/>
      <c r="V237" s="33"/>
      <c r="W237" s="36"/>
      <c r="X237" s="33"/>
      <c r="Y237" s="33"/>
      <c r="Z237" s="33"/>
      <c r="AA237" s="36"/>
      <c r="AB237" s="33"/>
      <c r="AC237" s="33"/>
      <c r="AD237" s="33"/>
      <c r="AE237" s="36"/>
      <c r="AF237" s="33"/>
      <c r="AG237" s="33"/>
      <c r="AH237" s="33"/>
      <c r="AI237" s="36"/>
      <c r="AJ237" s="80"/>
      <c r="AK237" s="80"/>
      <c r="AL237" s="80"/>
      <c r="AM237" s="41"/>
      <c r="AN237" s="80"/>
      <c r="AO237" s="80"/>
      <c r="AP237" s="80"/>
      <c r="AQ237" s="41"/>
      <c r="AR237" s="80"/>
      <c r="AS237" s="80"/>
      <c r="BL237" s="106"/>
      <c r="BM237" s="33"/>
      <c r="BN237" s="33"/>
      <c r="BO237" s="33"/>
      <c r="BP237" s="33"/>
      <c r="BQ237" s="80"/>
      <c r="BR237" s="80"/>
      <c r="BS237" s="80"/>
      <c r="BT237" s="80"/>
      <c r="BU237" s="41"/>
      <c r="BV237" s="80"/>
      <c r="CB237" s="18"/>
      <c r="CC237" s="18"/>
      <c r="CD237" s="18"/>
      <c r="CE237" s="18"/>
      <c r="CF237" s="18"/>
      <c r="CG237" s="18"/>
      <c r="CH237" s="18"/>
      <c r="CI237" s="33"/>
      <c r="CJ237" s="80"/>
      <c r="CK237" s="80"/>
      <c r="CL237" s="80"/>
      <c r="CM237" s="80"/>
      <c r="CN237" s="80"/>
      <c r="CO237" s="80"/>
      <c r="CP237" s="80"/>
      <c r="CQ237" s="80"/>
      <c r="CR237" s="80"/>
      <c r="CS237" s="41"/>
    </row>
    <row r="238" spans="1:97" ht="14.25" hidden="1" customHeight="1" outlineLevel="1">
      <c r="A238" s="18"/>
      <c r="B238" s="26" t="s">
        <v>199</v>
      </c>
      <c r="C238" s="26"/>
      <c r="D238" s="4">
        <f>IS!D205</f>
        <v>0</v>
      </c>
      <c r="E238" s="4">
        <f>IS!E205</f>
        <v>0</v>
      </c>
      <c r="F238" s="4">
        <f>IS!F205</f>
        <v>0</v>
      </c>
      <c r="G238" s="5">
        <f>IS!G205</f>
        <v>0</v>
      </c>
      <c r="H238" s="4">
        <f>IS!H205</f>
        <v>0</v>
      </c>
      <c r="I238" s="4">
        <f>IS!I205</f>
        <v>0</v>
      </c>
      <c r="J238" s="4">
        <f>IS!J205</f>
        <v>0</v>
      </c>
      <c r="K238" s="5">
        <f>IS!K205</f>
        <v>0</v>
      </c>
      <c r="L238" s="4">
        <f>IS!L205</f>
        <v>0</v>
      </c>
      <c r="M238" s="4">
        <f>IS!M205</f>
        <v>0</v>
      </c>
      <c r="N238" s="4">
        <f>IS!N205</f>
        <v>0</v>
      </c>
      <c r="O238" s="5">
        <f>IS!O205</f>
        <v>0</v>
      </c>
      <c r="P238" s="4">
        <f>IS!P205</f>
        <v>0</v>
      </c>
      <c r="Q238" s="4">
        <f>IS!Q205</f>
        <v>0</v>
      </c>
      <c r="R238" s="4">
        <f>IS!R205</f>
        <v>0</v>
      </c>
      <c r="S238" s="5">
        <f>IS!S205</f>
        <v>0</v>
      </c>
      <c r="T238" s="4">
        <f>IS!T205</f>
        <v>0</v>
      </c>
      <c r="U238" s="4">
        <f>IS!U205</f>
        <v>0</v>
      </c>
      <c r="V238" s="4">
        <f>IS!V205</f>
        <v>0</v>
      </c>
      <c r="W238" s="5">
        <f>IS!W205</f>
        <v>0</v>
      </c>
      <c r="X238" s="4">
        <f>IS!X205</f>
        <v>0</v>
      </c>
      <c r="Y238" s="4">
        <f>IS!Y205</f>
        <v>0</v>
      </c>
      <c r="Z238" s="4">
        <f>IS!Z205</f>
        <v>0</v>
      </c>
      <c r="AA238" s="5">
        <f>IS!AA205</f>
        <v>0</v>
      </c>
      <c r="AB238" s="4">
        <f>IS!AB205</f>
        <v>0</v>
      </c>
      <c r="AC238" s="4">
        <f>IS!AC205</f>
        <v>0</v>
      </c>
      <c r="AD238" s="4">
        <f>IS!AD205</f>
        <v>0</v>
      </c>
      <c r="AE238" s="5">
        <f>IS!AE205</f>
        <v>0</v>
      </c>
      <c r="AF238" s="4">
        <f>IS!AF205</f>
        <v>0</v>
      </c>
      <c r="AG238" s="4">
        <f>IS!AG205</f>
        <v>0</v>
      </c>
      <c r="AH238" s="4">
        <f>IS!AH205</f>
        <v>0</v>
      </c>
      <c r="AI238" s="5">
        <f>IS!AI205</f>
        <v>0</v>
      </c>
      <c r="AJ238" s="4">
        <f>IS!AJ205</f>
        <v>0</v>
      </c>
      <c r="AK238" s="4">
        <f>IS!AK205</f>
        <v>0</v>
      </c>
      <c r="AL238" s="4">
        <f>IS!AL205</f>
        <v>0</v>
      </c>
      <c r="AM238" s="5">
        <f>IS!AM205</f>
        <v>0</v>
      </c>
      <c r="AN238" s="4">
        <f>IS!AN205</f>
        <v>0</v>
      </c>
      <c r="AO238" s="4">
        <f>IS!AO205</f>
        <v>0</v>
      </c>
      <c r="AP238" s="4">
        <f>IS!AP205</f>
        <v>0</v>
      </c>
      <c r="AQ238" s="5">
        <f>IS!AQ205</f>
        <v>0</v>
      </c>
      <c r="AR238" s="4">
        <f>IS!AR205</f>
        <v>0</v>
      </c>
      <c r="AS238" s="4">
        <f>IS!AS205</f>
        <v>0</v>
      </c>
      <c r="BL238" s="108"/>
      <c r="BM238" s="38"/>
      <c r="BN238" s="4">
        <f>IS!BN205</f>
        <v>0</v>
      </c>
      <c r="BO238" s="4">
        <f>IS!BO205</f>
        <v>0</v>
      </c>
      <c r="BP238" s="4">
        <f>IS!BP205</f>
        <v>0</v>
      </c>
      <c r="BQ238" s="4">
        <f>IS!BQ205</f>
        <v>0</v>
      </c>
      <c r="BR238" s="4">
        <f>IS!BR205</f>
        <v>0</v>
      </c>
      <c r="BS238" s="4">
        <f>IS!BS205</f>
        <v>0</v>
      </c>
      <c r="BT238" s="4">
        <f>IS!BT205</f>
        <v>0</v>
      </c>
      <c r="BU238" s="5">
        <f>IS!BU205</f>
        <v>0</v>
      </c>
      <c r="BV238" s="4">
        <f>IS!BV205</f>
        <v>0</v>
      </c>
      <c r="CB238" s="18"/>
      <c r="CC238" s="18"/>
      <c r="CD238" s="18"/>
      <c r="CE238" s="18"/>
      <c r="CF238" s="18"/>
      <c r="CG238" s="18"/>
      <c r="CH238" s="18"/>
      <c r="CI238" s="38"/>
      <c r="CJ238" s="4"/>
      <c r="CK238" s="4"/>
      <c r="CL238" s="4"/>
      <c r="CM238" s="4"/>
      <c r="CN238" s="4"/>
      <c r="CO238" s="4"/>
      <c r="CP238" s="4"/>
      <c r="CQ238" s="4"/>
      <c r="CR238" s="4"/>
      <c r="CS238" s="4"/>
    </row>
    <row r="239" spans="1:97" ht="14.25" hidden="1" customHeight="1" outlineLevel="1">
      <c r="A239" s="18"/>
      <c r="B239" s="18"/>
      <c r="C239" s="18"/>
      <c r="D239" s="33"/>
      <c r="E239" s="33"/>
      <c r="F239" s="33"/>
      <c r="G239" s="36"/>
      <c r="H239" s="33"/>
      <c r="I239" s="33"/>
      <c r="J239" s="33"/>
      <c r="K239" s="36"/>
      <c r="L239" s="33"/>
      <c r="M239" s="33"/>
      <c r="N239" s="33"/>
      <c r="O239" s="36"/>
      <c r="P239" s="33"/>
      <c r="Q239" s="33"/>
      <c r="R239" s="33"/>
      <c r="S239" s="36"/>
      <c r="T239" s="33"/>
      <c r="U239" s="33"/>
      <c r="V239" s="33"/>
      <c r="W239" s="36"/>
      <c r="X239" s="33"/>
      <c r="Y239" s="33"/>
      <c r="Z239" s="33"/>
      <c r="AA239" s="36"/>
      <c r="AB239" s="33"/>
      <c r="AC239" s="33"/>
      <c r="AD239" s="33"/>
      <c r="AE239" s="36"/>
      <c r="AF239" s="33"/>
      <c r="AG239" s="33"/>
      <c r="AH239" s="33"/>
      <c r="AI239" s="36"/>
      <c r="AJ239" s="33"/>
      <c r="AK239" s="33"/>
      <c r="AL239" s="33"/>
      <c r="AM239" s="36"/>
      <c r="AN239" s="33"/>
      <c r="AO239" s="33"/>
      <c r="AP239" s="33"/>
      <c r="AQ239" s="36"/>
      <c r="AR239" s="33"/>
      <c r="AS239" s="33"/>
      <c r="BL239" s="106"/>
      <c r="BM239" s="33"/>
      <c r="BN239" s="33"/>
      <c r="BO239" s="33"/>
      <c r="BP239" s="33"/>
      <c r="BQ239" s="33"/>
      <c r="BR239" s="33"/>
      <c r="BS239" s="33"/>
      <c r="BT239" s="33"/>
      <c r="BU239" s="36"/>
      <c r="BV239" s="33"/>
      <c r="CI239" s="33"/>
      <c r="CJ239" s="33"/>
      <c r="CK239" s="33"/>
      <c r="CL239" s="33"/>
      <c r="CM239" s="33"/>
      <c r="CN239" s="33"/>
      <c r="CO239" s="33"/>
      <c r="CP239" s="33"/>
      <c r="CQ239" s="33"/>
      <c r="CR239" s="33"/>
      <c r="CS239" s="36"/>
    </row>
    <row r="240" spans="1:97" ht="14.25" hidden="1" customHeight="1" outlineLevel="1">
      <c r="A240" s="18"/>
      <c r="B240" s="26" t="s">
        <v>194</v>
      </c>
      <c r="C240" s="26"/>
      <c r="D240" s="42" t="str">
        <f>IF(ABS(D233-D238)&lt;1,"OK",D233-D238)</f>
        <v>OK</v>
      </c>
      <c r="E240" s="42" t="str">
        <f t="shared" ref="E240:AD240" si="433">IF(ABS(E233-E238)&lt;1,"OK",E233-E238)</f>
        <v>OK</v>
      </c>
      <c r="F240" s="42" t="str">
        <f t="shared" si="433"/>
        <v>OK</v>
      </c>
      <c r="G240" s="43" t="str">
        <f t="shared" si="433"/>
        <v>OK</v>
      </c>
      <c r="H240" s="42" t="e">
        <f t="shared" si="433"/>
        <v>#DIV/0!</v>
      </c>
      <c r="I240" s="42" t="e">
        <f t="shared" si="433"/>
        <v>#DIV/0!</v>
      </c>
      <c r="J240" s="42" t="e">
        <f t="shared" si="433"/>
        <v>#DIV/0!</v>
      </c>
      <c r="K240" s="43" t="e">
        <f t="shared" si="433"/>
        <v>#DIV/0!</v>
      </c>
      <c r="L240" s="42" t="e">
        <f t="shared" si="433"/>
        <v>#DIV/0!</v>
      </c>
      <c r="M240" s="42" t="e">
        <f t="shared" si="433"/>
        <v>#DIV/0!</v>
      </c>
      <c r="N240" s="42" t="e">
        <f t="shared" si="433"/>
        <v>#DIV/0!</v>
      </c>
      <c r="O240" s="43" t="e">
        <f t="shared" si="433"/>
        <v>#DIV/0!</v>
      </c>
      <c r="P240" s="42" t="e">
        <f t="shared" si="433"/>
        <v>#DIV/0!</v>
      </c>
      <c r="Q240" s="42" t="e">
        <f t="shared" si="433"/>
        <v>#DIV/0!</v>
      </c>
      <c r="R240" s="42" t="e">
        <f t="shared" si="433"/>
        <v>#DIV/0!</v>
      </c>
      <c r="S240" s="43" t="e">
        <f t="shared" si="433"/>
        <v>#DIV/0!</v>
      </c>
      <c r="T240" s="42" t="e">
        <f t="shared" si="433"/>
        <v>#DIV/0!</v>
      </c>
      <c r="U240" s="42" t="e">
        <f t="shared" si="433"/>
        <v>#DIV/0!</v>
      </c>
      <c r="V240" s="42" t="e">
        <f t="shared" si="433"/>
        <v>#DIV/0!</v>
      </c>
      <c r="W240" s="43" t="e">
        <f t="shared" si="433"/>
        <v>#DIV/0!</v>
      </c>
      <c r="X240" s="42" t="e">
        <f t="shared" si="433"/>
        <v>#DIV/0!</v>
      </c>
      <c r="Y240" s="42" t="e">
        <f t="shared" si="433"/>
        <v>#DIV/0!</v>
      </c>
      <c r="Z240" s="42" t="e">
        <f t="shared" si="433"/>
        <v>#DIV/0!</v>
      </c>
      <c r="AA240" s="43" t="e">
        <f t="shared" si="433"/>
        <v>#DIV/0!</v>
      </c>
      <c r="AB240" s="42" t="e">
        <f t="shared" si="433"/>
        <v>#DIV/0!</v>
      </c>
      <c r="AC240" s="42" t="e">
        <f t="shared" si="433"/>
        <v>#DIV/0!</v>
      </c>
      <c r="AD240" s="42" t="e">
        <f t="shared" si="433"/>
        <v>#DIV/0!</v>
      </c>
      <c r="AE240" s="43" t="e">
        <f t="shared" ref="AE240:AJ240" si="434">IF(ABS(AE233-AE238)&lt;1,"OK",AE233-AE238)</f>
        <v>#DIV/0!</v>
      </c>
      <c r="AF240" s="42" t="e">
        <f t="shared" si="434"/>
        <v>#DIV/0!</v>
      </c>
      <c r="AG240" s="42" t="e">
        <f t="shared" si="434"/>
        <v>#DIV/0!</v>
      </c>
      <c r="AH240" s="42" t="e">
        <f t="shared" si="434"/>
        <v>#DIV/0!</v>
      </c>
      <c r="AI240" s="43" t="e">
        <f t="shared" si="434"/>
        <v>#DIV/0!</v>
      </c>
      <c r="AJ240" s="42" t="e">
        <f t="shared" si="434"/>
        <v>#DIV/0!</v>
      </c>
      <c r="AK240" s="42" t="e">
        <f t="shared" ref="AK240:AS240" si="435">IF(ABS(AK233-AK238)&lt;1,"OK",AK233-AK238)</f>
        <v>#DIV/0!</v>
      </c>
      <c r="AL240" s="42" t="e">
        <f t="shared" si="435"/>
        <v>#DIV/0!</v>
      </c>
      <c r="AM240" s="43" t="e">
        <f t="shared" si="435"/>
        <v>#DIV/0!</v>
      </c>
      <c r="AN240" s="42" t="str">
        <f t="shared" si="435"/>
        <v>OK</v>
      </c>
      <c r="AO240" s="42" t="str">
        <f t="shared" si="435"/>
        <v>OK</v>
      </c>
      <c r="AP240" s="42" t="str">
        <f t="shared" si="435"/>
        <v>OK</v>
      </c>
      <c r="AQ240" s="43" t="str">
        <f t="shared" si="435"/>
        <v>OK</v>
      </c>
      <c r="AR240" s="42" t="str">
        <f t="shared" si="435"/>
        <v>OK</v>
      </c>
      <c r="AS240" s="42" t="str">
        <f t="shared" si="435"/>
        <v>OK</v>
      </c>
      <c r="BL240" s="109"/>
      <c r="BM240" s="42"/>
      <c r="BN240" s="42" t="e">
        <f t="shared" ref="BN240:BV240" si="436">IF(ABS(BN233-BN238)&lt;1,"OK",BN233-BN238)</f>
        <v>#DIV/0!</v>
      </c>
      <c r="BO240" s="42" t="e">
        <f t="shared" si="436"/>
        <v>#DIV/0!</v>
      </c>
      <c r="BP240" s="42" t="e">
        <f t="shared" si="436"/>
        <v>#DIV/0!</v>
      </c>
      <c r="BQ240" s="42" t="e">
        <f t="shared" si="436"/>
        <v>#DIV/0!</v>
      </c>
      <c r="BR240" s="42" t="e">
        <f t="shared" si="436"/>
        <v>#DIV/0!</v>
      </c>
      <c r="BS240" s="42" t="e">
        <f t="shared" si="436"/>
        <v>#DIV/0!</v>
      </c>
      <c r="BT240" s="42" t="e">
        <f t="shared" si="436"/>
        <v>#DIV/0!</v>
      </c>
      <c r="BU240" s="43" t="e">
        <f t="shared" si="436"/>
        <v>#DIV/0!</v>
      </c>
      <c r="BV240" s="42" t="str">
        <f t="shared" si="436"/>
        <v>OK</v>
      </c>
      <c r="CB240" s="18"/>
      <c r="CC240" s="18"/>
      <c r="CD240" s="18"/>
      <c r="CE240" s="18"/>
      <c r="CF240" s="18"/>
      <c r="CG240" s="18"/>
      <c r="CH240" s="18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3"/>
    </row>
    <row r="241" spans="1:97" ht="14.25" hidden="1" customHeight="1" outlineLevel="1">
      <c r="A241" s="18"/>
      <c r="B241" s="26"/>
      <c r="C241" s="26"/>
      <c r="D241" s="42"/>
      <c r="E241" s="42"/>
      <c r="F241" s="42"/>
      <c r="G241" s="43"/>
      <c r="H241" s="42"/>
      <c r="I241" s="42"/>
      <c r="J241" s="42"/>
      <c r="K241" s="43"/>
      <c r="L241" s="42"/>
      <c r="M241" s="42"/>
      <c r="N241" s="42"/>
      <c r="O241" s="43"/>
      <c r="P241" s="42"/>
      <c r="Q241" s="42"/>
      <c r="R241" s="42"/>
      <c r="S241" s="43"/>
      <c r="T241" s="42"/>
      <c r="U241" s="42"/>
      <c r="V241" s="42"/>
      <c r="W241" s="43"/>
      <c r="X241" s="42"/>
      <c r="Y241" s="42"/>
      <c r="Z241" s="42"/>
      <c r="AA241" s="43"/>
      <c r="AB241" s="42"/>
      <c r="AC241" s="42"/>
      <c r="AD241" s="42"/>
      <c r="AE241" s="43"/>
      <c r="AF241" s="42"/>
      <c r="AG241" s="42"/>
      <c r="AH241" s="42"/>
      <c r="AI241" s="43"/>
      <c r="AJ241" s="42"/>
      <c r="AK241" s="42"/>
      <c r="AL241" s="42"/>
      <c r="AM241" s="43"/>
      <c r="AN241" s="42"/>
      <c r="AO241" s="42"/>
      <c r="AP241" s="42"/>
      <c r="AQ241" s="43"/>
      <c r="AR241" s="42"/>
      <c r="AS241" s="42"/>
      <c r="BL241" s="109"/>
      <c r="BM241" s="42"/>
      <c r="BN241" s="42"/>
      <c r="BO241" s="42"/>
      <c r="BP241" s="42"/>
      <c r="BQ241" s="42"/>
      <c r="BR241" s="42"/>
      <c r="BS241" s="42"/>
      <c r="BT241" s="42"/>
      <c r="BU241" s="43"/>
      <c r="BV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3"/>
    </row>
    <row r="242" spans="1:97" ht="14.25" hidden="1" customHeight="1" outlineLevel="1">
      <c r="A242" s="18"/>
      <c r="B242" s="26"/>
      <c r="C242" s="26"/>
      <c r="D242" s="42"/>
      <c r="E242" s="42"/>
      <c r="F242" s="42"/>
      <c r="G242" s="43"/>
      <c r="H242" s="42"/>
      <c r="I242" s="42"/>
      <c r="J242" s="42"/>
      <c r="K242" s="43"/>
      <c r="L242" s="42"/>
      <c r="M242" s="42"/>
      <c r="N242" s="42"/>
      <c r="O242" s="43"/>
      <c r="P242" s="42"/>
      <c r="Q242" s="42"/>
      <c r="R242" s="42"/>
      <c r="S242" s="43"/>
      <c r="T242" s="42"/>
      <c r="U242" s="42"/>
      <c r="V242" s="42"/>
      <c r="W242" s="43"/>
      <c r="X242" s="42"/>
      <c r="Y242" s="42"/>
      <c r="Z242" s="42"/>
      <c r="AA242" s="43"/>
      <c r="AB242" s="42"/>
      <c r="AC242" s="42"/>
      <c r="AD242" s="42"/>
      <c r="AE242" s="43"/>
      <c r="AF242" s="42"/>
      <c r="AG242" s="42"/>
      <c r="AH242" s="42"/>
      <c r="AI242" s="43"/>
      <c r="AJ242" s="42"/>
      <c r="AK242" s="42"/>
      <c r="AL242" s="42"/>
      <c r="AM242" s="43"/>
      <c r="AN242" s="42"/>
      <c r="AO242" s="42"/>
      <c r="AP242" s="42"/>
      <c r="AQ242" s="43"/>
      <c r="AR242" s="42"/>
      <c r="AS242" s="42"/>
      <c r="BL242" s="109"/>
      <c r="BM242" s="42"/>
      <c r="BN242" s="42"/>
      <c r="BO242" s="42"/>
      <c r="BP242" s="42"/>
      <c r="BQ242" s="42"/>
      <c r="BR242" s="42"/>
      <c r="BS242" s="42"/>
      <c r="BT242" s="42"/>
      <c r="BU242" s="43"/>
      <c r="BV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3"/>
    </row>
    <row r="243" spans="1:97" ht="14.25" hidden="1" customHeight="1" outlineLevel="1">
      <c r="A243" s="18"/>
      <c r="B243" s="26"/>
      <c r="C243" s="26"/>
      <c r="D243" s="42"/>
      <c r="E243" s="42"/>
      <c r="F243" s="42"/>
      <c r="G243" s="43"/>
      <c r="H243" s="42"/>
      <c r="I243" s="42"/>
      <c r="J243" s="42"/>
      <c r="K243" s="43"/>
      <c r="L243" s="42"/>
      <c r="M243" s="42"/>
      <c r="N243" s="42"/>
      <c r="O243" s="43"/>
      <c r="P243" s="42"/>
      <c r="Q243" s="42"/>
      <c r="R243" s="42"/>
      <c r="S243" s="43"/>
      <c r="T243" s="42"/>
      <c r="U243" s="42"/>
      <c r="V243" s="42"/>
      <c r="W243" s="43"/>
      <c r="X243" s="42"/>
      <c r="Y243" s="42"/>
      <c r="Z243" s="42"/>
      <c r="AA243" s="43"/>
      <c r="AB243" s="42"/>
      <c r="AC243" s="42"/>
      <c r="AD243" s="42"/>
      <c r="AE243" s="43"/>
      <c r="AF243" s="42"/>
      <c r="AG243" s="42"/>
      <c r="AH243" s="42"/>
      <c r="AI243" s="43"/>
      <c r="AJ243" s="42"/>
      <c r="AK243" s="42"/>
      <c r="AL243" s="42"/>
      <c r="AM243" s="43"/>
      <c r="AN243" s="42"/>
      <c r="AO243" s="42"/>
      <c r="AP243" s="42"/>
      <c r="AQ243" s="43"/>
      <c r="AR243" s="42"/>
      <c r="AS243" s="42"/>
      <c r="BL243" s="109"/>
      <c r="BM243" s="42"/>
      <c r="BN243" s="42"/>
      <c r="BO243" s="42"/>
      <c r="BP243" s="42"/>
      <c r="BQ243" s="42"/>
      <c r="BR243" s="42"/>
      <c r="BS243" s="42"/>
      <c r="BT243" s="42"/>
      <c r="BU243" s="43"/>
      <c r="BV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3"/>
    </row>
    <row r="244" spans="1:97" s="64" customFormat="1" ht="14.25" hidden="1" customHeight="1" outlineLevel="1">
      <c r="A244" s="26"/>
      <c r="B244" s="99" t="s">
        <v>200</v>
      </c>
      <c r="C244" s="100"/>
      <c r="D244" s="95" t="str">
        <f t="shared" ref="D244:AS244" si="437">D$6</f>
        <v>1Q06</v>
      </c>
      <c r="E244" s="95" t="str">
        <f t="shared" si="437"/>
        <v>2Q06</v>
      </c>
      <c r="F244" s="95" t="str">
        <f t="shared" si="437"/>
        <v>3Q06</v>
      </c>
      <c r="G244" s="96" t="str">
        <f t="shared" si="437"/>
        <v>4Q06</v>
      </c>
      <c r="H244" s="95" t="str">
        <f t="shared" si="437"/>
        <v>1Q07</v>
      </c>
      <c r="I244" s="95" t="str">
        <f t="shared" si="437"/>
        <v>2Q07</v>
      </c>
      <c r="J244" s="95" t="str">
        <f t="shared" si="437"/>
        <v>3Q07</v>
      </c>
      <c r="K244" s="96" t="str">
        <f t="shared" si="437"/>
        <v>4Q07</v>
      </c>
      <c r="L244" s="95" t="str">
        <f t="shared" si="437"/>
        <v>1Q08</v>
      </c>
      <c r="M244" s="95" t="str">
        <f t="shared" si="437"/>
        <v>2Q08</v>
      </c>
      <c r="N244" s="95" t="str">
        <f t="shared" si="437"/>
        <v>3Q08</v>
      </c>
      <c r="O244" s="96" t="str">
        <f t="shared" si="437"/>
        <v>4Q08</v>
      </c>
      <c r="P244" s="95" t="str">
        <f t="shared" si="437"/>
        <v>1Q09</v>
      </c>
      <c r="Q244" s="95" t="str">
        <f t="shared" si="437"/>
        <v>2Q09</v>
      </c>
      <c r="R244" s="95" t="str">
        <f t="shared" si="437"/>
        <v>3Q09</v>
      </c>
      <c r="S244" s="96" t="str">
        <f t="shared" si="437"/>
        <v>4Q09</v>
      </c>
      <c r="T244" s="95" t="str">
        <f t="shared" si="437"/>
        <v>1Q10</v>
      </c>
      <c r="U244" s="95" t="str">
        <f t="shared" si="437"/>
        <v>2Q10</v>
      </c>
      <c r="V244" s="95" t="str">
        <f t="shared" si="437"/>
        <v>3Q10</v>
      </c>
      <c r="W244" s="96" t="str">
        <f t="shared" si="437"/>
        <v>4Q10</v>
      </c>
      <c r="X244" s="95" t="str">
        <f t="shared" si="437"/>
        <v>1Q11</v>
      </c>
      <c r="Y244" s="95" t="str">
        <f t="shared" si="437"/>
        <v>2Q11</v>
      </c>
      <c r="Z244" s="95" t="str">
        <f t="shared" si="437"/>
        <v>3Q11</v>
      </c>
      <c r="AA244" s="96" t="str">
        <f t="shared" si="437"/>
        <v>4Q11</v>
      </c>
      <c r="AB244" s="95" t="str">
        <f t="shared" si="437"/>
        <v>1Q12</v>
      </c>
      <c r="AC244" s="95" t="str">
        <f t="shared" si="437"/>
        <v>2Q12</v>
      </c>
      <c r="AD244" s="95" t="str">
        <f t="shared" si="437"/>
        <v>3Q12</v>
      </c>
      <c r="AE244" s="96" t="str">
        <f t="shared" si="437"/>
        <v>4Q12</v>
      </c>
      <c r="AF244" s="95" t="str">
        <f t="shared" si="437"/>
        <v>1Q13</v>
      </c>
      <c r="AG244" s="95" t="str">
        <f t="shared" si="437"/>
        <v>2Q13</v>
      </c>
      <c r="AH244" s="95" t="str">
        <f t="shared" si="437"/>
        <v>3Q13</v>
      </c>
      <c r="AI244" s="96" t="str">
        <f t="shared" si="437"/>
        <v>4Q13</v>
      </c>
      <c r="AJ244" s="95" t="str">
        <f t="shared" si="437"/>
        <v>1Q14</v>
      </c>
      <c r="AK244" s="95" t="str">
        <f t="shared" si="437"/>
        <v>2Q14</v>
      </c>
      <c r="AL244" s="95" t="str">
        <f t="shared" si="437"/>
        <v>3Q14</v>
      </c>
      <c r="AM244" s="96" t="str">
        <f t="shared" si="437"/>
        <v>4Q14</v>
      </c>
      <c r="AN244" s="95" t="str">
        <f t="shared" si="437"/>
        <v>1Q15</v>
      </c>
      <c r="AO244" s="95" t="str">
        <f t="shared" si="437"/>
        <v>2Q15</v>
      </c>
      <c r="AP244" s="95" t="str">
        <f t="shared" si="437"/>
        <v>3Q15</v>
      </c>
      <c r="AQ244" s="96" t="str">
        <f t="shared" si="437"/>
        <v>4Q15</v>
      </c>
      <c r="AR244" s="95" t="s">
        <v>141</v>
      </c>
      <c r="AS244" s="95" t="str">
        <f t="shared" si="437"/>
        <v>2Q16</v>
      </c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142"/>
      <c r="BM244" s="136" t="str">
        <f t="shared" ref="BM244:BV244" si="438">BM$6</f>
        <v>FY2006A</v>
      </c>
      <c r="BN244" s="137" t="str">
        <f t="shared" si="438"/>
        <v>FY2007A</v>
      </c>
      <c r="BO244" s="136" t="str">
        <f t="shared" si="438"/>
        <v>FY2008A</v>
      </c>
      <c r="BP244" s="136" t="str">
        <f t="shared" si="438"/>
        <v>FY2009A</v>
      </c>
      <c r="BQ244" s="138" t="str">
        <f t="shared" si="438"/>
        <v>FY2010A</v>
      </c>
      <c r="BR244" s="138" t="str">
        <f t="shared" si="438"/>
        <v>FY2011A</v>
      </c>
      <c r="BS244" s="138" t="str">
        <f t="shared" si="438"/>
        <v>FY2012A</v>
      </c>
      <c r="BT244" s="138" t="str">
        <f t="shared" si="438"/>
        <v>FY2013A</v>
      </c>
      <c r="BU244" s="139" t="str">
        <f t="shared" si="438"/>
        <v>FY2014E</v>
      </c>
      <c r="BV244" s="97" t="str">
        <f t="shared" si="438"/>
        <v>FY2015</v>
      </c>
      <c r="BW244" s="20"/>
      <c r="BX244" s="20"/>
      <c r="BY244" s="20"/>
      <c r="BZ244" s="20"/>
      <c r="CA244" s="20"/>
      <c r="CI244" s="136"/>
      <c r="CJ244" s="138"/>
      <c r="CK244" s="138"/>
      <c r="CL244" s="138"/>
      <c r="CM244" s="138"/>
      <c r="CN244" s="138"/>
      <c r="CO244" s="138"/>
      <c r="CP244" s="97"/>
      <c r="CQ244" s="97"/>
      <c r="CR244" s="97"/>
      <c r="CS244" s="98"/>
    </row>
    <row r="245" spans="1:97" ht="14.25" hidden="1" customHeight="1" outlineLevel="1">
      <c r="A245" s="18"/>
      <c r="B245" s="16" t="s">
        <v>78</v>
      </c>
      <c r="C245" s="14"/>
      <c r="D245" s="14"/>
      <c r="E245" s="14"/>
      <c r="F245" s="14"/>
      <c r="G245" s="15"/>
      <c r="H245" s="14"/>
      <c r="I245" s="14"/>
      <c r="J245" s="14"/>
      <c r="K245" s="15"/>
      <c r="L245" s="14"/>
      <c r="M245" s="14"/>
      <c r="N245" s="14"/>
      <c r="O245" s="15"/>
      <c r="P245" s="14"/>
      <c r="Q245" s="14"/>
      <c r="R245" s="14"/>
      <c r="S245" s="15"/>
      <c r="T245" s="14"/>
      <c r="U245" s="14"/>
      <c r="V245" s="14"/>
      <c r="W245" s="15"/>
      <c r="X245" s="14"/>
      <c r="Y245" s="14"/>
      <c r="Z245" s="14"/>
      <c r="AA245" s="15"/>
      <c r="AB245" s="14"/>
      <c r="AC245" s="14"/>
      <c r="AD245" s="14"/>
      <c r="AE245" s="15"/>
      <c r="AF245" s="14"/>
      <c r="AG245" s="14"/>
      <c r="AH245" s="14"/>
      <c r="AI245" s="15"/>
      <c r="AJ245" s="14"/>
      <c r="AK245" s="14"/>
      <c r="AL245" s="14"/>
      <c r="AM245" s="127"/>
      <c r="AN245" s="14"/>
      <c r="AO245" s="14"/>
      <c r="AP245" s="14"/>
      <c r="AQ245" s="127"/>
      <c r="AR245" s="14"/>
      <c r="AS245" s="14"/>
      <c r="BL245" s="109"/>
      <c r="BM245" s="14"/>
      <c r="BN245" s="14"/>
      <c r="BO245" s="14"/>
      <c r="BP245" s="14"/>
      <c r="BQ245" s="14"/>
      <c r="BR245" s="14"/>
      <c r="BS245" s="14"/>
      <c r="BT245" s="14"/>
      <c r="BU245" s="127"/>
      <c r="BV245" s="14"/>
      <c r="CB245" s="18"/>
      <c r="CC245" s="18"/>
      <c r="CD245" s="18"/>
      <c r="CE245" s="18"/>
      <c r="CF245" s="18"/>
      <c r="CG245" s="18"/>
      <c r="CH245" s="18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5"/>
    </row>
    <row r="246" spans="1:97" ht="14.25" hidden="1" customHeight="1" outlineLevel="1">
      <c r="A246" s="18"/>
      <c r="B246" s="18" t="s">
        <v>185</v>
      </c>
      <c r="C246" s="26"/>
      <c r="D246" s="49"/>
      <c r="E246" s="49"/>
      <c r="F246" s="49"/>
      <c r="G246" s="50"/>
      <c r="H246" s="49">
        <v>520.15300000000002</v>
      </c>
      <c r="I246" s="158">
        <v>605.90499999999997</v>
      </c>
      <c r="J246" s="158">
        <v>702.46600000000001</v>
      </c>
      <c r="K246" s="159">
        <v>550.2470000000003</v>
      </c>
      <c r="L246" s="158">
        <v>444.99299999999999</v>
      </c>
      <c r="M246" s="158">
        <v>448.18700000000001</v>
      </c>
      <c r="N246" s="158">
        <v>172.12700000000001</v>
      </c>
      <c r="O246" s="159">
        <v>164.12500000000006</v>
      </c>
      <c r="P246" s="158">
        <v>46.238999999999997</v>
      </c>
      <c r="Q246" s="158">
        <v>-82.361000000000004</v>
      </c>
      <c r="R246" s="158">
        <v>67.197999999999993</v>
      </c>
      <c r="S246" s="159">
        <v>169.75300000000001</v>
      </c>
      <c r="T246" s="158">
        <v>305.995</v>
      </c>
      <c r="U246" s="158">
        <v>497.67899999999997</v>
      </c>
      <c r="V246" s="158">
        <v>524.75199999999995</v>
      </c>
      <c r="W246" s="159">
        <v>563.88100000000009</v>
      </c>
      <c r="X246" s="158">
        <v>543</v>
      </c>
      <c r="Y246" s="158">
        <v>491</v>
      </c>
      <c r="Z246" s="158">
        <v>452</v>
      </c>
      <c r="AA246" s="159">
        <v>278</v>
      </c>
      <c r="AB246" s="158">
        <v>271</v>
      </c>
      <c r="AC246" s="158">
        <v>504</v>
      </c>
      <c r="AD246" s="158">
        <v>427</v>
      </c>
      <c r="AE246" s="159">
        <v>41</v>
      </c>
      <c r="AF246" s="158">
        <v>134</v>
      </c>
      <c r="AG246" s="158">
        <v>283</v>
      </c>
      <c r="AH246" s="158">
        <v>246</v>
      </c>
      <c r="AI246" s="159">
        <v>213</v>
      </c>
      <c r="AJ246" s="158">
        <v>314</v>
      </c>
      <c r="AK246" s="158">
        <v>391</v>
      </c>
      <c r="AL246" s="158">
        <v>381</v>
      </c>
      <c r="AM246" s="159">
        <v>305</v>
      </c>
      <c r="AN246" s="158">
        <v>307</v>
      </c>
      <c r="AO246" s="158">
        <v>374</v>
      </c>
      <c r="AP246" s="158">
        <v>411</v>
      </c>
      <c r="AQ246" s="159">
        <v>318</v>
      </c>
      <c r="AR246" s="158">
        <v>265</v>
      </c>
      <c r="AS246" s="158">
        <v>364</v>
      </c>
      <c r="BL246" s="106"/>
      <c r="BM246" s="34"/>
      <c r="BN246" s="34">
        <f>SUM(H246:K246)</f>
        <v>2378.7710000000002</v>
      </c>
      <c r="BO246" s="34">
        <f>SUM(L246:O246)</f>
        <v>1229.432</v>
      </c>
      <c r="BP246" s="34">
        <f>SUM(P246:S246)</f>
        <v>200.82900000000001</v>
      </c>
      <c r="BQ246" s="34">
        <f>SUM(T246:W246)</f>
        <v>1892.307</v>
      </c>
      <c r="BR246" s="34">
        <f>SUM(X246:AA246)</f>
        <v>1764</v>
      </c>
      <c r="BS246" s="34">
        <f>SUM(AB246:AE246)</f>
        <v>1243</v>
      </c>
      <c r="BT246" s="34">
        <f>SUM(AF246:AI246)</f>
        <v>876</v>
      </c>
      <c r="BU246" s="114">
        <f>SUM(AJ246:AM246)</f>
        <v>1391</v>
      </c>
      <c r="BV246" s="34"/>
      <c r="CB246" s="18"/>
      <c r="CC246" s="18"/>
      <c r="CD246" s="18"/>
      <c r="CE246" s="18"/>
      <c r="CF246" s="18"/>
      <c r="CG246" s="18"/>
      <c r="CH246" s="18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114"/>
    </row>
    <row r="247" spans="1:97" ht="14.25" hidden="1" customHeight="1" outlineLevel="1">
      <c r="A247" s="18"/>
      <c r="B247" s="82" t="s">
        <v>186</v>
      </c>
      <c r="C247" s="79"/>
      <c r="D247" s="80"/>
      <c r="E247" s="80"/>
      <c r="F247" s="80"/>
      <c r="G247" s="41"/>
      <c r="H247" s="80"/>
      <c r="I247" s="80">
        <f t="shared" ref="I247:AS247" si="439">I246/H246-1</f>
        <v>0.16485918566267999</v>
      </c>
      <c r="J247" s="80">
        <f t="shared" si="439"/>
        <v>0.15936656736617127</v>
      </c>
      <c r="K247" s="41">
        <f t="shared" si="439"/>
        <v>-0.21669233813451427</v>
      </c>
      <c r="L247" s="80">
        <f t="shared" si="439"/>
        <v>-0.19128500473423793</v>
      </c>
      <c r="M247" s="80">
        <f t="shared" si="439"/>
        <v>7.1776409966000099E-3</v>
      </c>
      <c r="N247" s="80">
        <f t="shared" si="439"/>
        <v>-0.61594825374229956</v>
      </c>
      <c r="O247" s="41">
        <f t="shared" si="439"/>
        <v>-4.648892968563878E-2</v>
      </c>
      <c r="P247" s="80">
        <f t="shared" si="439"/>
        <v>-0.71826961157654234</v>
      </c>
      <c r="Q247" s="80">
        <f t="shared" si="439"/>
        <v>-2.7812020156145247</v>
      </c>
      <c r="R247" s="80">
        <f t="shared" si="439"/>
        <v>-1.815895873046709</v>
      </c>
      <c r="S247" s="41">
        <f t="shared" si="439"/>
        <v>1.5261614929015748</v>
      </c>
      <c r="T247" s="80">
        <f t="shared" si="439"/>
        <v>0.80258964495472829</v>
      </c>
      <c r="U247" s="80">
        <f t="shared" si="439"/>
        <v>0.62642853641399365</v>
      </c>
      <c r="V247" s="80">
        <f t="shared" si="439"/>
        <v>5.4398517920185352E-2</v>
      </c>
      <c r="W247" s="41">
        <f t="shared" si="439"/>
        <v>7.4566652437723313E-2</v>
      </c>
      <c r="X247" s="80">
        <f t="shared" si="439"/>
        <v>-3.7030862894830818E-2</v>
      </c>
      <c r="Y247" s="80">
        <f t="shared" si="439"/>
        <v>-9.5764272559852648E-2</v>
      </c>
      <c r="Z247" s="80">
        <f t="shared" si="439"/>
        <v>-7.9429735234215926E-2</v>
      </c>
      <c r="AA247" s="41">
        <f t="shared" si="439"/>
        <v>-0.38495575221238942</v>
      </c>
      <c r="AB247" s="80">
        <f t="shared" si="439"/>
        <v>-2.5179856115107868E-2</v>
      </c>
      <c r="AC247" s="80">
        <f t="shared" si="439"/>
        <v>0.85977859778597776</v>
      </c>
      <c r="AD247" s="80">
        <f t="shared" si="439"/>
        <v>-0.15277777777777779</v>
      </c>
      <c r="AE247" s="41">
        <f t="shared" si="439"/>
        <v>-0.90398126463700235</v>
      </c>
      <c r="AF247" s="80">
        <f t="shared" si="439"/>
        <v>2.2682926829268291</v>
      </c>
      <c r="AG247" s="80">
        <f t="shared" si="439"/>
        <v>1.1119402985074629</v>
      </c>
      <c r="AH247" s="80">
        <f t="shared" si="439"/>
        <v>-0.13074204946996471</v>
      </c>
      <c r="AI247" s="41">
        <f t="shared" si="439"/>
        <v>-0.13414634146341464</v>
      </c>
      <c r="AJ247" s="80">
        <f t="shared" si="439"/>
        <v>0.4741784037558685</v>
      </c>
      <c r="AK247" s="80">
        <f t="shared" si="439"/>
        <v>0.24522292993630579</v>
      </c>
      <c r="AL247" s="80">
        <f t="shared" si="439"/>
        <v>-2.5575447570332477E-2</v>
      </c>
      <c r="AM247" s="41">
        <f t="shared" si="439"/>
        <v>-0.19947506561679795</v>
      </c>
      <c r="AN247" s="80">
        <f t="shared" si="439"/>
        <v>6.5573770491802463E-3</v>
      </c>
      <c r="AO247" s="80">
        <f t="shared" si="439"/>
        <v>0.21824104234527697</v>
      </c>
      <c r="AP247" s="80">
        <f t="shared" si="439"/>
        <v>9.8930481283422411E-2</v>
      </c>
      <c r="AQ247" s="41">
        <f t="shared" si="439"/>
        <v>-0.22627737226277367</v>
      </c>
      <c r="AR247" s="80">
        <f t="shared" si="439"/>
        <v>-0.16666666666666663</v>
      </c>
      <c r="AS247" s="80">
        <f t="shared" si="439"/>
        <v>0.37358490566037728</v>
      </c>
      <c r="BL247" s="106"/>
      <c r="BM247" s="81"/>
      <c r="BN247" s="81"/>
      <c r="BO247" s="81"/>
      <c r="BP247" s="81"/>
      <c r="BQ247" s="81"/>
      <c r="BR247" s="81"/>
      <c r="BS247" s="80">
        <f>BS246/BR246-1</f>
        <v>-0.29535147392290251</v>
      </c>
      <c r="BT247" s="80">
        <f>BT246/BS246-1</f>
        <v>-0.29525341914722447</v>
      </c>
      <c r="BU247" s="41">
        <f>BU246/BT246-1</f>
        <v>0.58789954337899553</v>
      </c>
      <c r="BV247" s="81"/>
      <c r="CB247" s="18"/>
      <c r="CC247" s="18"/>
      <c r="CD247" s="18"/>
      <c r="CE247" s="18"/>
      <c r="CF247" s="18"/>
      <c r="CG247" s="18"/>
      <c r="CH247" s="18"/>
      <c r="CI247" s="81"/>
      <c r="CJ247" s="81"/>
      <c r="CK247" s="80"/>
      <c r="CL247" s="80"/>
      <c r="CM247" s="80"/>
      <c r="CN247" s="80"/>
      <c r="CO247" s="80"/>
      <c r="CP247" s="81"/>
      <c r="CQ247" s="81"/>
      <c r="CR247" s="81"/>
      <c r="CS247" s="115"/>
    </row>
    <row r="248" spans="1:97" ht="14.25" hidden="1" customHeight="1" outlineLevel="1">
      <c r="A248" s="18"/>
      <c r="B248" s="82" t="s">
        <v>187</v>
      </c>
      <c r="C248" s="82"/>
      <c r="D248" s="80"/>
      <c r="E248" s="80"/>
      <c r="F248" s="80"/>
      <c r="G248" s="41"/>
      <c r="H248" s="80"/>
      <c r="I248" s="80"/>
      <c r="J248" s="80"/>
      <c r="K248" s="41"/>
      <c r="L248" s="80">
        <f t="shared" ref="L248:AS248" si="440">L246/H246-1</f>
        <v>-0.14449594638500596</v>
      </c>
      <c r="M248" s="80">
        <f t="shared" si="440"/>
        <v>-0.26030153241844833</v>
      </c>
      <c r="N248" s="80">
        <f t="shared" si="440"/>
        <v>-0.75496750020641568</v>
      </c>
      <c r="O248" s="41">
        <f t="shared" si="440"/>
        <v>-0.7017248617439078</v>
      </c>
      <c r="P248" s="80">
        <f t="shared" si="440"/>
        <v>-0.8960905003000047</v>
      </c>
      <c r="Q248" s="80">
        <f t="shared" si="440"/>
        <v>-1.1837648124555153</v>
      </c>
      <c r="R248" s="80">
        <f t="shared" si="440"/>
        <v>-0.60960221231997314</v>
      </c>
      <c r="S248" s="41">
        <f t="shared" si="440"/>
        <v>3.4290936785986048E-2</v>
      </c>
      <c r="T248" s="80">
        <f t="shared" si="440"/>
        <v>5.6176820432967842</v>
      </c>
      <c r="U248" s="80">
        <f t="shared" si="440"/>
        <v>-7.0426536831752884</v>
      </c>
      <c r="V248" s="80">
        <f t="shared" si="440"/>
        <v>6.8090419357718979</v>
      </c>
      <c r="W248" s="41">
        <f t="shared" si="440"/>
        <v>2.3217734001755495</v>
      </c>
      <c r="X248" s="80">
        <f t="shared" si="440"/>
        <v>0.77453879965358907</v>
      </c>
      <c r="Y248" s="80">
        <f t="shared" si="440"/>
        <v>-1.3420297018761018E-2</v>
      </c>
      <c r="Z248" s="80">
        <f t="shared" si="440"/>
        <v>-0.13864072933500005</v>
      </c>
      <c r="AA248" s="41">
        <f t="shared" si="440"/>
        <v>-0.50698817658335726</v>
      </c>
      <c r="AB248" s="80">
        <f t="shared" si="440"/>
        <v>-0.50092081031307556</v>
      </c>
      <c r="AC248" s="80">
        <f t="shared" si="440"/>
        <v>2.6476578411405383E-2</v>
      </c>
      <c r="AD248" s="80">
        <f t="shared" si="440"/>
        <v>-5.5309734513274367E-2</v>
      </c>
      <c r="AE248" s="41">
        <f t="shared" si="440"/>
        <v>-0.85251798561151082</v>
      </c>
      <c r="AF248" s="80">
        <f t="shared" si="440"/>
        <v>-0.50553505535055354</v>
      </c>
      <c r="AG248" s="80">
        <f t="shared" si="440"/>
        <v>-0.43849206349206349</v>
      </c>
      <c r="AH248" s="80">
        <f t="shared" si="440"/>
        <v>-0.42388758782201408</v>
      </c>
      <c r="AI248" s="41">
        <f t="shared" si="440"/>
        <v>4.1951219512195124</v>
      </c>
      <c r="AJ248" s="80">
        <f t="shared" si="440"/>
        <v>1.3432835820895521</v>
      </c>
      <c r="AK248" s="80">
        <f t="shared" si="440"/>
        <v>0.38162544169611312</v>
      </c>
      <c r="AL248" s="80">
        <f t="shared" si="440"/>
        <v>0.54878048780487809</v>
      </c>
      <c r="AM248" s="41">
        <f t="shared" si="440"/>
        <v>0.431924882629108</v>
      </c>
      <c r="AN248" s="80">
        <f t="shared" si="440"/>
        <v>-2.2292993630573243E-2</v>
      </c>
      <c r="AO248" s="80">
        <f t="shared" si="440"/>
        <v>-4.3478260869565188E-2</v>
      </c>
      <c r="AP248" s="80">
        <f t="shared" si="440"/>
        <v>7.8740157480315043E-2</v>
      </c>
      <c r="AQ248" s="41">
        <f t="shared" si="440"/>
        <v>4.2622950819672045E-2</v>
      </c>
      <c r="AR248" s="80">
        <f t="shared" si="440"/>
        <v>-0.1368078175895765</v>
      </c>
      <c r="AS248" s="80">
        <f t="shared" si="440"/>
        <v>-2.6737967914438499E-2</v>
      </c>
      <c r="BL248" s="106"/>
      <c r="BM248" s="80"/>
      <c r="BN248" s="83"/>
      <c r="BO248" s="83">
        <f>BO246/BN246-1</f>
        <v>-0.48316504615198352</v>
      </c>
      <c r="BP248" s="83">
        <f>BP246/BO246-1</f>
        <v>-0.83664895659133642</v>
      </c>
      <c r="BQ248" s="83">
        <f>BQ246/BP246-1</f>
        <v>8.4224788252692591</v>
      </c>
      <c r="BR248" s="83">
        <f>BR246/BQ246-1</f>
        <v>-6.7804537001659893E-2</v>
      </c>
      <c r="BS248" s="80">
        <f>BS246/BO246-1</f>
        <v>1.1035990603790902E-2</v>
      </c>
      <c r="BT248" s="80">
        <f>BT246/BP246-1</f>
        <v>3.3619198422538572</v>
      </c>
      <c r="BU248" s="41">
        <f>BU246/BQ246-1</f>
        <v>-0.26491843025471029</v>
      </c>
      <c r="BV248" s="83"/>
      <c r="CB248" s="18"/>
      <c r="CC248" s="18"/>
      <c r="CD248" s="18"/>
      <c r="CE248" s="18"/>
      <c r="CF248" s="18"/>
      <c r="CG248" s="18"/>
      <c r="CH248" s="18"/>
      <c r="CI248" s="80"/>
      <c r="CJ248" s="83"/>
      <c r="CK248" s="80"/>
      <c r="CL248" s="80"/>
      <c r="CM248" s="80"/>
      <c r="CN248" s="80"/>
      <c r="CO248" s="80"/>
      <c r="CP248" s="83"/>
      <c r="CQ248" s="83"/>
      <c r="CR248" s="83"/>
      <c r="CS248" s="117"/>
    </row>
    <row r="249" spans="1:97" ht="14.25" hidden="1" customHeight="1" outlineLevel="1">
      <c r="A249" s="18"/>
      <c r="B249" s="82" t="s">
        <v>201</v>
      </c>
      <c r="C249" s="79"/>
      <c r="D249" s="80"/>
      <c r="E249" s="80"/>
      <c r="F249" s="80"/>
      <c r="G249" s="41"/>
      <c r="H249" s="80" t="e">
        <f t="shared" ref="H249:AR249" si="441">H246/H$8</f>
        <v>#DIV/0!</v>
      </c>
      <c r="I249" s="80" t="e">
        <f t="shared" si="441"/>
        <v>#DIV/0!</v>
      </c>
      <c r="J249" s="80" t="e">
        <f t="shared" si="441"/>
        <v>#DIV/0!</v>
      </c>
      <c r="K249" s="41" t="e">
        <f t="shared" si="441"/>
        <v>#DIV/0!</v>
      </c>
      <c r="L249" s="80" t="e">
        <f t="shared" si="441"/>
        <v>#DIV/0!</v>
      </c>
      <c r="M249" s="80" t="e">
        <f t="shared" si="441"/>
        <v>#DIV/0!</v>
      </c>
      <c r="N249" s="80" t="e">
        <f t="shared" si="441"/>
        <v>#DIV/0!</v>
      </c>
      <c r="O249" s="41" t="e">
        <f t="shared" si="441"/>
        <v>#DIV/0!</v>
      </c>
      <c r="P249" s="80" t="e">
        <f t="shared" si="441"/>
        <v>#DIV/0!</v>
      </c>
      <c r="Q249" s="80" t="e">
        <f t="shared" si="441"/>
        <v>#DIV/0!</v>
      </c>
      <c r="R249" s="80" t="e">
        <f t="shared" si="441"/>
        <v>#DIV/0!</v>
      </c>
      <c r="S249" s="41" t="e">
        <f t="shared" si="441"/>
        <v>#DIV/0!</v>
      </c>
      <c r="T249" s="80" t="e">
        <f t="shared" si="441"/>
        <v>#DIV/0!</v>
      </c>
      <c r="U249" s="80" t="e">
        <f t="shared" si="441"/>
        <v>#DIV/0!</v>
      </c>
      <c r="V249" s="80" t="e">
        <f t="shared" si="441"/>
        <v>#DIV/0!</v>
      </c>
      <c r="W249" s="41" t="e">
        <f t="shared" si="441"/>
        <v>#DIV/0!</v>
      </c>
      <c r="X249" s="80" t="e">
        <f t="shared" si="441"/>
        <v>#DIV/0!</v>
      </c>
      <c r="Y249" s="80" t="e">
        <f t="shared" si="441"/>
        <v>#DIV/0!</v>
      </c>
      <c r="Z249" s="80" t="e">
        <f t="shared" si="441"/>
        <v>#DIV/0!</v>
      </c>
      <c r="AA249" s="41" t="e">
        <f t="shared" si="441"/>
        <v>#DIV/0!</v>
      </c>
      <c r="AB249" s="80" t="e">
        <f t="shared" si="441"/>
        <v>#DIV/0!</v>
      </c>
      <c r="AC249" s="80" t="e">
        <f t="shared" si="441"/>
        <v>#DIV/0!</v>
      </c>
      <c r="AD249" s="80" t="e">
        <f t="shared" si="441"/>
        <v>#DIV/0!</v>
      </c>
      <c r="AE249" s="41" t="e">
        <f t="shared" si="441"/>
        <v>#DIV/0!</v>
      </c>
      <c r="AF249" s="80" t="e">
        <f t="shared" si="441"/>
        <v>#DIV/0!</v>
      </c>
      <c r="AG249" s="80" t="e">
        <f t="shared" si="441"/>
        <v>#DIV/0!</v>
      </c>
      <c r="AH249" s="80" t="e">
        <f t="shared" si="441"/>
        <v>#DIV/0!</v>
      </c>
      <c r="AI249" s="41" t="e">
        <f t="shared" si="441"/>
        <v>#DIV/0!</v>
      </c>
      <c r="AJ249" s="80" t="e">
        <f t="shared" si="441"/>
        <v>#DIV/0!</v>
      </c>
      <c r="AK249" s="80" t="e">
        <f t="shared" si="441"/>
        <v>#DIV/0!</v>
      </c>
      <c r="AL249" s="80" t="e">
        <f t="shared" si="441"/>
        <v>#DIV/0!</v>
      </c>
      <c r="AM249" s="41" t="e">
        <f t="shared" si="441"/>
        <v>#DIV/0!</v>
      </c>
      <c r="AN249" s="80">
        <f t="shared" si="441"/>
        <v>0.21230982019363762</v>
      </c>
      <c r="AO249" s="80">
        <f t="shared" si="441"/>
        <v>0.23974358974358975</v>
      </c>
      <c r="AP249" s="80">
        <f t="shared" si="441"/>
        <v>0.25137614678899084</v>
      </c>
      <c r="AQ249" s="41">
        <f t="shared" si="441"/>
        <v>0.21285140562248997</v>
      </c>
      <c r="AR249" s="80">
        <f t="shared" si="441"/>
        <v>0.19300801165331391</v>
      </c>
      <c r="AS249" s="80">
        <f>AS246/AS$8</f>
        <v>0.22936357908002519</v>
      </c>
      <c r="BL249" s="106"/>
      <c r="BM249" s="83"/>
      <c r="BN249" s="83" t="e">
        <f t="shared" ref="BN249:BT249" si="442">BN246/BN$8</f>
        <v>#DIV/0!</v>
      </c>
      <c r="BO249" s="83" t="e">
        <f t="shared" si="442"/>
        <v>#DIV/0!</v>
      </c>
      <c r="BP249" s="83" t="e">
        <f t="shared" si="442"/>
        <v>#DIV/0!</v>
      </c>
      <c r="BQ249" s="83" t="e">
        <f t="shared" si="442"/>
        <v>#DIV/0!</v>
      </c>
      <c r="BR249" s="83" t="e">
        <f t="shared" si="442"/>
        <v>#DIV/0!</v>
      </c>
      <c r="BS249" s="80" t="e">
        <f t="shared" si="442"/>
        <v>#DIV/0!</v>
      </c>
      <c r="BT249" s="80" t="e">
        <f t="shared" si="442"/>
        <v>#DIV/0!</v>
      </c>
      <c r="BU249" s="41">
        <f>BU246/BU$8</f>
        <v>0.23268651722984277</v>
      </c>
      <c r="BV249" s="83"/>
      <c r="CB249" s="18"/>
      <c r="CC249" s="18"/>
      <c r="CD249" s="18"/>
      <c r="CE249" s="18"/>
      <c r="CF249" s="18"/>
      <c r="CG249" s="18"/>
      <c r="CH249" s="18"/>
      <c r="CI249" s="83"/>
      <c r="CJ249" s="83"/>
      <c r="CK249" s="80"/>
      <c r="CL249" s="80"/>
      <c r="CM249" s="80"/>
      <c r="CN249" s="80"/>
      <c r="CO249" s="80"/>
      <c r="CP249" s="83"/>
      <c r="CQ249" s="83"/>
      <c r="CR249" s="83"/>
      <c r="CS249" s="117"/>
    </row>
    <row r="250" spans="1:97" ht="14.25" hidden="1" customHeight="1" outlineLevel="1">
      <c r="A250" s="18"/>
      <c r="B250" s="82"/>
      <c r="C250" s="79"/>
      <c r="D250" s="80"/>
      <c r="E250" s="80"/>
      <c r="F250" s="80"/>
      <c r="G250" s="41"/>
      <c r="H250" s="80"/>
      <c r="I250" s="80"/>
      <c r="J250" s="80"/>
      <c r="K250" s="41"/>
      <c r="L250" s="80"/>
      <c r="M250" s="80"/>
      <c r="N250" s="80"/>
      <c r="O250" s="41"/>
      <c r="P250" s="80"/>
      <c r="Q250" s="80"/>
      <c r="R250" s="80"/>
      <c r="S250" s="41"/>
      <c r="T250" s="80"/>
      <c r="U250" s="80"/>
      <c r="V250" s="80"/>
      <c r="W250" s="41"/>
      <c r="X250" s="80"/>
      <c r="Y250" s="80"/>
      <c r="Z250" s="80"/>
      <c r="AA250" s="41"/>
      <c r="AB250" s="80"/>
      <c r="AC250" s="80"/>
      <c r="AD250" s="80"/>
      <c r="AE250" s="41"/>
      <c r="AF250" s="80"/>
      <c r="AG250" s="80"/>
      <c r="AH250" s="80"/>
      <c r="AI250" s="41"/>
      <c r="AJ250" s="80"/>
      <c r="AK250" s="80"/>
      <c r="AL250" s="86"/>
      <c r="AM250" s="85"/>
      <c r="AN250" s="80"/>
      <c r="AO250" s="80"/>
      <c r="AP250" s="80"/>
      <c r="AQ250" s="85"/>
      <c r="AR250" s="80"/>
      <c r="AS250" s="80"/>
      <c r="BL250" s="106"/>
      <c r="BM250" s="83"/>
      <c r="BN250" s="83"/>
      <c r="BO250" s="83"/>
      <c r="BP250" s="83"/>
      <c r="BQ250" s="83"/>
      <c r="BR250" s="83"/>
      <c r="BS250" s="83"/>
      <c r="BT250" s="83"/>
      <c r="BU250" s="117"/>
      <c r="BV250" s="83"/>
      <c r="CB250" s="18"/>
      <c r="CC250" s="18"/>
      <c r="CD250" s="18"/>
      <c r="CE250" s="18"/>
      <c r="CF250" s="18"/>
      <c r="CG250" s="18"/>
      <c r="CH250" s="18"/>
      <c r="CI250" s="83"/>
      <c r="CJ250" s="83"/>
      <c r="CK250" s="83"/>
      <c r="CL250" s="83"/>
      <c r="CM250" s="83"/>
      <c r="CN250" s="83"/>
      <c r="CO250" s="83"/>
      <c r="CP250" s="83"/>
      <c r="CQ250" s="83"/>
      <c r="CR250" s="83"/>
      <c r="CS250" s="117"/>
    </row>
    <row r="251" spans="1:97" ht="14.25" hidden="1" customHeight="1" outlineLevel="1">
      <c r="A251" s="18"/>
      <c r="B251" s="19" t="s">
        <v>189</v>
      </c>
      <c r="C251" s="26"/>
      <c r="D251" s="49"/>
      <c r="E251" s="49"/>
      <c r="F251" s="49"/>
      <c r="G251" s="50"/>
      <c r="H251" s="49">
        <v>159.37</v>
      </c>
      <c r="I251" s="158">
        <v>156.81800000000001</v>
      </c>
      <c r="J251" s="158">
        <v>154.93299999999999</v>
      </c>
      <c r="K251" s="159">
        <v>159.01900000000001</v>
      </c>
      <c r="L251" s="158">
        <v>148.5</v>
      </c>
      <c r="M251" s="158">
        <v>158.721</v>
      </c>
      <c r="N251" s="158">
        <v>144.74100000000001</v>
      </c>
      <c r="O251" s="159">
        <v>93.103000000000065</v>
      </c>
      <c r="P251" s="158">
        <v>25.904</v>
      </c>
      <c r="Q251" s="158">
        <v>-1.1240000000000001</v>
      </c>
      <c r="R251" s="158">
        <v>24.155999999999999</v>
      </c>
      <c r="S251" s="159">
        <v>66.234000000000009</v>
      </c>
      <c r="T251" s="158">
        <v>63.158000000000001</v>
      </c>
      <c r="U251" s="158">
        <v>89.58</v>
      </c>
      <c r="V251" s="158">
        <v>84.426000000000002</v>
      </c>
      <c r="W251" s="159">
        <v>100.22200000000005</v>
      </c>
      <c r="X251" s="158">
        <v>85</v>
      </c>
      <c r="Y251" s="158">
        <v>91</v>
      </c>
      <c r="Z251" s="158">
        <v>146</v>
      </c>
      <c r="AA251" s="159">
        <v>160</v>
      </c>
      <c r="AB251" s="158">
        <v>107</v>
      </c>
      <c r="AC251" s="158">
        <v>109</v>
      </c>
      <c r="AD251" s="158">
        <v>122</v>
      </c>
      <c r="AE251" s="159">
        <v>164</v>
      </c>
      <c r="AF251" s="158">
        <v>89</v>
      </c>
      <c r="AG251" s="158">
        <v>118</v>
      </c>
      <c r="AH251" s="158">
        <v>114</v>
      </c>
      <c r="AI251" s="159">
        <v>115</v>
      </c>
      <c r="AJ251" s="158">
        <v>125</v>
      </c>
      <c r="AK251" s="158">
        <v>148</v>
      </c>
      <c r="AL251" s="158">
        <v>154</v>
      </c>
      <c r="AM251" s="159">
        <v>146</v>
      </c>
      <c r="AN251" s="158">
        <v>153</v>
      </c>
      <c r="AO251" s="158">
        <v>170</v>
      </c>
      <c r="AP251" s="158">
        <v>170</v>
      </c>
      <c r="AQ251" s="159">
        <v>171</v>
      </c>
      <c r="AR251" s="158">
        <v>156</v>
      </c>
      <c r="AS251" s="158">
        <v>171</v>
      </c>
      <c r="BL251" s="106"/>
      <c r="BM251" s="34"/>
      <c r="BN251" s="34">
        <f>SUM(H251:K251)</f>
        <v>630.14</v>
      </c>
      <c r="BO251" s="34">
        <f>SUM(L251:O251)</f>
        <v>545.06500000000005</v>
      </c>
      <c r="BP251" s="34">
        <f>SUM(P251:S251)</f>
        <v>115.17000000000002</v>
      </c>
      <c r="BQ251" s="34">
        <f>SUM(T251:W251)</f>
        <v>337.38600000000002</v>
      </c>
      <c r="BR251" s="34">
        <f>SUM(X251:AA251)</f>
        <v>482</v>
      </c>
      <c r="BS251" s="34">
        <f>SUM(AB251:AE251)</f>
        <v>502</v>
      </c>
      <c r="BT251" s="34">
        <f>SUM(AF251:AI251)</f>
        <v>436</v>
      </c>
      <c r="BU251" s="114">
        <f>SUM(AJ251:AM251)</f>
        <v>573</v>
      </c>
      <c r="BV251" s="34"/>
      <c r="CB251" s="18"/>
      <c r="CC251" s="18"/>
      <c r="CD251" s="18"/>
      <c r="CE251" s="18"/>
      <c r="CF251" s="18"/>
      <c r="CG251" s="18"/>
      <c r="CH251" s="18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114"/>
    </row>
    <row r="252" spans="1:97" ht="14.25" hidden="1" customHeight="1" outlineLevel="1">
      <c r="A252" s="18"/>
      <c r="B252" s="82" t="s">
        <v>186</v>
      </c>
      <c r="C252" s="79"/>
      <c r="D252" s="80"/>
      <c r="E252" s="80"/>
      <c r="F252" s="80"/>
      <c r="G252" s="41"/>
      <c r="H252" s="80"/>
      <c r="I252" s="80">
        <f t="shared" ref="I252:AS252" si="443">I251/H251-1</f>
        <v>-1.6013051389847432E-2</v>
      </c>
      <c r="J252" s="80">
        <f t="shared" si="443"/>
        <v>-1.2020303791656639E-2</v>
      </c>
      <c r="K252" s="41">
        <f t="shared" si="443"/>
        <v>2.6372690130572751E-2</v>
      </c>
      <c r="L252" s="80">
        <f t="shared" si="443"/>
        <v>-6.614932806771523E-2</v>
      </c>
      <c r="M252" s="80">
        <f t="shared" si="443"/>
        <v>6.8828282828282905E-2</v>
      </c>
      <c r="N252" s="80">
        <f t="shared" si="443"/>
        <v>-8.8079082163040723E-2</v>
      </c>
      <c r="O252" s="41">
        <f t="shared" si="443"/>
        <v>-0.3567613875819563</v>
      </c>
      <c r="P252" s="80">
        <f t="shared" si="443"/>
        <v>-0.72177051222839239</v>
      </c>
      <c r="Q252" s="80">
        <f t="shared" si="443"/>
        <v>-1.0433909820877085</v>
      </c>
      <c r="R252" s="80">
        <f t="shared" si="443"/>
        <v>-22.491103202846972</v>
      </c>
      <c r="S252" s="41">
        <f t="shared" si="443"/>
        <v>1.7419274714356687</v>
      </c>
      <c r="T252" s="80">
        <f t="shared" si="443"/>
        <v>-4.6441404716610957E-2</v>
      </c>
      <c r="U252" s="80">
        <f t="shared" si="443"/>
        <v>0.4183476360872731</v>
      </c>
      <c r="V252" s="80">
        <f t="shared" si="443"/>
        <v>-5.7535164099129177E-2</v>
      </c>
      <c r="W252" s="41">
        <f t="shared" si="443"/>
        <v>0.1870987610451762</v>
      </c>
      <c r="X252" s="80">
        <f t="shared" si="443"/>
        <v>-0.15188282013929122</v>
      </c>
      <c r="Y252" s="80">
        <f t="shared" si="443"/>
        <v>7.0588235294117618E-2</v>
      </c>
      <c r="Z252" s="80">
        <f t="shared" si="443"/>
        <v>0.60439560439560447</v>
      </c>
      <c r="AA252" s="41">
        <f t="shared" si="443"/>
        <v>9.5890410958904049E-2</v>
      </c>
      <c r="AB252" s="80">
        <f t="shared" si="443"/>
        <v>-0.33125000000000004</v>
      </c>
      <c r="AC252" s="80">
        <f t="shared" si="443"/>
        <v>1.8691588785046731E-2</v>
      </c>
      <c r="AD252" s="80">
        <f t="shared" si="443"/>
        <v>0.11926605504587151</v>
      </c>
      <c r="AE252" s="41">
        <f t="shared" si="443"/>
        <v>0.34426229508196715</v>
      </c>
      <c r="AF252" s="80">
        <f t="shared" si="443"/>
        <v>-0.45731707317073167</v>
      </c>
      <c r="AG252" s="80">
        <f t="shared" si="443"/>
        <v>0.32584269662921339</v>
      </c>
      <c r="AH252" s="80">
        <f t="shared" si="443"/>
        <v>-3.3898305084745783E-2</v>
      </c>
      <c r="AI252" s="41">
        <f t="shared" si="443"/>
        <v>8.7719298245614308E-3</v>
      </c>
      <c r="AJ252" s="80">
        <f t="shared" si="443"/>
        <v>8.6956521739130377E-2</v>
      </c>
      <c r="AK252" s="80">
        <f t="shared" si="443"/>
        <v>0.18399999999999994</v>
      </c>
      <c r="AL252" s="80">
        <f t="shared" si="443"/>
        <v>4.0540540540540571E-2</v>
      </c>
      <c r="AM252" s="41">
        <f t="shared" si="443"/>
        <v>-5.1948051948051965E-2</v>
      </c>
      <c r="AN252" s="80">
        <f t="shared" si="443"/>
        <v>4.7945205479452024E-2</v>
      </c>
      <c r="AO252" s="80">
        <f t="shared" si="443"/>
        <v>0.11111111111111116</v>
      </c>
      <c r="AP252" s="80">
        <f t="shared" si="443"/>
        <v>0</v>
      </c>
      <c r="AQ252" s="41">
        <f t="shared" si="443"/>
        <v>5.8823529411764497E-3</v>
      </c>
      <c r="AR252" s="80">
        <f t="shared" si="443"/>
        <v>-8.7719298245614086E-2</v>
      </c>
      <c r="AS252" s="80">
        <f t="shared" si="443"/>
        <v>9.6153846153846256E-2</v>
      </c>
      <c r="BL252" s="106"/>
      <c r="BM252" s="81"/>
      <c r="BN252" s="81"/>
      <c r="BO252" s="81"/>
      <c r="BP252" s="81"/>
      <c r="BQ252" s="81"/>
      <c r="BR252" s="81"/>
      <c r="BS252" s="80">
        <f>BS251/BR251-1</f>
        <v>4.1493775933610033E-2</v>
      </c>
      <c r="BT252" s="80">
        <f>BT251/BS251-1</f>
        <v>-0.13147410358565736</v>
      </c>
      <c r="BU252" s="41">
        <f>BU251/BT251-1</f>
        <v>0.31422018348623859</v>
      </c>
      <c r="BV252" s="81"/>
      <c r="CB252" s="18"/>
      <c r="CC252" s="18"/>
      <c r="CD252" s="18"/>
      <c r="CE252" s="18"/>
      <c r="CF252" s="18"/>
      <c r="CG252" s="18"/>
      <c r="CH252" s="18"/>
      <c r="CI252" s="81"/>
      <c r="CJ252" s="81"/>
      <c r="CK252" s="80"/>
      <c r="CL252" s="80"/>
      <c r="CM252" s="80"/>
      <c r="CN252" s="80"/>
      <c r="CO252" s="80"/>
      <c r="CP252" s="81"/>
      <c r="CQ252" s="81"/>
      <c r="CR252" s="81"/>
      <c r="CS252" s="115"/>
    </row>
    <row r="253" spans="1:97" ht="14.25" hidden="1" customHeight="1" outlineLevel="1">
      <c r="A253" s="18"/>
      <c r="B253" s="82" t="s">
        <v>187</v>
      </c>
      <c r="C253" s="82"/>
      <c r="D253" s="80"/>
      <c r="E253" s="80"/>
      <c r="F253" s="80"/>
      <c r="G253" s="41"/>
      <c r="H253" s="80"/>
      <c r="I253" s="80"/>
      <c r="J253" s="80"/>
      <c r="K253" s="41"/>
      <c r="L253" s="80">
        <f t="shared" ref="L253:AS253" si="444">L251/H251-1</f>
        <v>-6.8206061366631099E-2</v>
      </c>
      <c r="M253" s="80">
        <f t="shared" si="444"/>
        <v>1.2135086533433537E-2</v>
      </c>
      <c r="N253" s="80">
        <f t="shared" si="444"/>
        <v>-6.5783274060400188E-2</v>
      </c>
      <c r="O253" s="41">
        <f t="shared" si="444"/>
        <v>-0.41451650431709375</v>
      </c>
      <c r="P253" s="80">
        <f t="shared" si="444"/>
        <v>-0.82556228956228961</v>
      </c>
      <c r="Q253" s="80">
        <f t="shared" si="444"/>
        <v>-1.0070816086088168</v>
      </c>
      <c r="R253" s="80">
        <f t="shared" si="444"/>
        <v>-0.83310879432918106</v>
      </c>
      <c r="S253" s="41">
        <f t="shared" si="444"/>
        <v>-0.28859435249132726</v>
      </c>
      <c r="T253" s="80">
        <f t="shared" si="444"/>
        <v>1.4381562693020382</v>
      </c>
      <c r="U253" s="80">
        <f t="shared" si="444"/>
        <v>-80.697508896797146</v>
      </c>
      <c r="V253" s="80">
        <f t="shared" si="444"/>
        <v>2.4950322901142576</v>
      </c>
      <c r="W253" s="41">
        <f t="shared" si="444"/>
        <v>0.51315034574387841</v>
      </c>
      <c r="X253" s="80">
        <f t="shared" si="444"/>
        <v>0.34583109028151626</v>
      </c>
      <c r="Y253" s="80">
        <f t="shared" si="444"/>
        <v>1.5851752623353477E-2</v>
      </c>
      <c r="Z253" s="80">
        <f t="shared" si="444"/>
        <v>0.72932508942742746</v>
      </c>
      <c r="AA253" s="41">
        <f t="shared" si="444"/>
        <v>0.59645586797309891</v>
      </c>
      <c r="AB253" s="80">
        <f t="shared" si="444"/>
        <v>0.25882352941176467</v>
      </c>
      <c r="AC253" s="80">
        <f t="shared" si="444"/>
        <v>0.19780219780219777</v>
      </c>
      <c r="AD253" s="80">
        <f t="shared" si="444"/>
        <v>-0.16438356164383561</v>
      </c>
      <c r="AE253" s="41">
        <f t="shared" si="444"/>
        <v>2.4999999999999911E-2</v>
      </c>
      <c r="AF253" s="80">
        <f t="shared" si="444"/>
        <v>-0.16822429906542058</v>
      </c>
      <c r="AG253" s="80">
        <f t="shared" si="444"/>
        <v>8.256880733944949E-2</v>
      </c>
      <c r="AH253" s="80">
        <f t="shared" si="444"/>
        <v>-6.557377049180324E-2</v>
      </c>
      <c r="AI253" s="41">
        <f t="shared" si="444"/>
        <v>-0.29878048780487809</v>
      </c>
      <c r="AJ253" s="80">
        <f t="shared" si="444"/>
        <v>0.40449438202247201</v>
      </c>
      <c r="AK253" s="80">
        <f t="shared" si="444"/>
        <v>0.25423728813559321</v>
      </c>
      <c r="AL253" s="80">
        <f t="shared" si="444"/>
        <v>0.35087719298245612</v>
      </c>
      <c r="AM253" s="41">
        <f t="shared" si="444"/>
        <v>0.26956521739130435</v>
      </c>
      <c r="AN253" s="80">
        <f t="shared" si="444"/>
        <v>0.22399999999999998</v>
      </c>
      <c r="AO253" s="80">
        <f t="shared" si="444"/>
        <v>0.14864864864864868</v>
      </c>
      <c r="AP253" s="80">
        <f t="shared" si="444"/>
        <v>0.10389610389610393</v>
      </c>
      <c r="AQ253" s="41">
        <f t="shared" si="444"/>
        <v>0.17123287671232879</v>
      </c>
      <c r="AR253" s="80">
        <f t="shared" si="444"/>
        <v>1.9607843137254832E-2</v>
      </c>
      <c r="AS253" s="80">
        <f t="shared" si="444"/>
        <v>5.8823529411764497E-3</v>
      </c>
      <c r="BL253" s="106"/>
      <c r="BM253" s="80"/>
      <c r="BN253" s="83"/>
      <c r="BO253" s="83">
        <f>BO251/BN251-1</f>
        <v>-0.13500968038848504</v>
      </c>
      <c r="BP253" s="83">
        <f>BP251/BO251-1</f>
        <v>-0.78870409951106746</v>
      </c>
      <c r="BQ253" s="83">
        <f>BQ251/BP251-1</f>
        <v>1.9294607970825735</v>
      </c>
      <c r="BR253" s="83">
        <f>BR251/BQ251-1</f>
        <v>0.428630707853912</v>
      </c>
      <c r="BS253" s="80">
        <f>BS251/BO251-1</f>
        <v>-7.9008925540990593E-2</v>
      </c>
      <c r="BT253" s="80">
        <f>BT251/BP251-1</f>
        <v>2.7857080837023527</v>
      </c>
      <c r="BU253" s="41">
        <f>BU251/BQ251-1</f>
        <v>0.698351443154132</v>
      </c>
      <c r="BV253" s="83"/>
      <c r="CB253" s="18"/>
      <c r="CC253" s="18"/>
      <c r="CD253" s="18"/>
      <c r="CE253" s="18"/>
      <c r="CF253" s="18"/>
      <c r="CG253" s="18"/>
      <c r="CH253" s="18"/>
      <c r="CI253" s="80"/>
      <c r="CJ253" s="83"/>
      <c r="CK253" s="80"/>
      <c r="CL253" s="80"/>
      <c r="CM253" s="80"/>
      <c r="CN253" s="80"/>
      <c r="CO253" s="80"/>
      <c r="CP253" s="83"/>
      <c r="CQ253" s="83"/>
      <c r="CR253" s="83"/>
      <c r="CS253" s="117"/>
    </row>
    <row r="254" spans="1:97" ht="14.25" hidden="1" customHeight="1" outlineLevel="1">
      <c r="A254" s="18"/>
      <c r="B254" s="82" t="s">
        <v>201</v>
      </c>
      <c r="C254" s="79"/>
      <c r="D254" s="80"/>
      <c r="E254" s="80"/>
      <c r="F254" s="80"/>
      <c r="G254" s="41"/>
      <c r="H254" s="80" t="e">
        <f t="shared" ref="H254:AR254" si="445">H251/H$45</f>
        <v>#DIV/0!</v>
      </c>
      <c r="I254" s="80" t="e">
        <f t="shared" si="445"/>
        <v>#DIV/0!</v>
      </c>
      <c r="J254" s="80" t="e">
        <f t="shared" si="445"/>
        <v>#DIV/0!</v>
      </c>
      <c r="K254" s="41" t="e">
        <f t="shared" si="445"/>
        <v>#DIV/0!</v>
      </c>
      <c r="L254" s="80" t="e">
        <f t="shared" si="445"/>
        <v>#DIV/0!</v>
      </c>
      <c r="M254" s="80" t="e">
        <f t="shared" si="445"/>
        <v>#DIV/0!</v>
      </c>
      <c r="N254" s="80" t="e">
        <f t="shared" si="445"/>
        <v>#DIV/0!</v>
      </c>
      <c r="O254" s="41" t="e">
        <f t="shared" si="445"/>
        <v>#DIV/0!</v>
      </c>
      <c r="P254" s="80" t="e">
        <f t="shared" si="445"/>
        <v>#DIV/0!</v>
      </c>
      <c r="Q254" s="80" t="e">
        <f t="shared" si="445"/>
        <v>#DIV/0!</v>
      </c>
      <c r="R254" s="80" t="e">
        <f t="shared" si="445"/>
        <v>#DIV/0!</v>
      </c>
      <c r="S254" s="41" t="e">
        <f t="shared" si="445"/>
        <v>#DIV/0!</v>
      </c>
      <c r="T254" s="80" t="e">
        <f t="shared" si="445"/>
        <v>#DIV/0!</v>
      </c>
      <c r="U254" s="80" t="e">
        <f t="shared" si="445"/>
        <v>#DIV/0!</v>
      </c>
      <c r="V254" s="80" t="e">
        <f t="shared" si="445"/>
        <v>#DIV/0!</v>
      </c>
      <c r="W254" s="41" t="e">
        <f t="shared" si="445"/>
        <v>#DIV/0!</v>
      </c>
      <c r="X254" s="80" t="e">
        <f t="shared" si="445"/>
        <v>#DIV/0!</v>
      </c>
      <c r="Y254" s="80" t="e">
        <f t="shared" si="445"/>
        <v>#DIV/0!</v>
      </c>
      <c r="Z254" s="80" t="e">
        <f t="shared" si="445"/>
        <v>#DIV/0!</v>
      </c>
      <c r="AA254" s="41" t="e">
        <f t="shared" si="445"/>
        <v>#DIV/0!</v>
      </c>
      <c r="AB254" s="80" t="e">
        <f t="shared" si="445"/>
        <v>#DIV/0!</v>
      </c>
      <c r="AC254" s="80" t="e">
        <f t="shared" si="445"/>
        <v>#DIV/0!</v>
      </c>
      <c r="AD254" s="80" t="e">
        <f t="shared" si="445"/>
        <v>#DIV/0!</v>
      </c>
      <c r="AE254" s="41" t="e">
        <f t="shared" si="445"/>
        <v>#DIV/0!</v>
      </c>
      <c r="AF254" s="80" t="e">
        <f t="shared" si="445"/>
        <v>#DIV/0!</v>
      </c>
      <c r="AG254" s="80" t="e">
        <f t="shared" si="445"/>
        <v>#DIV/0!</v>
      </c>
      <c r="AH254" s="80" t="e">
        <f t="shared" si="445"/>
        <v>#DIV/0!</v>
      </c>
      <c r="AI254" s="41" t="e">
        <f t="shared" si="445"/>
        <v>#DIV/0!</v>
      </c>
      <c r="AJ254" s="80" t="e">
        <f t="shared" si="445"/>
        <v>#DIV/0!</v>
      </c>
      <c r="AK254" s="80" t="e">
        <f t="shared" si="445"/>
        <v>#DIV/0!</v>
      </c>
      <c r="AL254" s="80" t="e">
        <f t="shared" si="445"/>
        <v>#DIV/0!</v>
      </c>
      <c r="AM254" s="41" t="e">
        <f t="shared" si="445"/>
        <v>#DIV/0!</v>
      </c>
      <c r="AN254" s="80">
        <f t="shared" si="445"/>
        <v>0.27175843694493784</v>
      </c>
      <c r="AO254" s="80">
        <f t="shared" si="445"/>
        <v>0.27113237639553428</v>
      </c>
      <c r="AP254" s="80">
        <f t="shared" si="445"/>
        <v>0.26315789473684209</v>
      </c>
      <c r="AQ254" s="41">
        <f t="shared" si="445"/>
        <v>0.27986906710310966</v>
      </c>
      <c r="AR254" s="80">
        <f t="shared" si="445"/>
        <v>0.25742574257425743</v>
      </c>
      <c r="AS254" s="80">
        <f>AS251/AS$45</f>
        <v>0.27014218009478674</v>
      </c>
      <c r="BL254" s="106"/>
      <c r="BM254" s="83"/>
      <c r="BN254" s="83" t="e">
        <f t="shared" ref="BN254:BU254" si="446">BN251/BN$45</f>
        <v>#DIV/0!</v>
      </c>
      <c r="BO254" s="83" t="e">
        <f t="shared" si="446"/>
        <v>#DIV/0!</v>
      </c>
      <c r="BP254" s="83" t="e">
        <f t="shared" si="446"/>
        <v>#DIV/0!</v>
      </c>
      <c r="BQ254" s="83" t="e">
        <f t="shared" si="446"/>
        <v>#DIV/0!</v>
      </c>
      <c r="BR254" s="83" t="e">
        <f t="shared" si="446"/>
        <v>#DIV/0!</v>
      </c>
      <c r="BS254" s="80" t="e">
        <f t="shared" si="446"/>
        <v>#DIV/0!</v>
      </c>
      <c r="BT254" s="80" t="e">
        <f t="shared" si="446"/>
        <v>#DIV/0!</v>
      </c>
      <c r="BU254" s="41">
        <f t="shared" si="446"/>
        <v>0.27105014191106908</v>
      </c>
      <c r="BV254" s="83"/>
      <c r="CB254" s="18"/>
      <c r="CC254" s="18"/>
      <c r="CD254" s="18"/>
      <c r="CE254" s="18"/>
      <c r="CF254" s="18"/>
      <c r="CG254" s="18"/>
      <c r="CH254" s="18"/>
      <c r="CI254" s="83"/>
      <c r="CJ254" s="83"/>
      <c r="CK254" s="80"/>
      <c r="CL254" s="80"/>
      <c r="CM254" s="80"/>
      <c r="CN254" s="80"/>
      <c r="CO254" s="80"/>
      <c r="CP254" s="83"/>
      <c r="CQ254" s="83"/>
      <c r="CR254" s="83"/>
      <c r="CS254" s="117"/>
    </row>
    <row r="255" spans="1:97" ht="14.25" hidden="1" customHeight="1" outlineLevel="1">
      <c r="A255" s="18"/>
      <c r="B255" s="82"/>
      <c r="C255" s="79"/>
      <c r="D255" s="80"/>
      <c r="E255" s="80"/>
      <c r="F255" s="80"/>
      <c r="G255" s="41"/>
      <c r="H255" s="80"/>
      <c r="I255" s="80"/>
      <c r="J255" s="80"/>
      <c r="K255" s="41"/>
      <c r="L255" s="80"/>
      <c r="M255" s="80"/>
      <c r="N255" s="80"/>
      <c r="O255" s="41"/>
      <c r="P255" s="80"/>
      <c r="Q255" s="80"/>
      <c r="R255" s="80"/>
      <c r="S255" s="41"/>
      <c r="T255" s="80"/>
      <c r="U255" s="80"/>
      <c r="V255" s="80"/>
      <c r="W255" s="41"/>
      <c r="X255" s="80"/>
      <c r="Y255" s="80"/>
      <c r="Z255" s="80"/>
      <c r="AA255" s="41"/>
      <c r="AB255" s="80"/>
      <c r="AC255" s="80"/>
      <c r="AD255" s="80"/>
      <c r="AE255" s="41"/>
      <c r="AF255" s="80"/>
      <c r="AG255" s="80"/>
      <c r="AH255" s="80"/>
      <c r="AI255" s="41"/>
      <c r="AJ255" s="80"/>
      <c r="AK255" s="80"/>
      <c r="AL255" s="86"/>
      <c r="AM255" s="85"/>
      <c r="AN255" s="80"/>
      <c r="AO255" s="80"/>
      <c r="AP255" s="80"/>
      <c r="AQ255" s="85"/>
      <c r="AR255" s="80"/>
      <c r="AS255" s="80"/>
      <c r="BL255" s="106"/>
      <c r="BM255" s="83"/>
      <c r="BN255" s="83"/>
      <c r="BO255" s="83"/>
      <c r="BP255" s="83"/>
      <c r="BQ255" s="83"/>
      <c r="BR255" s="83"/>
      <c r="BS255" s="83"/>
      <c r="BT255" s="83"/>
      <c r="BU255" s="117"/>
      <c r="BV255" s="83"/>
      <c r="CB255" s="18"/>
      <c r="CC255" s="18"/>
      <c r="CD255" s="18"/>
      <c r="CE255" s="18"/>
      <c r="CF255" s="18"/>
      <c r="CG255" s="18"/>
      <c r="CH255" s="18"/>
      <c r="CI255" s="83"/>
      <c r="CJ255" s="83"/>
      <c r="CK255" s="83"/>
      <c r="CL255" s="83"/>
      <c r="CM255" s="83"/>
      <c r="CN255" s="83"/>
      <c r="CO255" s="83"/>
      <c r="CP255" s="83"/>
      <c r="CQ255" s="83"/>
      <c r="CR255" s="83"/>
      <c r="CS255" s="117"/>
    </row>
    <row r="256" spans="1:97" ht="14.25" hidden="1" customHeight="1" outlineLevel="1">
      <c r="A256" s="18"/>
      <c r="B256" s="19" t="s">
        <v>190</v>
      </c>
      <c r="C256" s="26"/>
      <c r="D256" s="49"/>
      <c r="E256" s="49"/>
      <c r="F256" s="49"/>
      <c r="G256" s="50"/>
      <c r="H256" s="49">
        <v>50.128999999999998</v>
      </c>
      <c r="I256" s="158">
        <v>27.677</v>
      </c>
      <c r="J256" s="158">
        <v>33.929000000000002</v>
      </c>
      <c r="K256" s="159">
        <v>47.476999999999997</v>
      </c>
      <c r="L256" s="158">
        <v>34.268000000000001</v>
      </c>
      <c r="M256" s="158">
        <v>59.427999999999997</v>
      </c>
      <c r="N256" s="158">
        <v>103.04900000000001</v>
      </c>
      <c r="O256" s="159">
        <v>103.86200000000002</v>
      </c>
      <c r="P256" s="158">
        <v>21.126999999999999</v>
      </c>
      <c r="Q256" s="158">
        <v>-2.7440000000000002</v>
      </c>
      <c r="R256" s="158">
        <v>-7.875</v>
      </c>
      <c r="S256" s="159">
        <v>40.718000000000004</v>
      </c>
      <c r="T256" s="158">
        <v>24.927</v>
      </c>
      <c r="U256" s="158">
        <v>89.867000000000004</v>
      </c>
      <c r="V256" s="158">
        <v>63.631999999999998</v>
      </c>
      <c r="W256" s="159">
        <v>89.068999999999988</v>
      </c>
      <c r="X256" s="158">
        <v>28</v>
      </c>
      <c r="Y256" s="158">
        <v>31</v>
      </c>
      <c r="Z256" s="158">
        <v>58</v>
      </c>
      <c r="AA256" s="159">
        <v>31</v>
      </c>
      <c r="AB256" s="158">
        <v>5</v>
      </c>
      <c r="AC256" s="158">
        <v>7</v>
      </c>
      <c r="AD256" s="158">
        <v>10</v>
      </c>
      <c r="AE256" s="159">
        <v>3</v>
      </c>
      <c r="AF256" s="158">
        <v>3</v>
      </c>
      <c r="AG256" s="158">
        <v>19</v>
      </c>
      <c r="AH256" s="158">
        <v>33</v>
      </c>
      <c r="AI256" s="159">
        <v>19</v>
      </c>
      <c r="AJ256" s="158">
        <v>26</v>
      </c>
      <c r="AK256" s="158">
        <v>26</v>
      </c>
      <c r="AL256" s="158">
        <v>25</v>
      </c>
      <c r="AM256" s="159">
        <v>52</v>
      </c>
      <c r="AN256" s="158">
        <v>72</v>
      </c>
      <c r="AO256" s="158">
        <v>40</v>
      </c>
      <c r="AP256" s="158">
        <v>25</v>
      </c>
      <c r="AQ256" s="159">
        <v>19</v>
      </c>
      <c r="AR256" s="158">
        <v>38</v>
      </c>
      <c r="AS256" s="158">
        <v>29</v>
      </c>
      <c r="BL256" s="106"/>
      <c r="BM256" s="34"/>
      <c r="BN256" s="34">
        <f>SUM(H256:K256)</f>
        <v>159.21199999999999</v>
      </c>
      <c r="BO256" s="34">
        <f>SUM(L256:O256)</f>
        <v>300.60700000000003</v>
      </c>
      <c r="BP256" s="34">
        <f>SUM(P256:S256)</f>
        <v>51.225999999999999</v>
      </c>
      <c r="BQ256" s="34">
        <f>SUM(T256:W256)</f>
        <v>267.495</v>
      </c>
      <c r="BR256" s="34">
        <f>SUM(X256:AA256)</f>
        <v>148</v>
      </c>
      <c r="BS256" s="34">
        <f>SUM(AB256:AE256)</f>
        <v>25</v>
      </c>
      <c r="BT256" s="34">
        <f>SUM(AF256:AI256)</f>
        <v>74</v>
      </c>
      <c r="BU256" s="114">
        <f>SUM(AJ256:AM256)</f>
        <v>129</v>
      </c>
      <c r="BV256" s="34"/>
      <c r="CB256" s="18"/>
      <c r="CC256" s="18"/>
      <c r="CD256" s="18"/>
      <c r="CE256" s="18"/>
      <c r="CF256" s="18"/>
      <c r="CG256" s="18"/>
      <c r="CH256" s="18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114"/>
    </row>
    <row r="257" spans="1:97" ht="14.25" hidden="1" customHeight="1" outlineLevel="1">
      <c r="A257" s="18"/>
      <c r="B257" s="82" t="s">
        <v>186</v>
      </c>
      <c r="C257" s="79"/>
      <c r="D257" s="80"/>
      <c r="E257" s="80"/>
      <c r="F257" s="80"/>
      <c r="G257" s="41"/>
      <c r="H257" s="80"/>
      <c r="I257" s="80">
        <f t="shared" ref="I257:AS257" si="447">I256/H256-1</f>
        <v>-0.44788445809810684</v>
      </c>
      <c r="J257" s="80">
        <f t="shared" si="447"/>
        <v>0.22589153448711929</v>
      </c>
      <c r="K257" s="41">
        <f t="shared" si="447"/>
        <v>0.39930442983878089</v>
      </c>
      <c r="L257" s="80">
        <f t="shared" si="447"/>
        <v>-0.2782189270594182</v>
      </c>
      <c r="M257" s="80">
        <f t="shared" si="447"/>
        <v>0.73421267654955047</v>
      </c>
      <c r="N257" s="80">
        <f t="shared" si="447"/>
        <v>0.73401426936797498</v>
      </c>
      <c r="O257" s="41">
        <f t="shared" si="447"/>
        <v>7.8894506496911543E-3</v>
      </c>
      <c r="P257" s="80">
        <f t="shared" si="447"/>
        <v>-0.79658585430667617</v>
      </c>
      <c r="Q257" s="80">
        <f t="shared" si="447"/>
        <v>-1.1298811946797938</v>
      </c>
      <c r="R257" s="80">
        <f t="shared" si="447"/>
        <v>1.8698979591836733</v>
      </c>
      <c r="S257" s="41">
        <f t="shared" si="447"/>
        <v>-6.1705396825396832</v>
      </c>
      <c r="T257" s="80">
        <f t="shared" si="447"/>
        <v>-0.38781374330762819</v>
      </c>
      <c r="U257" s="80">
        <f t="shared" si="447"/>
        <v>2.6052072050387132</v>
      </c>
      <c r="V257" s="80">
        <f t="shared" si="447"/>
        <v>-0.2919314097499639</v>
      </c>
      <c r="W257" s="41">
        <f t="shared" si="447"/>
        <v>0.39975169725924053</v>
      </c>
      <c r="X257" s="80">
        <f t="shared" si="447"/>
        <v>-0.68563697807317925</v>
      </c>
      <c r="Y257" s="80">
        <f t="shared" si="447"/>
        <v>0.10714285714285721</v>
      </c>
      <c r="Z257" s="80">
        <f t="shared" si="447"/>
        <v>0.87096774193548376</v>
      </c>
      <c r="AA257" s="41">
        <f t="shared" si="447"/>
        <v>-0.46551724137931039</v>
      </c>
      <c r="AB257" s="80">
        <f t="shared" si="447"/>
        <v>-0.83870967741935487</v>
      </c>
      <c r="AC257" s="80">
        <f t="shared" si="447"/>
        <v>0.39999999999999991</v>
      </c>
      <c r="AD257" s="80">
        <f t="shared" si="447"/>
        <v>0.4285714285714286</v>
      </c>
      <c r="AE257" s="41">
        <f t="shared" si="447"/>
        <v>-0.7</v>
      </c>
      <c r="AF257" s="80">
        <f t="shared" si="447"/>
        <v>0</v>
      </c>
      <c r="AG257" s="80">
        <f t="shared" si="447"/>
        <v>5.333333333333333</v>
      </c>
      <c r="AH257" s="80">
        <f t="shared" si="447"/>
        <v>0.73684210526315796</v>
      </c>
      <c r="AI257" s="41">
        <f t="shared" si="447"/>
        <v>-0.4242424242424242</v>
      </c>
      <c r="AJ257" s="80">
        <f t="shared" si="447"/>
        <v>0.36842105263157898</v>
      </c>
      <c r="AK257" s="80">
        <f t="shared" si="447"/>
        <v>0</v>
      </c>
      <c r="AL257" s="80">
        <f t="shared" si="447"/>
        <v>-3.8461538461538436E-2</v>
      </c>
      <c r="AM257" s="41">
        <f t="shared" si="447"/>
        <v>1.08</v>
      </c>
      <c r="AN257" s="80">
        <f t="shared" si="447"/>
        <v>0.38461538461538458</v>
      </c>
      <c r="AO257" s="80">
        <f t="shared" si="447"/>
        <v>-0.44444444444444442</v>
      </c>
      <c r="AP257" s="80">
        <f t="shared" si="447"/>
        <v>-0.375</v>
      </c>
      <c r="AQ257" s="41">
        <f t="shared" si="447"/>
        <v>-0.24</v>
      </c>
      <c r="AR257" s="80">
        <f t="shared" si="447"/>
        <v>1</v>
      </c>
      <c r="AS257" s="80">
        <f t="shared" si="447"/>
        <v>-0.23684210526315785</v>
      </c>
      <c r="BL257" s="106"/>
      <c r="BM257" s="81"/>
      <c r="BN257" s="81"/>
      <c r="BO257" s="81"/>
      <c r="BP257" s="81"/>
      <c r="BQ257" s="81"/>
      <c r="BR257" s="81"/>
      <c r="BS257" s="80">
        <f>BS256/BR256-1</f>
        <v>-0.83108108108108114</v>
      </c>
      <c r="BT257" s="80">
        <f>BT256/BS256-1</f>
        <v>1.96</v>
      </c>
      <c r="BU257" s="41">
        <f>BU256/BT256-1</f>
        <v>0.7432432432432432</v>
      </c>
      <c r="BV257" s="81"/>
      <c r="CB257" s="18"/>
      <c r="CC257" s="18"/>
      <c r="CD257" s="18"/>
      <c r="CE257" s="18"/>
      <c r="CF257" s="18"/>
      <c r="CG257" s="18"/>
      <c r="CH257" s="18"/>
      <c r="CI257" s="81"/>
      <c r="CJ257" s="81"/>
      <c r="CK257" s="80"/>
      <c r="CL257" s="80"/>
      <c r="CM257" s="80"/>
      <c r="CN257" s="80"/>
      <c r="CO257" s="80"/>
      <c r="CP257" s="81"/>
      <c r="CQ257" s="81"/>
      <c r="CR257" s="81"/>
      <c r="CS257" s="115"/>
    </row>
    <row r="258" spans="1:97" ht="14.25" hidden="1" customHeight="1" outlineLevel="1">
      <c r="A258" s="18"/>
      <c r="B258" s="82" t="s">
        <v>187</v>
      </c>
      <c r="C258" s="82"/>
      <c r="D258" s="80"/>
      <c r="E258" s="80"/>
      <c r="F258" s="80"/>
      <c r="G258" s="41"/>
      <c r="H258" s="80"/>
      <c r="I258" s="80"/>
      <c r="J258" s="80"/>
      <c r="K258" s="41"/>
      <c r="L258" s="80">
        <f t="shared" ref="L258:AS258" si="448">L256/H256-1</f>
        <v>-0.31640367850944562</v>
      </c>
      <c r="M258" s="80">
        <f t="shared" si="448"/>
        <v>1.1471980344690538</v>
      </c>
      <c r="N258" s="80">
        <f t="shared" si="448"/>
        <v>2.0371953196380677</v>
      </c>
      <c r="O258" s="41">
        <f t="shared" si="448"/>
        <v>1.187627693409441</v>
      </c>
      <c r="P258" s="80">
        <f t="shared" si="448"/>
        <v>-0.38347729660324503</v>
      </c>
      <c r="Q258" s="80">
        <f t="shared" si="448"/>
        <v>-1.0461735208992393</v>
      </c>
      <c r="R258" s="80">
        <f t="shared" si="448"/>
        <v>-1.0764199555551242</v>
      </c>
      <c r="S258" s="41">
        <f t="shared" si="448"/>
        <v>-0.60796056305482282</v>
      </c>
      <c r="T258" s="80">
        <f t="shared" si="448"/>
        <v>0.17986462820088045</v>
      </c>
      <c r="U258" s="80">
        <f t="shared" si="448"/>
        <v>-33.750364431486879</v>
      </c>
      <c r="V258" s="80">
        <f t="shared" si="448"/>
        <v>-9.0802539682539685</v>
      </c>
      <c r="W258" s="41">
        <f t="shared" si="448"/>
        <v>1.1874600913600859</v>
      </c>
      <c r="X258" s="80">
        <f t="shared" si="448"/>
        <v>0.12327997753440045</v>
      </c>
      <c r="Y258" s="80">
        <f t="shared" si="448"/>
        <v>-0.65504578988950346</v>
      </c>
      <c r="Z258" s="80">
        <f t="shared" si="448"/>
        <v>-8.8508926326376636E-2</v>
      </c>
      <c r="AA258" s="41">
        <f t="shared" si="448"/>
        <v>-0.65195522572387699</v>
      </c>
      <c r="AB258" s="80">
        <f t="shared" si="448"/>
        <v>-0.8214285714285714</v>
      </c>
      <c r="AC258" s="80">
        <f t="shared" si="448"/>
        <v>-0.77419354838709675</v>
      </c>
      <c r="AD258" s="80">
        <f t="shared" si="448"/>
        <v>-0.82758620689655171</v>
      </c>
      <c r="AE258" s="41">
        <f t="shared" si="448"/>
        <v>-0.90322580645161288</v>
      </c>
      <c r="AF258" s="80">
        <f t="shared" si="448"/>
        <v>-0.4</v>
      </c>
      <c r="AG258" s="80">
        <f t="shared" si="448"/>
        <v>1.7142857142857144</v>
      </c>
      <c r="AH258" s="80">
        <f t="shared" si="448"/>
        <v>2.2999999999999998</v>
      </c>
      <c r="AI258" s="41">
        <f t="shared" si="448"/>
        <v>5.333333333333333</v>
      </c>
      <c r="AJ258" s="80">
        <f t="shared" si="448"/>
        <v>7.6666666666666661</v>
      </c>
      <c r="AK258" s="80">
        <f t="shared" si="448"/>
        <v>0.36842105263157898</v>
      </c>
      <c r="AL258" s="80">
        <f t="shared" si="448"/>
        <v>-0.24242424242424243</v>
      </c>
      <c r="AM258" s="41">
        <f t="shared" si="448"/>
        <v>1.736842105263158</v>
      </c>
      <c r="AN258" s="80">
        <f t="shared" si="448"/>
        <v>1.7692307692307692</v>
      </c>
      <c r="AO258" s="80">
        <f t="shared" si="448"/>
        <v>0.53846153846153855</v>
      </c>
      <c r="AP258" s="80">
        <f t="shared" si="448"/>
        <v>0</v>
      </c>
      <c r="AQ258" s="41">
        <f t="shared" si="448"/>
        <v>-0.63461538461538458</v>
      </c>
      <c r="AR258" s="80">
        <f t="shared" si="448"/>
        <v>-0.47222222222222221</v>
      </c>
      <c r="AS258" s="80">
        <f t="shared" si="448"/>
        <v>-0.27500000000000002</v>
      </c>
      <c r="BL258" s="106"/>
      <c r="BM258" s="80"/>
      <c r="BN258" s="83"/>
      <c r="BO258" s="83">
        <f>BO256/BN256-1</f>
        <v>0.88809260608496876</v>
      </c>
      <c r="BP258" s="83">
        <f>BP256/BO256-1</f>
        <v>-0.82959145994604255</v>
      </c>
      <c r="BQ258" s="83">
        <f>BQ256/BP256-1</f>
        <v>4.2218599929723188</v>
      </c>
      <c r="BR258" s="83">
        <f>BR256/BQ256-1</f>
        <v>-0.4467186302547711</v>
      </c>
      <c r="BS258" s="80">
        <f>BS256/BO256-1</f>
        <v>-0.91683493731017573</v>
      </c>
      <c r="BT258" s="80">
        <f>BT256/BP256-1</f>
        <v>0.44457892476476801</v>
      </c>
      <c r="BU258" s="41">
        <f>BU256/BQ256-1</f>
        <v>-0.51774799528963156</v>
      </c>
      <c r="BV258" s="83"/>
      <c r="CB258" s="18"/>
      <c r="CC258" s="18"/>
      <c r="CD258" s="18"/>
      <c r="CE258" s="18"/>
      <c r="CF258" s="18"/>
      <c r="CG258" s="18"/>
      <c r="CH258" s="18"/>
      <c r="CI258" s="80"/>
      <c r="CJ258" s="83"/>
      <c r="CK258" s="80"/>
      <c r="CL258" s="80"/>
      <c r="CM258" s="80"/>
      <c r="CN258" s="80"/>
      <c r="CO258" s="80"/>
      <c r="CP258" s="83"/>
      <c r="CQ258" s="83"/>
      <c r="CR258" s="83"/>
      <c r="CS258" s="117"/>
    </row>
    <row r="259" spans="1:97" ht="14.25" hidden="1" customHeight="1" outlineLevel="1">
      <c r="A259" s="18"/>
      <c r="B259" s="82" t="s">
        <v>201</v>
      </c>
      <c r="C259" s="79"/>
      <c r="D259" s="80"/>
      <c r="E259" s="80"/>
      <c r="F259" s="80"/>
      <c r="G259" s="41"/>
      <c r="H259" s="80" t="e">
        <f t="shared" ref="H259:AI259" si="449">H256/H$52</f>
        <v>#DIV/0!</v>
      </c>
      <c r="I259" s="80" t="e">
        <f t="shared" si="449"/>
        <v>#DIV/0!</v>
      </c>
      <c r="J259" s="80" t="e">
        <f t="shared" si="449"/>
        <v>#DIV/0!</v>
      </c>
      <c r="K259" s="41" t="e">
        <f t="shared" si="449"/>
        <v>#DIV/0!</v>
      </c>
      <c r="L259" s="80" t="e">
        <f t="shared" si="449"/>
        <v>#DIV/0!</v>
      </c>
      <c r="M259" s="80" t="e">
        <f t="shared" si="449"/>
        <v>#DIV/0!</v>
      </c>
      <c r="N259" s="80" t="e">
        <f t="shared" si="449"/>
        <v>#DIV/0!</v>
      </c>
      <c r="O259" s="41" t="e">
        <f t="shared" si="449"/>
        <v>#DIV/0!</v>
      </c>
      <c r="P259" s="80" t="e">
        <f t="shared" si="449"/>
        <v>#DIV/0!</v>
      </c>
      <c r="Q259" s="80" t="e">
        <f t="shared" si="449"/>
        <v>#DIV/0!</v>
      </c>
      <c r="R259" s="80" t="e">
        <f t="shared" si="449"/>
        <v>#DIV/0!</v>
      </c>
      <c r="S259" s="41" t="e">
        <f t="shared" si="449"/>
        <v>#DIV/0!</v>
      </c>
      <c r="T259" s="80" t="e">
        <f t="shared" si="449"/>
        <v>#DIV/0!</v>
      </c>
      <c r="U259" s="80" t="e">
        <f t="shared" si="449"/>
        <v>#DIV/0!</v>
      </c>
      <c r="V259" s="80" t="e">
        <f t="shared" si="449"/>
        <v>#DIV/0!</v>
      </c>
      <c r="W259" s="41" t="e">
        <f t="shared" si="449"/>
        <v>#DIV/0!</v>
      </c>
      <c r="X259" s="80" t="e">
        <f t="shared" si="449"/>
        <v>#DIV/0!</v>
      </c>
      <c r="Y259" s="80" t="e">
        <f t="shared" si="449"/>
        <v>#DIV/0!</v>
      </c>
      <c r="Z259" s="80" t="e">
        <f t="shared" si="449"/>
        <v>#DIV/0!</v>
      </c>
      <c r="AA259" s="41" t="e">
        <f t="shared" si="449"/>
        <v>#DIV/0!</v>
      </c>
      <c r="AB259" s="80" t="e">
        <f t="shared" si="449"/>
        <v>#DIV/0!</v>
      </c>
      <c r="AC259" s="80" t="e">
        <f t="shared" si="449"/>
        <v>#DIV/0!</v>
      </c>
      <c r="AD259" s="80" t="e">
        <f t="shared" si="449"/>
        <v>#DIV/0!</v>
      </c>
      <c r="AE259" s="41" t="e">
        <f t="shared" si="449"/>
        <v>#DIV/0!</v>
      </c>
      <c r="AF259" s="80" t="e">
        <f t="shared" si="449"/>
        <v>#DIV/0!</v>
      </c>
      <c r="AG259" s="80" t="e">
        <f t="shared" si="449"/>
        <v>#DIV/0!</v>
      </c>
      <c r="AH259" s="80" t="e">
        <f t="shared" si="449"/>
        <v>#DIV/0!</v>
      </c>
      <c r="AI259" s="41" t="e">
        <f t="shared" si="449"/>
        <v>#DIV/0!</v>
      </c>
      <c r="AJ259" s="80" t="e">
        <f>AJ256/AJ$52</f>
        <v>#DIV/0!</v>
      </c>
      <c r="AK259" s="80" t="e">
        <f t="shared" ref="AK259:AR259" si="450">AK256/AK$52</f>
        <v>#DIV/0!</v>
      </c>
      <c r="AL259" s="80" t="e">
        <f t="shared" si="450"/>
        <v>#DIV/0!</v>
      </c>
      <c r="AM259" s="41" t="e">
        <f t="shared" si="450"/>
        <v>#DIV/0!</v>
      </c>
      <c r="AN259" s="80">
        <f t="shared" si="450"/>
        <v>0.22784810126582278</v>
      </c>
      <c r="AO259" s="80">
        <f t="shared" si="450"/>
        <v>0.19230769230769232</v>
      </c>
      <c r="AP259" s="80">
        <f t="shared" si="450"/>
        <v>0.13513513513513514</v>
      </c>
      <c r="AQ259" s="41">
        <f t="shared" si="450"/>
        <v>8.085106382978724E-2</v>
      </c>
      <c r="AR259" s="80">
        <f t="shared" si="450"/>
        <v>0.14960629921259844</v>
      </c>
      <c r="AS259" s="80">
        <f>AS256/AS$52</f>
        <v>0.15508021390374332</v>
      </c>
      <c r="BL259" s="106"/>
      <c r="BM259" s="83"/>
      <c r="BN259" s="83" t="e">
        <f t="shared" ref="BN259:BU259" si="451">BN256/BN$52</f>
        <v>#DIV/0!</v>
      </c>
      <c r="BO259" s="83" t="e">
        <f t="shared" si="451"/>
        <v>#DIV/0!</v>
      </c>
      <c r="BP259" s="83" t="e">
        <f t="shared" si="451"/>
        <v>#DIV/0!</v>
      </c>
      <c r="BQ259" s="83" t="e">
        <f t="shared" si="451"/>
        <v>#DIV/0!</v>
      </c>
      <c r="BR259" s="83" t="e">
        <f t="shared" si="451"/>
        <v>#DIV/0!</v>
      </c>
      <c r="BS259" s="80" t="e">
        <f t="shared" si="451"/>
        <v>#DIV/0!</v>
      </c>
      <c r="BT259" s="80" t="e">
        <f t="shared" si="451"/>
        <v>#DIV/0!</v>
      </c>
      <c r="BU259" s="41">
        <f t="shared" si="451"/>
        <v>0.15212264150943397</v>
      </c>
      <c r="BV259" s="83"/>
      <c r="CB259" s="18"/>
      <c r="CC259" s="18"/>
      <c r="CD259" s="18"/>
      <c r="CE259" s="18"/>
      <c r="CF259" s="18"/>
      <c r="CG259" s="18"/>
      <c r="CH259" s="18"/>
      <c r="CI259" s="83"/>
      <c r="CJ259" s="83"/>
      <c r="CK259" s="80"/>
      <c r="CL259" s="80"/>
      <c r="CM259" s="80"/>
      <c r="CN259" s="80"/>
      <c r="CO259" s="80"/>
      <c r="CP259" s="83"/>
      <c r="CQ259" s="83"/>
      <c r="CR259" s="83"/>
      <c r="CS259" s="117"/>
    </row>
    <row r="260" spans="1:97" ht="14.25" hidden="1" customHeight="1" outlineLevel="1">
      <c r="A260" s="18"/>
      <c r="B260" s="82"/>
      <c r="C260" s="79"/>
      <c r="D260" s="80"/>
      <c r="E260" s="80"/>
      <c r="F260" s="80"/>
      <c r="G260" s="41"/>
      <c r="H260" s="80"/>
      <c r="I260" s="80"/>
      <c r="J260" s="80"/>
      <c r="K260" s="41"/>
      <c r="L260" s="80"/>
      <c r="M260" s="80"/>
      <c r="N260" s="80"/>
      <c r="O260" s="41"/>
      <c r="P260" s="80"/>
      <c r="Q260" s="80"/>
      <c r="R260" s="80"/>
      <c r="S260" s="41"/>
      <c r="T260" s="80"/>
      <c r="U260" s="80"/>
      <c r="V260" s="80"/>
      <c r="W260" s="41"/>
      <c r="X260" s="80"/>
      <c r="Y260" s="80"/>
      <c r="Z260" s="80"/>
      <c r="AA260" s="41"/>
      <c r="AB260" s="80"/>
      <c r="AC260" s="80"/>
      <c r="AD260" s="80"/>
      <c r="AE260" s="41"/>
      <c r="AF260" s="80"/>
      <c r="AG260" s="80"/>
      <c r="AH260" s="80"/>
      <c r="AI260" s="41"/>
      <c r="AJ260" s="80"/>
      <c r="AK260" s="80"/>
      <c r="AL260" s="86"/>
      <c r="AM260" s="85"/>
      <c r="AN260" s="80"/>
      <c r="AO260" s="80"/>
      <c r="AP260" s="80"/>
      <c r="AQ260" s="85"/>
      <c r="AR260" s="80"/>
      <c r="AS260" s="80"/>
      <c r="BL260" s="106"/>
      <c r="BM260" s="83"/>
      <c r="BN260" s="83"/>
      <c r="BO260" s="83"/>
      <c r="BP260" s="83"/>
      <c r="BQ260" s="83"/>
      <c r="BR260" s="83"/>
      <c r="BS260" s="83"/>
      <c r="BT260" s="83"/>
      <c r="BU260" s="117"/>
      <c r="BV260" s="83"/>
      <c r="CB260" s="18"/>
      <c r="CC260" s="18"/>
      <c r="CD260" s="18"/>
      <c r="CE260" s="18"/>
      <c r="CF260" s="18"/>
      <c r="CG260" s="18"/>
      <c r="CH260" s="18"/>
      <c r="CI260" s="83"/>
      <c r="CJ260" s="83"/>
      <c r="CK260" s="83"/>
      <c r="CL260" s="83"/>
      <c r="CM260" s="83"/>
      <c r="CN260" s="83"/>
      <c r="CO260" s="83"/>
      <c r="CP260" s="83"/>
      <c r="CQ260" s="83"/>
      <c r="CR260" s="83"/>
      <c r="CS260" s="117"/>
    </row>
    <row r="261" spans="1:97" ht="14.25" hidden="1" customHeight="1" outlineLevel="1">
      <c r="A261" s="18"/>
      <c r="B261" s="19" t="s">
        <v>191</v>
      </c>
      <c r="C261" s="26"/>
      <c r="D261" s="49"/>
      <c r="E261" s="49"/>
      <c r="F261" s="49"/>
      <c r="G261" s="50"/>
      <c r="H261" s="49">
        <v>-14.694000000000001</v>
      </c>
      <c r="I261" s="158">
        <v>-14.978</v>
      </c>
      <c r="J261" s="158">
        <v>-29.349</v>
      </c>
      <c r="K261" s="159">
        <v>-30.342999999999996</v>
      </c>
      <c r="L261" s="158">
        <v>-48.052999999999997</v>
      </c>
      <c r="M261" s="158">
        <v>-70.962999999999994</v>
      </c>
      <c r="N261" s="158">
        <v>-85.152000000000001</v>
      </c>
      <c r="O261" s="159">
        <v>-2.0430000000000206</v>
      </c>
      <c r="P261" s="158">
        <v>-63.643000000000001</v>
      </c>
      <c r="Q261" s="158">
        <v>-90.590999999999994</v>
      </c>
      <c r="R261" s="158">
        <v>-51.853999999999999</v>
      </c>
      <c r="S261" s="159">
        <v>-28.170999999999978</v>
      </c>
      <c r="T261" s="158">
        <v>-36.267000000000003</v>
      </c>
      <c r="U261" s="158">
        <v>-144.94999999999999</v>
      </c>
      <c r="V261" s="158">
        <v>-371.21300000000002</v>
      </c>
      <c r="W261" s="159">
        <v>86.305999999999983</v>
      </c>
      <c r="X261" s="158">
        <v>144</v>
      </c>
      <c r="Y261" s="158">
        <v>170</v>
      </c>
      <c r="Z261" s="158">
        <v>123</v>
      </c>
      <c r="AA261" s="159">
        <v>17</v>
      </c>
      <c r="AB261" s="158">
        <v>-23</v>
      </c>
      <c r="AC261" s="158">
        <v>-63</v>
      </c>
      <c r="AD261" s="158">
        <v>-102</v>
      </c>
      <c r="AE261" s="159">
        <v>-480</v>
      </c>
      <c r="AF261" s="158">
        <v>-54</v>
      </c>
      <c r="AG261" s="158">
        <v>-322</v>
      </c>
      <c r="AH261" s="158">
        <v>-27</v>
      </c>
      <c r="AI261" s="159">
        <v>-30</v>
      </c>
      <c r="AJ261" s="158">
        <v>-11</v>
      </c>
      <c r="AK261" s="158">
        <v>5</v>
      </c>
      <c r="AL261" s="158">
        <v>24</v>
      </c>
      <c r="AM261" s="159">
        <v>-3</v>
      </c>
      <c r="AN261" s="158">
        <v>-4</v>
      </c>
      <c r="AO261" s="158">
        <v>-5</v>
      </c>
      <c r="AP261" s="158">
        <v>-52</v>
      </c>
      <c r="AQ261" s="159">
        <v>0</v>
      </c>
      <c r="AR261" s="158">
        <v>6</v>
      </c>
      <c r="AS261" s="158">
        <v>0</v>
      </c>
      <c r="BL261" s="106"/>
      <c r="BM261" s="34"/>
      <c r="BN261" s="34">
        <f>SUM(H261:K261)</f>
        <v>-89.364000000000004</v>
      </c>
      <c r="BO261" s="34">
        <f>SUM(L261:O261)</f>
        <v>-206.21100000000001</v>
      </c>
      <c r="BP261" s="34">
        <f>SUM(P261:S261)</f>
        <v>-234.25899999999996</v>
      </c>
      <c r="BQ261" s="34">
        <f>SUM(T261:W261)</f>
        <v>-466.12400000000008</v>
      </c>
      <c r="BR261" s="34">
        <f>SUM(X261:AA261)</f>
        <v>454</v>
      </c>
      <c r="BS261" s="34">
        <f>SUM(AB261:AE261)</f>
        <v>-668</v>
      </c>
      <c r="BT261" s="34">
        <f>SUM(AF261:AI261)</f>
        <v>-433</v>
      </c>
      <c r="BU261" s="114">
        <f>SUM(AJ261:AM261)</f>
        <v>15</v>
      </c>
      <c r="BV261" s="34"/>
      <c r="CB261" s="18"/>
      <c r="CC261" s="18"/>
      <c r="CD261" s="18"/>
      <c r="CE261" s="18"/>
      <c r="CF261" s="18"/>
      <c r="CG261" s="18"/>
      <c r="CH261" s="18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114"/>
    </row>
    <row r="262" spans="1:97" ht="14.25" hidden="1" customHeight="1" outlineLevel="1">
      <c r="A262" s="18"/>
      <c r="B262" s="82" t="s">
        <v>186</v>
      </c>
      <c r="C262" s="79"/>
      <c r="D262" s="80"/>
      <c r="E262" s="80"/>
      <c r="F262" s="80"/>
      <c r="G262" s="41"/>
      <c r="H262" s="80"/>
      <c r="I262" s="80">
        <f t="shared" ref="I262:AS262" si="452">I261/H261-1</f>
        <v>1.9327616714305051E-2</v>
      </c>
      <c r="J262" s="80">
        <f t="shared" si="452"/>
        <v>0.9594738950460675</v>
      </c>
      <c r="K262" s="41">
        <f t="shared" si="452"/>
        <v>3.3868274898633643E-2</v>
      </c>
      <c r="L262" s="80">
        <f t="shared" si="452"/>
        <v>0.58366015225917023</v>
      </c>
      <c r="M262" s="80">
        <f t="shared" si="452"/>
        <v>0.47676523838261908</v>
      </c>
      <c r="N262" s="80">
        <f t="shared" si="452"/>
        <v>0.1999492693375422</v>
      </c>
      <c r="O262" s="41">
        <f t="shared" si="452"/>
        <v>-0.97600760992108204</v>
      </c>
      <c r="P262" s="80">
        <f t="shared" si="452"/>
        <v>30.151737640724111</v>
      </c>
      <c r="Q262" s="80">
        <f t="shared" si="452"/>
        <v>0.4234244143110788</v>
      </c>
      <c r="R262" s="80">
        <f t="shared" si="452"/>
        <v>-0.42760318353920368</v>
      </c>
      <c r="S262" s="41">
        <f t="shared" si="452"/>
        <v>-0.45672464997878703</v>
      </c>
      <c r="T262" s="80">
        <f t="shared" si="452"/>
        <v>0.28738773916438998</v>
      </c>
      <c r="U262" s="80">
        <f t="shared" si="452"/>
        <v>2.9967463534342507</v>
      </c>
      <c r="V262" s="80">
        <f t="shared" si="452"/>
        <v>1.5609727492238705</v>
      </c>
      <c r="W262" s="41">
        <f t="shared" si="452"/>
        <v>-1.2324972455167249</v>
      </c>
      <c r="X262" s="80">
        <f t="shared" si="452"/>
        <v>0.66848191319259409</v>
      </c>
      <c r="Y262" s="80">
        <f t="shared" si="452"/>
        <v>0.18055555555555558</v>
      </c>
      <c r="Z262" s="80">
        <f t="shared" si="452"/>
        <v>-0.27647058823529413</v>
      </c>
      <c r="AA262" s="41">
        <f t="shared" si="452"/>
        <v>-0.86178861788617889</v>
      </c>
      <c r="AB262" s="80">
        <f t="shared" si="452"/>
        <v>-2.3529411764705883</v>
      </c>
      <c r="AC262" s="80">
        <f t="shared" si="452"/>
        <v>1.7391304347826089</v>
      </c>
      <c r="AD262" s="80">
        <f t="shared" si="452"/>
        <v>0.61904761904761907</v>
      </c>
      <c r="AE262" s="41">
        <f t="shared" si="452"/>
        <v>3.7058823529411766</v>
      </c>
      <c r="AF262" s="80">
        <f t="shared" si="452"/>
        <v>-0.88749999999999996</v>
      </c>
      <c r="AG262" s="80">
        <f t="shared" si="452"/>
        <v>4.9629629629629628</v>
      </c>
      <c r="AH262" s="80">
        <f t="shared" si="452"/>
        <v>-0.91614906832298137</v>
      </c>
      <c r="AI262" s="41">
        <f t="shared" si="452"/>
        <v>0.11111111111111116</v>
      </c>
      <c r="AJ262" s="80">
        <f t="shared" si="452"/>
        <v>-0.6333333333333333</v>
      </c>
      <c r="AK262" s="80">
        <f t="shared" si="452"/>
        <v>-1.4545454545454546</v>
      </c>
      <c r="AL262" s="80">
        <f t="shared" si="452"/>
        <v>3.8</v>
      </c>
      <c r="AM262" s="41">
        <f t="shared" si="452"/>
        <v>-1.125</v>
      </c>
      <c r="AN262" s="80">
        <f t="shared" si="452"/>
        <v>0.33333333333333326</v>
      </c>
      <c r="AO262" s="80">
        <f t="shared" si="452"/>
        <v>0.25</v>
      </c>
      <c r="AP262" s="80">
        <f t="shared" si="452"/>
        <v>9.4</v>
      </c>
      <c r="AQ262" s="41">
        <f t="shared" si="452"/>
        <v>-1</v>
      </c>
      <c r="AR262" s="80" t="e">
        <f t="shared" si="452"/>
        <v>#DIV/0!</v>
      </c>
      <c r="AS262" s="80">
        <f t="shared" si="452"/>
        <v>-1</v>
      </c>
      <c r="BL262" s="106"/>
      <c r="BM262" s="81"/>
      <c r="BN262" s="81"/>
      <c r="BO262" s="81"/>
      <c r="BP262" s="81"/>
      <c r="BQ262" s="81"/>
      <c r="BR262" s="81"/>
      <c r="BS262" s="80">
        <f>BS261/BR261-1</f>
        <v>-2.4713656387665202</v>
      </c>
      <c r="BT262" s="80">
        <f>BT261/BS261-1</f>
        <v>-0.35179640718562877</v>
      </c>
      <c r="BU262" s="41">
        <f>BU261/BT261-1</f>
        <v>-1.0346420323325636</v>
      </c>
      <c r="BV262" s="81"/>
      <c r="CB262" s="18"/>
      <c r="CC262" s="18"/>
      <c r="CD262" s="18"/>
      <c r="CE262" s="18"/>
      <c r="CF262" s="18"/>
      <c r="CG262" s="18"/>
      <c r="CH262" s="18"/>
      <c r="CI262" s="81"/>
      <c r="CJ262" s="81"/>
      <c r="CK262" s="80"/>
      <c r="CL262" s="80"/>
      <c r="CM262" s="80"/>
      <c r="CN262" s="80"/>
      <c r="CO262" s="80"/>
      <c r="CP262" s="81"/>
      <c r="CQ262" s="81"/>
      <c r="CR262" s="81"/>
      <c r="CS262" s="115"/>
    </row>
    <row r="263" spans="1:97" ht="14.25" hidden="1" customHeight="1" outlineLevel="1">
      <c r="A263" s="18"/>
      <c r="B263" s="82" t="s">
        <v>187</v>
      </c>
      <c r="C263" s="82"/>
      <c r="D263" s="80"/>
      <c r="E263" s="80"/>
      <c r="F263" s="80"/>
      <c r="G263" s="41"/>
      <c r="H263" s="80"/>
      <c r="I263" s="80"/>
      <c r="J263" s="80"/>
      <c r="K263" s="41"/>
      <c r="L263" s="80">
        <f t="shared" ref="L263:AS263" si="453">L261/H261-1</f>
        <v>2.2702463590581186</v>
      </c>
      <c r="M263" s="80">
        <f t="shared" si="453"/>
        <v>3.7378154626785953</v>
      </c>
      <c r="N263" s="80">
        <f t="shared" si="453"/>
        <v>1.9013595011755084</v>
      </c>
      <c r="O263" s="41">
        <f t="shared" si="453"/>
        <v>-0.9326698085225581</v>
      </c>
      <c r="P263" s="80">
        <f t="shared" si="453"/>
        <v>0.32443343807878811</v>
      </c>
      <c r="Q263" s="80">
        <f t="shared" si="453"/>
        <v>0.27659484520102029</v>
      </c>
      <c r="R263" s="80">
        <f t="shared" si="453"/>
        <v>-0.39104190154077412</v>
      </c>
      <c r="S263" s="41">
        <f t="shared" si="453"/>
        <v>12.789035731766859</v>
      </c>
      <c r="T263" s="80">
        <f t="shared" si="453"/>
        <v>-0.43014942727401284</v>
      </c>
      <c r="U263" s="80">
        <f t="shared" si="453"/>
        <v>0.60004856994624189</v>
      </c>
      <c r="V263" s="80">
        <f t="shared" si="453"/>
        <v>6.1588112778184909</v>
      </c>
      <c r="W263" s="41">
        <f t="shared" si="453"/>
        <v>-4.0636470128855935</v>
      </c>
      <c r="X263" s="80">
        <f t="shared" si="453"/>
        <v>-4.9705517412523781</v>
      </c>
      <c r="Y263" s="80">
        <f t="shared" si="453"/>
        <v>-2.1728182131769573</v>
      </c>
      <c r="Z263" s="80">
        <f t="shared" si="453"/>
        <v>-1.331346154364206</v>
      </c>
      <c r="AA263" s="41">
        <f t="shared" si="453"/>
        <v>-0.80302644080365204</v>
      </c>
      <c r="AB263" s="80">
        <f t="shared" si="453"/>
        <v>-1.1597222222222223</v>
      </c>
      <c r="AC263" s="80">
        <f t="shared" si="453"/>
        <v>-1.3705882352941177</v>
      </c>
      <c r="AD263" s="80">
        <f t="shared" si="453"/>
        <v>-1.8292682926829267</v>
      </c>
      <c r="AE263" s="41">
        <f t="shared" si="453"/>
        <v>-29.235294117647058</v>
      </c>
      <c r="AF263" s="80">
        <f t="shared" si="453"/>
        <v>1.347826086956522</v>
      </c>
      <c r="AG263" s="80">
        <f t="shared" si="453"/>
        <v>4.1111111111111107</v>
      </c>
      <c r="AH263" s="80">
        <f t="shared" si="453"/>
        <v>-0.73529411764705888</v>
      </c>
      <c r="AI263" s="41">
        <f t="shared" si="453"/>
        <v>-0.9375</v>
      </c>
      <c r="AJ263" s="80">
        <f t="shared" si="453"/>
        <v>-0.79629629629629628</v>
      </c>
      <c r="AK263" s="80">
        <f t="shared" si="453"/>
        <v>-1.015527950310559</v>
      </c>
      <c r="AL263" s="80">
        <f t="shared" si="453"/>
        <v>-1.8888888888888888</v>
      </c>
      <c r="AM263" s="41">
        <f t="shared" si="453"/>
        <v>-0.9</v>
      </c>
      <c r="AN263" s="80">
        <f t="shared" si="453"/>
        <v>-0.63636363636363635</v>
      </c>
      <c r="AO263" s="80">
        <f t="shared" si="453"/>
        <v>-2</v>
      </c>
      <c r="AP263" s="80">
        <f t="shared" si="453"/>
        <v>-3.1666666666666665</v>
      </c>
      <c r="AQ263" s="41">
        <f t="shared" si="453"/>
        <v>-1</v>
      </c>
      <c r="AR263" s="80">
        <f t="shared" si="453"/>
        <v>-2.5</v>
      </c>
      <c r="AS263" s="80">
        <f t="shared" si="453"/>
        <v>-1</v>
      </c>
      <c r="BL263" s="106"/>
      <c r="BM263" s="80"/>
      <c r="BN263" s="83"/>
      <c r="BO263" s="83">
        <f>BO261/BN261-1</f>
        <v>1.3075399489727406</v>
      </c>
      <c r="BP263" s="83">
        <f>BP261/BO261-1</f>
        <v>0.13601602242363375</v>
      </c>
      <c r="BQ263" s="83">
        <f>BQ261/BP261-1</f>
        <v>0.98978054204961241</v>
      </c>
      <c r="BR263" s="83">
        <f>BR261/BQ261-1</f>
        <v>-1.973989753799418</v>
      </c>
      <c r="BS263" s="80">
        <f>BS261/BO261-1</f>
        <v>2.2394004199581978</v>
      </c>
      <c r="BT263" s="80">
        <f>BT261/BP261-1</f>
        <v>0.84838149227991266</v>
      </c>
      <c r="BU263" s="41">
        <f>BU261/BQ261-1</f>
        <v>-1.032180278209232</v>
      </c>
      <c r="BV263" s="83"/>
      <c r="CB263" s="18"/>
      <c r="CC263" s="18"/>
      <c r="CD263" s="18"/>
      <c r="CE263" s="18"/>
      <c r="CF263" s="18"/>
      <c r="CG263" s="18"/>
      <c r="CH263" s="18"/>
      <c r="CI263" s="80"/>
      <c r="CJ263" s="83"/>
      <c r="CK263" s="80"/>
      <c r="CL263" s="80"/>
      <c r="CM263" s="80"/>
      <c r="CN263" s="80"/>
      <c r="CO263" s="80"/>
      <c r="CP263" s="83"/>
      <c r="CQ263" s="83"/>
      <c r="CR263" s="83"/>
      <c r="CS263" s="117"/>
    </row>
    <row r="264" spans="1:97" ht="14.25" hidden="1" customHeight="1" outlineLevel="1">
      <c r="A264" s="18"/>
      <c r="B264" s="82" t="s">
        <v>201</v>
      </c>
      <c r="C264" s="79"/>
      <c r="D264" s="80"/>
      <c r="E264" s="80"/>
      <c r="F264" s="80"/>
      <c r="G264" s="41"/>
      <c r="H264" s="80" t="e">
        <f t="shared" ref="H264:AR264" si="454">H261/H$59</f>
        <v>#DIV/0!</v>
      </c>
      <c r="I264" s="80" t="e">
        <f t="shared" si="454"/>
        <v>#DIV/0!</v>
      </c>
      <c r="J264" s="80" t="e">
        <f t="shared" si="454"/>
        <v>#DIV/0!</v>
      </c>
      <c r="K264" s="41" t="e">
        <f t="shared" si="454"/>
        <v>#DIV/0!</v>
      </c>
      <c r="L264" s="80" t="e">
        <f t="shared" si="454"/>
        <v>#DIV/0!</v>
      </c>
      <c r="M264" s="80" t="e">
        <f t="shared" si="454"/>
        <v>#DIV/0!</v>
      </c>
      <c r="N264" s="80" t="e">
        <f t="shared" si="454"/>
        <v>#DIV/0!</v>
      </c>
      <c r="O264" s="41" t="e">
        <f t="shared" si="454"/>
        <v>#DIV/0!</v>
      </c>
      <c r="P264" s="80" t="e">
        <f t="shared" si="454"/>
        <v>#DIV/0!</v>
      </c>
      <c r="Q264" s="80" t="e">
        <f t="shared" si="454"/>
        <v>#DIV/0!</v>
      </c>
      <c r="R264" s="80" t="e">
        <f t="shared" si="454"/>
        <v>#DIV/0!</v>
      </c>
      <c r="S264" s="41" t="e">
        <f t="shared" si="454"/>
        <v>#DIV/0!</v>
      </c>
      <c r="T264" s="80" t="e">
        <f t="shared" si="454"/>
        <v>#DIV/0!</v>
      </c>
      <c r="U264" s="80" t="e">
        <f t="shared" si="454"/>
        <v>#DIV/0!</v>
      </c>
      <c r="V264" s="80" t="e">
        <f t="shared" si="454"/>
        <v>#DIV/0!</v>
      </c>
      <c r="W264" s="41" t="e">
        <f t="shared" si="454"/>
        <v>#DIV/0!</v>
      </c>
      <c r="X264" s="80" t="e">
        <f t="shared" si="454"/>
        <v>#DIV/0!</v>
      </c>
      <c r="Y264" s="80" t="e">
        <f t="shared" si="454"/>
        <v>#DIV/0!</v>
      </c>
      <c r="Z264" s="80" t="e">
        <f t="shared" si="454"/>
        <v>#DIV/0!</v>
      </c>
      <c r="AA264" s="41" t="e">
        <f t="shared" si="454"/>
        <v>#DIV/0!</v>
      </c>
      <c r="AB264" s="80" t="e">
        <f t="shared" si="454"/>
        <v>#DIV/0!</v>
      </c>
      <c r="AC264" s="80" t="e">
        <f t="shared" si="454"/>
        <v>#DIV/0!</v>
      </c>
      <c r="AD264" s="80" t="e">
        <f t="shared" si="454"/>
        <v>#DIV/0!</v>
      </c>
      <c r="AE264" s="41" t="e">
        <f t="shared" si="454"/>
        <v>#DIV/0!</v>
      </c>
      <c r="AF264" s="80" t="e">
        <f t="shared" si="454"/>
        <v>#DIV/0!</v>
      </c>
      <c r="AG264" s="80" t="e">
        <f t="shared" si="454"/>
        <v>#DIV/0!</v>
      </c>
      <c r="AH264" s="80" t="e">
        <f t="shared" si="454"/>
        <v>#DIV/0!</v>
      </c>
      <c r="AI264" s="41" t="e">
        <f t="shared" si="454"/>
        <v>#DIV/0!</v>
      </c>
      <c r="AJ264" s="80" t="e">
        <f t="shared" si="454"/>
        <v>#DIV/0!</v>
      </c>
      <c r="AK264" s="80" t="e">
        <f t="shared" si="454"/>
        <v>#DIV/0!</v>
      </c>
      <c r="AL264" s="80" t="e">
        <f t="shared" si="454"/>
        <v>#DIV/0!</v>
      </c>
      <c r="AM264" s="41" t="e">
        <f t="shared" si="454"/>
        <v>#DIV/0!</v>
      </c>
      <c r="AN264" s="80">
        <f t="shared" si="454"/>
        <v>-0.11764705882352941</v>
      </c>
      <c r="AO264" s="80">
        <f t="shared" si="454"/>
        <v>-0.10638297872340426</v>
      </c>
      <c r="AP264" s="80">
        <f t="shared" si="454"/>
        <v>-2.1666666666666665</v>
      </c>
      <c r="AQ264" s="41">
        <f t="shared" si="454"/>
        <v>0</v>
      </c>
      <c r="AR264" s="80">
        <f t="shared" si="454"/>
        <v>0.25</v>
      </c>
      <c r="AS264" s="80">
        <f>AS261/AS$59</f>
        <v>0</v>
      </c>
      <c r="BL264" s="106"/>
      <c r="BM264" s="83"/>
      <c r="BN264" s="83" t="e">
        <f t="shared" ref="BN264:BT264" si="455">BN261/BN$59</f>
        <v>#DIV/0!</v>
      </c>
      <c r="BO264" s="83" t="e">
        <f t="shared" si="455"/>
        <v>#DIV/0!</v>
      </c>
      <c r="BP264" s="83" t="e">
        <f t="shared" si="455"/>
        <v>#DIV/0!</v>
      </c>
      <c r="BQ264" s="83" t="e">
        <f t="shared" si="455"/>
        <v>#DIV/0!</v>
      </c>
      <c r="BR264" s="83" t="e">
        <f t="shared" si="455"/>
        <v>#DIV/0!</v>
      </c>
      <c r="BS264" s="80" t="e">
        <f t="shared" si="455"/>
        <v>#DIV/0!</v>
      </c>
      <c r="BT264" s="80" t="e">
        <f t="shared" si="455"/>
        <v>#DIV/0!</v>
      </c>
      <c r="BU264" s="41">
        <f>BU261/BU$8</f>
        <v>2.5092004014720644E-3</v>
      </c>
      <c r="BV264" s="83"/>
      <c r="CB264" s="18"/>
      <c r="CC264" s="18"/>
      <c r="CD264" s="18"/>
      <c r="CE264" s="18"/>
      <c r="CF264" s="18"/>
      <c r="CG264" s="18"/>
      <c r="CH264" s="18"/>
      <c r="CI264" s="83"/>
      <c r="CJ264" s="83"/>
      <c r="CK264" s="80"/>
      <c r="CL264" s="80"/>
      <c r="CM264" s="80"/>
      <c r="CN264" s="80"/>
      <c r="CO264" s="80"/>
      <c r="CP264" s="83"/>
      <c r="CQ264" s="83"/>
      <c r="CR264" s="83"/>
      <c r="CS264" s="117"/>
    </row>
    <row r="265" spans="1:97" ht="14.25" hidden="1" customHeight="1" outlineLevel="1">
      <c r="A265" s="18"/>
      <c r="B265" s="82"/>
      <c r="C265" s="79"/>
      <c r="D265" s="80"/>
      <c r="E265" s="80"/>
      <c r="F265" s="80"/>
      <c r="G265" s="41"/>
      <c r="H265" s="80"/>
      <c r="I265" s="80"/>
      <c r="J265" s="80"/>
      <c r="K265" s="41"/>
      <c r="L265" s="80"/>
      <c r="M265" s="80"/>
      <c r="N265" s="80"/>
      <c r="O265" s="41"/>
      <c r="P265" s="80"/>
      <c r="Q265" s="80"/>
      <c r="R265" s="80"/>
      <c r="S265" s="41"/>
      <c r="T265" s="80"/>
      <c r="U265" s="80"/>
      <c r="V265" s="80"/>
      <c r="W265" s="41"/>
      <c r="X265" s="80"/>
      <c r="Y265" s="80"/>
      <c r="Z265" s="80"/>
      <c r="AA265" s="41"/>
      <c r="AB265" s="80"/>
      <c r="AC265" s="80"/>
      <c r="AD265" s="80"/>
      <c r="AE265" s="41"/>
      <c r="AF265" s="80"/>
      <c r="AG265" s="80"/>
      <c r="AH265" s="80"/>
      <c r="AI265" s="41"/>
      <c r="AJ265" s="80"/>
      <c r="AK265" s="80"/>
      <c r="AL265" s="51"/>
      <c r="AM265" s="52"/>
      <c r="AN265" s="80"/>
      <c r="AO265" s="80"/>
      <c r="AP265" s="80"/>
      <c r="AQ265" s="52"/>
      <c r="AR265" s="80"/>
      <c r="AS265" s="80"/>
      <c r="BL265" s="106"/>
      <c r="BM265" s="37"/>
      <c r="BN265" s="37"/>
      <c r="BO265" s="37"/>
      <c r="BP265" s="37"/>
      <c r="BQ265" s="37"/>
      <c r="BR265" s="37"/>
      <c r="BS265" s="37"/>
      <c r="BT265" s="37"/>
      <c r="BU265" s="118"/>
      <c r="BV265" s="37"/>
      <c r="CB265" s="18"/>
      <c r="CC265" s="18"/>
      <c r="CD265" s="18"/>
      <c r="CE265" s="18"/>
      <c r="CF265" s="18"/>
      <c r="CG265" s="18"/>
      <c r="CH265" s="18"/>
      <c r="CI265" s="37"/>
      <c r="CJ265" s="37"/>
      <c r="CK265" s="37"/>
      <c r="CL265" s="37"/>
      <c r="CM265" s="37"/>
      <c r="CN265" s="37"/>
      <c r="CO265" s="37"/>
      <c r="CP265" s="37"/>
      <c r="CQ265" s="37"/>
      <c r="CR265" s="37"/>
      <c r="CS265" s="118"/>
    </row>
    <row r="266" spans="1:97" ht="14.25" hidden="1" customHeight="1" outlineLevel="1">
      <c r="A266" s="18"/>
      <c r="B266" s="19" t="s">
        <v>202</v>
      </c>
      <c r="C266" s="26"/>
      <c r="D266" s="49"/>
      <c r="E266" s="49"/>
      <c r="F266" s="49"/>
      <c r="G266" s="50"/>
      <c r="H266" s="49">
        <f>-168.71+3.278</f>
        <v>-165.43200000000002</v>
      </c>
      <c r="I266" s="49">
        <f>-161.354-25.044</f>
        <v>-186.39800000000002</v>
      </c>
      <c r="J266" s="49">
        <f>-188.501-1.616</f>
        <v>-190.11700000000002</v>
      </c>
      <c r="K266" s="50">
        <f>-680.832-26.421-J266-I266-H266</f>
        <v>-165.30599999999993</v>
      </c>
      <c r="L266" s="49">
        <f>-157.839-48.986</f>
        <v>-206.82499999999999</v>
      </c>
      <c r="M266" s="49">
        <f>-157.122-0.51</f>
        <v>-157.63200000000001</v>
      </c>
      <c r="N266" s="49">
        <f>-106.295-0.138</f>
        <v>-106.43300000000001</v>
      </c>
      <c r="O266" s="50">
        <f>-495.351-39.948-N266-M266-L266</f>
        <v>-64.408999999999992</v>
      </c>
      <c r="P266" s="49">
        <f>-92.947-132.772</f>
        <v>-225.71899999999999</v>
      </c>
      <c r="Q266" s="49">
        <f>-89.754-26.709</f>
        <v>-116.46300000000001</v>
      </c>
      <c r="R266" s="49">
        <v>-108.80800000000001</v>
      </c>
      <c r="S266" s="50">
        <f>-370.794-155.788-R266-Q266-P266</f>
        <v>-75.591999999999985</v>
      </c>
      <c r="T266" s="49">
        <f>-137.626-103.844</f>
        <v>-241.47</v>
      </c>
      <c r="U266" s="49">
        <f>-137.411-8.968</f>
        <v>-146.37899999999999</v>
      </c>
      <c r="V266" s="49">
        <f>-138.889+19.943</f>
        <v>-118.94600000000001</v>
      </c>
      <c r="W266" s="50">
        <f>-554.427-92.929-V266-U266-T266</f>
        <v>-140.56099999999995</v>
      </c>
      <c r="X266" s="49">
        <f>-127+1</f>
        <v>-126</v>
      </c>
      <c r="Y266" s="49">
        <f>-126+20</f>
        <v>-106</v>
      </c>
      <c r="Z266" s="49">
        <f>-120+28</f>
        <v>-92</v>
      </c>
      <c r="AA266" s="50">
        <v>-125</v>
      </c>
      <c r="AB266" s="49">
        <v>-181</v>
      </c>
      <c r="AC266" s="49">
        <v>-148</v>
      </c>
      <c r="AD266" s="49">
        <v>-135</v>
      </c>
      <c r="AE266" s="50">
        <v>-227</v>
      </c>
      <c r="AF266" s="49">
        <v>-133</v>
      </c>
      <c r="AG266" s="49">
        <v>-166</v>
      </c>
      <c r="AH266" s="49">
        <v>-116</v>
      </c>
      <c r="AI266" s="50">
        <v>-106</v>
      </c>
      <c r="AJ266" s="49">
        <v>-124</v>
      </c>
      <c r="AK266" s="49">
        <v>-183</v>
      </c>
      <c r="AL266" s="49">
        <v>-193</v>
      </c>
      <c r="AM266" s="128">
        <v>-88</v>
      </c>
      <c r="AN266" s="49">
        <v>-70</v>
      </c>
      <c r="AO266" s="49">
        <f>-148-29+14</f>
        <v>-163</v>
      </c>
      <c r="AP266" s="49">
        <f>-154-1-3</f>
        <v>-158</v>
      </c>
      <c r="AQ266" s="128">
        <v>-85</v>
      </c>
      <c r="AR266" s="49">
        <v>-111</v>
      </c>
      <c r="AS266" s="49">
        <f>-48-91</f>
        <v>-139</v>
      </c>
      <c r="BL266" s="106"/>
      <c r="BM266" s="34"/>
      <c r="BN266" s="34">
        <f>SUM(H266:K266)</f>
        <v>-707.25300000000004</v>
      </c>
      <c r="BO266" s="34">
        <f>SUM(L266:O266)</f>
        <v>-535.29899999999998</v>
      </c>
      <c r="BP266" s="34">
        <f>SUM(P266:S266)</f>
        <v>-526.58199999999999</v>
      </c>
      <c r="BQ266" s="34">
        <f>SUM(T266:W266)</f>
        <v>-647.35599999999999</v>
      </c>
      <c r="BR266" s="34">
        <f>SUM(X266:AA266)</f>
        <v>-449</v>
      </c>
      <c r="BS266" s="34">
        <f>SUM(AB266:AE266)</f>
        <v>-691</v>
      </c>
      <c r="BT266" s="34">
        <f>SUM(AF266:AI266)</f>
        <v>-521</v>
      </c>
      <c r="BU266" s="114">
        <f>SUM(AJ266:AM266)</f>
        <v>-588</v>
      </c>
      <c r="BV266" s="34"/>
      <c r="CB266" s="18"/>
      <c r="CC266" s="18"/>
      <c r="CD266" s="18"/>
      <c r="CE266" s="18"/>
      <c r="CF266" s="18"/>
      <c r="CG266" s="18"/>
      <c r="CH266" s="18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114"/>
    </row>
    <row r="267" spans="1:97" ht="14.25" hidden="1" customHeight="1" outlineLevel="1">
      <c r="A267" s="18"/>
      <c r="B267" s="82" t="s">
        <v>186</v>
      </c>
      <c r="C267" s="79"/>
      <c r="D267" s="80"/>
      <c r="E267" s="80"/>
      <c r="F267" s="80"/>
      <c r="G267" s="41"/>
      <c r="H267" s="80"/>
      <c r="I267" s="80">
        <f t="shared" ref="I267:AS267" si="456">I266/H266-1</f>
        <v>0.12673485178200106</v>
      </c>
      <c r="J267" s="80">
        <f t="shared" si="456"/>
        <v>1.9951930814708252E-2</v>
      </c>
      <c r="K267" s="41">
        <f t="shared" si="456"/>
        <v>-0.13050384763067002</v>
      </c>
      <c r="L267" s="80">
        <f t="shared" si="456"/>
        <v>0.2511645070354378</v>
      </c>
      <c r="M267" s="80">
        <f t="shared" si="456"/>
        <v>-0.23784842257947536</v>
      </c>
      <c r="N267" s="80">
        <f t="shared" si="456"/>
        <v>-0.32480080186764104</v>
      </c>
      <c r="O267" s="41">
        <f t="shared" si="456"/>
        <v>-0.39483994625726992</v>
      </c>
      <c r="P267" s="80">
        <f t="shared" si="456"/>
        <v>2.5044636619106031</v>
      </c>
      <c r="Q267" s="80">
        <f t="shared" si="456"/>
        <v>-0.48403546001887299</v>
      </c>
      <c r="R267" s="80">
        <f t="shared" si="456"/>
        <v>-6.5729029820629781E-2</v>
      </c>
      <c r="S267" s="41">
        <f t="shared" si="456"/>
        <v>-0.30527167120064724</v>
      </c>
      <c r="T267" s="80">
        <f t="shared" si="456"/>
        <v>2.1943856492750564</v>
      </c>
      <c r="U267" s="80">
        <f t="shared" si="456"/>
        <v>-0.39380047210833646</v>
      </c>
      <c r="V267" s="80">
        <f t="shared" si="456"/>
        <v>-0.1874107624727589</v>
      </c>
      <c r="W267" s="41">
        <f t="shared" si="456"/>
        <v>0.18172111714559502</v>
      </c>
      <c r="X267" s="80">
        <f t="shared" si="456"/>
        <v>-0.10359203477493728</v>
      </c>
      <c r="Y267" s="80">
        <f t="shared" si="456"/>
        <v>-0.15873015873015872</v>
      </c>
      <c r="Z267" s="80">
        <f t="shared" si="456"/>
        <v>-0.13207547169811318</v>
      </c>
      <c r="AA267" s="41">
        <f t="shared" si="456"/>
        <v>0.35869565217391308</v>
      </c>
      <c r="AB267" s="80">
        <f t="shared" si="456"/>
        <v>0.44799999999999995</v>
      </c>
      <c r="AC267" s="80">
        <f t="shared" si="456"/>
        <v>-0.18232044198895025</v>
      </c>
      <c r="AD267" s="80">
        <f t="shared" si="456"/>
        <v>-8.7837837837837829E-2</v>
      </c>
      <c r="AE267" s="41">
        <f t="shared" si="456"/>
        <v>0.68148148148148158</v>
      </c>
      <c r="AF267" s="80">
        <f t="shared" si="456"/>
        <v>-0.41409691629955947</v>
      </c>
      <c r="AG267" s="80">
        <f t="shared" si="456"/>
        <v>0.24812030075187974</v>
      </c>
      <c r="AH267" s="80">
        <f t="shared" si="456"/>
        <v>-0.3012048192771084</v>
      </c>
      <c r="AI267" s="41">
        <f t="shared" si="456"/>
        <v>-8.6206896551724088E-2</v>
      </c>
      <c r="AJ267" s="80">
        <f t="shared" si="456"/>
        <v>0.16981132075471694</v>
      </c>
      <c r="AK267" s="80">
        <f t="shared" si="456"/>
        <v>0.47580645161290325</v>
      </c>
      <c r="AL267" s="80">
        <f t="shared" si="456"/>
        <v>5.464480874316946E-2</v>
      </c>
      <c r="AM267" s="41">
        <f t="shared" si="456"/>
        <v>-0.54404145077720201</v>
      </c>
      <c r="AN267" s="80">
        <f t="shared" si="456"/>
        <v>-0.20454545454545459</v>
      </c>
      <c r="AO267" s="80">
        <f t="shared" si="456"/>
        <v>1.3285714285714287</v>
      </c>
      <c r="AP267" s="80">
        <f t="shared" si="456"/>
        <v>-3.0674846625766916E-2</v>
      </c>
      <c r="AQ267" s="41">
        <f t="shared" si="456"/>
        <v>-0.46202531645569622</v>
      </c>
      <c r="AR267" s="80">
        <f t="shared" si="456"/>
        <v>0.30588235294117649</v>
      </c>
      <c r="AS267" s="80">
        <f t="shared" si="456"/>
        <v>0.25225225225225234</v>
      </c>
      <c r="BL267" s="106"/>
      <c r="BM267" s="81"/>
      <c r="BN267" s="81"/>
      <c r="BO267" s="81"/>
      <c r="BP267" s="81"/>
      <c r="BQ267" s="81"/>
      <c r="BR267" s="81"/>
      <c r="BS267" s="80">
        <f>BS266/BR266-1</f>
        <v>0.53897550111358572</v>
      </c>
      <c r="BT267" s="80">
        <f>BT266/BS266-1</f>
        <v>-0.24602026049204051</v>
      </c>
      <c r="BU267" s="41">
        <f>BU266/BT266-1</f>
        <v>0.12859884836852209</v>
      </c>
      <c r="BV267" s="81"/>
      <c r="CB267" s="18"/>
      <c r="CC267" s="18"/>
      <c r="CD267" s="18"/>
      <c r="CE267" s="18"/>
      <c r="CF267" s="18"/>
      <c r="CG267" s="18"/>
      <c r="CH267" s="18"/>
      <c r="CI267" s="81"/>
      <c r="CJ267" s="81"/>
      <c r="CK267" s="80"/>
      <c r="CL267" s="80"/>
      <c r="CM267" s="80"/>
      <c r="CN267" s="80"/>
      <c r="CO267" s="80"/>
      <c r="CP267" s="81"/>
      <c r="CQ267" s="81"/>
      <c r="CR267" s="81"/>
      <c r="CS267" s="115"/>
    </row>
    <row r="268" spans="1:97" ht="14.25" hidden="1" customHeight="1" outlineLevel="1">
      <c r="A268" s="18"/>
      <c r="B268" s="82" t="s">
        <v>187</v>
      </c>
      <c r="C268" s="82"/>
      <c r="D268" s="80"/>
      <c r="E268" s="80"/>
      <c r="F268" s="80"/>
      <c r="G268" s="41"/>
      <c r="H268" s="80"/>
      <c r="I268" s="80"/>
      <c r="J268" s="80"/>
      <c r="K268" s="41"/>
      <c r="L268" s="80">
        <f t="shared" ref="L268:AS268" si="457">L266/H266-1</f>
        <v>0.25021156729048766</v>
      </c>
      <c r="M268" s="80">
        <f t="shared" si="457"/>
        <v>-0.15432569018980902</v>
      </c>
      <c r="N268" s="80">
        <f t="shared" si="457"/>
        <v>-0.44017105256236955</v>
      </c>
      <c r="O268" s="41">
        <f t="shared" si="457"/>
        <v>-0.61036502002347148</v>
      </c>
      <c r="P268" s="80">
        <f t="shared" si="457"/>
        <v>9.1352592771666963E-2</v>
      </c>
      <c r="Q268" s="80">
        <f t="shared" si="457"/>
        <v>-0.26117158952496955</v>
      </c>
      <c r="R268" s="80">
        <f t="shared" si="457"/>
        <v>2.2314507718470766E-2</v>
      </c>
      <c r="S268" s="41">
        <f t="shared" si="457"/>
        <v>0.17362480398702029</v>
      </c>
      <c r="T268" s="80">
        <f t="shared" si="457"/>
        <v>6.9781453931658355E-2</v>
      </c>
      <c r="U268" s="80">
        <f t="shared" si="457"/>
        <v>0.25687128100770185</v>
      </c>
      <c r="V268" s="80">
        <f t="shared" si="457"/>
        <v>9.3173296081170642E-2</v>
      </c>
      <c r="W268" s="41">
        <f t="shared" si="457"/>
        <v>0.85946925600592627</v>
      </c>
      <c r="X268" s="80">
        <f t="shared" si="457"/>
        <v>-0.47819604919865821</v>
      </c>
      <c r="Y268" s="80">
        <f t="shared" si="457"/>
        <v>-0.2758524105233674</v>
      </c>
      <c r="Z268" s="80">
        <f t="shared" si="457"/>
        <v>-0.22653977435138639</v>
      </c>
      <c r="AA268" s="41">
        <f t="shared" si="457"/>
        <v>-0.11070638370529484</v>
      </c>
      <c r="AB268" s="80">
        <f t="shared" si="457"/>
        <v>0.43650793650793651</v>
      </c>
      <c r="AC268" s="80">
        <f t="shared" si="457"/>
        <v>0.39622641509433953</v>
      </c>
      <c r="AD268" s="80">
        <f t="shared" si="457"/>
        <v>0.46739130434782616</v>
      </c>
      <c r="AE268" s="41">
        <f t="shared" si="457"/>
        <v>0.81600000000000006</v>
      </c>
      <c r="AF268" s="80">
        <f t="shared" si="457"/>
        <v>-0.26519337016574585</v>
      </c>
      <c r="AG268" s="80">
        <f t="shared" si="457"/>
        <v>0.12162162162162171</v>
      </c>
      <c r="AH268" s="80">
        <f t="shared" si="457"/>
        <v>-0.14074074074074072</v>
      </c>
      <c r="AI268" s="41">
        <f t="shared" si="457"/>
        <v>-0.53303964757709243</v>
      </c>
      <c r="AJ268" s="80">
        <f t="shared" si="457"/>
        <v>-6.7669172932330879E-2</v>
      </c>
      <c r="AK268" s="80">
        <f t="shared" si="457"/>
        <v>0.10240963855421681</v>
      </c>
      <c r="AL268" s="80">
        <f t="shared" si="457"/>
        <v>0.6637931034482758</v>
      </c>
      <c r="AM268" s="41">
        <f t="shared" si="457"/>
        <v>-0.16981132075471694</v>
      </c>
      <c r="AN268" s="80">
        <f t="shared" si="457"/>
        <v>-0.43548387096774188</v>
      </c>
      <c r="AO268" s="80">
        <f t="shared" si="457"/>
        <v>-0.10928961748633881</v>
      </c>
      <c r="AP268" s="80">
        <f t="shared" si="457"/>
        <v>-0.18134715025906734</v>
      </c>
      <c r="AQ268" s="41">
        <f t="shared" si="457"/>
        <v>-3.4090909090909061E-2</v>
      </c>
      <c r="AR268" s="80">
        <f t="shared" si="457"/>
        <v>0.58571428571428563</v>
      </c>
      <c r="AS268" s="80">
        <f t="shared" si="457"/>
        <v>-0.14723926380368102</v>
      </c>
      <c r="BL268" s="106"/>
      <c r="BM268" s="80"/>
      <c r="BN268" s="83"/>
      <c r="BO268" s="83">
        <f>BO266/BN266-1</f>
        <v>-0.24312940348079126</v>
      </c>
      <c r="BP268" s="83">
        <f>BP266/BO266-1</f>
        <v>-1.6284356966854041E-2</v>
      </c>
      <c r="BQ268" s="83">
        <f>BQ266/BP266-1</f>
        <v>0.22935459244714029</v>
      </c>
      <c r="BR268" s="83">
        <f>BR266/BQ266-1</f>
        <v>-0.3064094563115195</v>
      </c>
      <c r="BS268" s="80">
        <f>BS266/BO266-1</f>
        <v>0.29086734703408745</v>
      </c>
      <c r="BT268" s="80">
        <f>BT266/BP266-1</f>
        <v>-1.0600438298308701E-2</v>
      </c>
      <c r="BU268" s="41">
        <f>BU266/BQ266-1</f>
        <v>-9.1689889334461983E-2</v>
      </c>
      <c r="BV268" s="83"/>
      <c r="CB268" s="18"/>
      <c r="CC268" s="18"/>
      <c r="CD268" s="18"/>
      <c r="CE268" s="18"/>
      <c r="CF268" s="18"/>
      <c r="CG268" s="18"/>
      <c r="CH268" s="18"/>
      <c r="CI268" s="80"/>
      <c r="CJ268" s="83"/>
      <c r="CK268" s="80"/>
      <c r="CL268" s="80"/>
      <c r="CM268" s="80"/>
      <c r="CN268" s="80"/>
      <c r="CO268" s="80"/>
      <c r="CP268" s="83"/>
      <c r="CQ268" s="83"/>
      <c r="CR268" s="83"/>
      <c r="CS268" s="117"/>
    </row>
    <row r="269" spans="1:97" ht="14.25" hidden="1" customHeight="1" outlineLevel="1">
      <c r="A269" s="18"/>
      <c r="B269" s="82" t="s">
        <v>201</v>
      </c>
      <c r="C269" s="79"/>
      <c r="D269" s="80"/>
      <c r="E269" s="80"/>
      <c r="F269" s="80"/>
      <c r="G269" s="41"/>
      <c r="H269" s="80" t="e">
        <f t="shared" ref="H269:AR269" si="458">H266/H$77</f>
        <v>#DIV/0!</v>
      </c>
      <c r="I269" s="80" t="e">
        <f t="shared" si="458"/>
        <v>#DIV/0!</v>
      </c>
      <c r="J269" s="80" t="e">
        <f t="shared" si="458"/>
        <v>#DIV/0!</v>
      </c>
      <c r="K269" s="41" t="e">
        <f t="shared" si="458"/>
        <v>#DIV/0!</v>
      </c>
      <c r="L269" s="80" t="e">
        <f t="shared" si="458"/>
        <v>#DIV/0!</v>
      </c>
      <c r="M269" s="80" t="e">
        <f t="shared" si="458"/>
        <v>#DIV/0!</v>
      </c>
      <c r="N269" s="80" t="e">
        <f t="shared" si="458"/>
        <v>#DIV/0!</v>
      </c>
      <c r="O269" s="41" t="e">
        <f t="shared" si="458"/>
        <v>#DIV/0!</v>
      </c>
      <c r="P269" s="80" t="e">
        <f t="shared" si="458"/>
        <v>#DIV/0!</v>
      </c>
      <c r="Q269" s="80" t="e">
        <f t="shared" si="458"/>
        <v>#DIV/0!</v>
      </c>
      <c r="R269" s="80" t="e">
        <f t="shared" si="458"/>
        <v>#DIV/0!</v>
      </c>
      <c r="S269" s="41" t="e">
        <f t="shared" si="458"/>
        <v>#DIV/0!</v>
      </c>
      <c r="T269" s="80" t="e">
        <f t="shared" si="458"/>
        <v>#DIV/0!</v>
      </c>
      <c r="U269" s="80" t="e">
        <f t="shared" si="458"/>
        <v>#DIV/0!</v>
      </c>
      <c r="V269" s="80" t="e">
        <f t="shared" si="458"/>
        <v>#DIV/0!</v>
      </c>
      <c r="W269" s="41" t="e">
        <f t="shared" si="458"/>
        <v>#DIV/0!</v>
      </c>
      <c r="X269" s="80" t="e">
        <f t="shared" si="458"/>
        <v>#DIV/0!</v>
      </c>
      <c r="Y269" s="80" t="e">
        <f t="shared" si="458"/>
        <v>#DIV/0!</v>
      </c>
      <c r="Z269" s="80" t="e">
        <f t="shared" si="458"/>
        <v>#DIV/0!</v>
      </c>
      <c r="AA269" s="41" t="e">
        <f t="shared" si="458"/>
        <v>#DIV/0!</v>
      </c>
      <c r="AB269" s="80" t="e">
        <f t="shared" si="458"/>
        <v>#DIV/0!</v>
      </c>
      <c r="AC269" s="80" t="e">
        <f t="shared" si="458"/>
        <v>#DIV/0!</v>
      </c>
      <c r="AD269" s="80" t="e">
        <f t="shared" si="458"/>
        <v>#DIV/0!</v>
      </c>
      <c r="AE269" s="41" t="e">
        <f t="shared" si="458"/>
        <v>#DIV/0!</v>
      </c>
      <c r="AF269" s="80" t="e">
        <f t="shared" si="458"/>
        <v>#DIV/0!</v>
      </c>
      <c r="AG269" s="80" t="e">
        <f t="shared" si="458"/>
        <v>#DIV/0!</v>
      </c>
      <c r="AH269" s="80" t="e">
        <f t="shared" si="458"/>
        <v>#DIV/0!</v>
      </c>
      <c r="AI269" s="41" t="e">
        <f t="shared" si="458"/>
        <v>#DIV/0!</v>
      </c>
      <c r="AJ269" s="80" t="e">
        <f t="shared" si="458"/>
        <v>#DIV/0!</v>
      </c>
      <c r="AK269" s="80" t="e">
        <f t="shared" si="458"/>
        <v>#DIV/0!</v>
      </c>
      <c r="AL269" s="80" t="e">
        <f t="shared" si="458"/>
        <v>#DIV/0!</v>
      </c>
      <c r="AM269" s="41" t="e">
        <f t="shared" si="458"/>
        <v>#DIV/0!</v>
      </c>
      <c r="AN269" s="80">
        <f t="shared" si="458"/>
        <v>-2.967359050445104E-2</v>
      </c>
      <c r="AO269" s="80">
        <f t="shared" si="458"/>
        <v>-6.6748566748566746E-2</v>
      </c>
      <c r="AP269" s="80">
        <f t="shared" si="458"/>
        <v>-6.3453815261044183E-2</v>
      </c>
      <c r="AQ269" s="41">
        <f t="shared" si="458"/>
        <v>-3.5895270270270271E-2</v>
      </c>
      <c r="AR269" s="80">
        <f t="shared" si="458"/>
        <v>-4.9180327868852458E-2</v>
      </c>
      <c r="AS269" s="80">
        <f>AS266/AS$77</f>
        <v>-5.6734693877551021E-2</v>
      </c>
      <c r="BL269" s="106"/>
      <c r="BM269" s="83"/>
      <c r="BN269" s="83" t="e">
        <f t="shared" ref="BN269:BU269" si="459">BN266/BN$77</f>
        <v>#DIV/0!</v>
      </c>
      <c r="BO269" s="83" t="e">
        <f t="shared" si="459"/>
        <v>#DIV/0!</v>
      </c>
      <c r="BP269" s="83" t="e">
        <f t="shared" si="459"/>
        <v>#DIV/0!</v>
      </c>
      <c r="BQ269" s="83" t="e">
        <f t="shared" si="459"/>
        <v>#DIV/0!</v>
      </c>
      <c r="BR269" s="83" t="e">
        <f t="shared" si="459"/>
        <v>#DIV/0!</v>
      </c>
      <c r="BS269" s="80" t="e">
        <f t="shared" si="459"/>
        <v>#DIV/0!</v>
      </c>
      <c r="BT269" s="80" t="e">
        <f t="shared" si="459"/>
        <v>#DIV/0!</v>
      </c>
      <c r="BU269" s="41">
        <f t="shared" si="459"/>
        <v>-6.4814814814814811E-2</v>
      </c>
      <c r="BV269" s="83"/>
      <c r="CB269" s="18"/>
      <c r="CC269" s="18"/>
      <c r="CD269" s="18"/>
      <c r="CE269" s="18"/>
      <c r="CF269" s="18"/>
      <c r="CG269" s="18"/>
      <c r="CH269" s="18"/>
      <c r="CI269" s="83"/>
      <c r="CJ269" s="83"/>
      <c r="CK269" s="80"/>
      <c r="CL269" s="80"/>
      <c r="CM269" s="80"/>
      <c r="CN269" s="80"/>
      <c r="CO269" s="80"/>
      <c r="CP269" s="83"/>
      <c r="CQ269" s="83"/>
      <c r="CR269" s="83"/>
      <c r="CS269" s="117"/>
    </row>
    <row r="270" spans="1:97" ht="14.25" hidden="1" customHeight="1" outlineLevel="1">
      <c r="A270" s="18"/>
      <c r="B270" s="79"/>
      <c r="C270" s="79"/>
      <c r="D270" s="80"/>
      <c r="E270" s="80"/>
      <c r="F270" s="80"/>
      <c r="G270" s="41"/>
      <c r="H270" s="80"/>
      <c r="I270" s="80"/>
      <c r="J270" s="80"/>
      <c r="K270" s="41"/>
      <c r="L270" s="80"/>
      <c r="M270" s="80"/>
      <c r="N270" s="80"/>
      <c r="O270" s="41"/>
      <c r="P270" s="80"/>
      <c r="Q270" s="80"/>
      <c r="R270" s="80"/>
      <c r="S270" s="41"/>
      <c r="T270" s="80"/>
      <c r="U270" s="80"/>
      <c r="V270" s="80"/>
      <c r="W270" s="41"/>
      <c r="X270" s="80"/>
      <c r="Y270" s="80"/>
      <c r="Z270" s="80"/>
      <c r="AA270" s="41"/>
      <c r="AB270" s="80"/>
      <c r="AC270" s="80"/>
      <c r="AD270" s="80"/>
      <c r="AE270" s="41"/>
      <c r="AF270" s="80"/>
      <c r="AG270" s="80"/>
      <c r="AH270" s="80"/>
      <c r="AI270" s="41"/>
      <c r="AJ270" s="80"/>
      <c r="AK270" s="80"/>
      <c r="AL270" s="51"/>
      <c r="AM270" s="52"/>
      <c r="AN270" s="80"/>
      <c r="AO270" s="80"/>
      <c r="AP270" s="80"/>
      <c r="AQ270" s="52"/>
      <c r="AR270" s="80"/>
      <c r="AS270" s="80"/>
      <c r="BL270" s="106"/>
      <c r="BM270" s="37"/>
      <c r="BN270" s="37"/>
      <c r="BO270" s="37"/>
      <c r="BP270" s="37"/>
      <c r="BQ270" s="37"/>
      <c r="BR270" s="37"/>
      <c r="BS270" s="37"/>
      <c r="BT270" s="37"/>
      <c r="BU270" s="118"/>
      <c r="BV270" s="37"/>
      <c r="CB270" s="18"/>
      <c r="CC270" s="18"/>
      <c r="CD270" s="18"/>
      <c r="CE270" s="18"/>
      <c r="CF270" s="18"/>
      <c r="CG270" s="18"/>
      <c r="CH270" s="18"/>
      <c r="CI270" s="37"/>
      <c r="CJ270" s="37"/>
      <c r="CK270" s="37"/>
      <c r="CL270" s="37"/>
      <c r="CM270" s="37"/>
      <c r="CN270" s="37"/>
      <c r="CO270" s="37"/>
      <c r="CP270" s="37"/>
      <c r="CQ270" s="37"/>
      <c r="CR270" s="37"/>
      <c r="CS270" s="118"/>
    </row>
    <row r="271" spans="1:97" ht="14.25" hidden="1" customHeight="1" outlineLevel="1">
      <c r="A271" s="18"/>
      <c r="B271" s="26" t="s">
        <v>203</v>
      </c>
      <c r="C271" s="26"/>
      <c r="D271" s="38"/>
      <c r="E271" s="38"/>
      <c r="F271" s="38"/>
      <c r="G271" s="39"/>
      <c r="H271" s="38">
        <f t="shared" ref="H271:AR271" si="460">SUM(H246,H251,H256,H261,H266)</f>
        <v>549.52600000000007</v>
      </c>
      <c r="I271" s="38">
        <f t="shared" si="460"/>
        <v>589.024</v>
      </c>
      <c r="J271" s="38">
        <f t="shared" si="460"/>
        <v>671.86199999999985</v>
      </c>
      <c r="K271" s="39">
        <f t="shared" si="460"/>
        <v>561.09400000000039</v>
      </c>
      <c r="L271" s="38">
        <f t="shared" si="460"/>
        <v>372.88299999999998</v>
      </c>
      <c r="M271" s="38">
        <f t="shared" si="460"/>
        <v>437.74100000000004</v>
      </c>
      <c r="N271" s="38">
        <f t="shared" si="460"/>
        <v>228.33200000000005</v>
      </c>
      <c r="O271" s="39">
        <f t="shared" si="460"/>
        <v>294.63800000000015</v>
      </c>
      <c r="P271" s="38">
        <f t="shared" si="460"/>
        <v>-196.09199999999998</v>
      </c>
      <c r="Q271" s="38">
        <f t="shared" si="460"/>
        <v>-293.28300000000002</v>
      </c>
      <c r="R271" s="38">
        <f t="shared" si="460"/>
        <v>-77.183000000000021</v>
      </c>
      <c r="S271" s="39">
        <f t="shared" si="460"/>
        <v>172.94200000000006</v>
      </c>
      <c r="T271" s="38">
        <f t="shared" si="460"/>
        <v>116.34300000000005</v>
      </c>
      <c r="U271" s="38">
        <f t="shared" si="460"/>
        <v>385.79699999999991</v>
      </c>
      <c r="V271" s="38">
        <f t="shared" si="460"/>
        <v>182.6509999999999</v>
      </c>
      <c r="W271" s="39">
        <f t="shared" si="460"/>
        <v>698.91700000000014</v>
      </c>
      <c r="X271" s="38">
        <f t="shared" si="460"/>
        <v>674</v>
      </c>
      <c r="Y271" s="38">
        <f t="shared" si="460"/>
        <v>677</v>
      </c>
      <c r="Z271" s="38">
        <f t="shared" si="460"/>
        <v>687</v>
      </c>
      <c r="AA271" s="39">
        <f t="shared" si="460"/>
        <v>361</v>
      </c>
      <c r="AB271" s="38">
        <f t="shared" si="460"/>
        <v>179</v>
      </c>
      <c r="AC271" s="38">
        <f t="shared" si="460"/>
        <v>409</v>
      </c>
      <c r="AD271" s="38">
        <f t="shared" si="460"/>
        <v>322</v>
      </c>
      <c r="AE271" s="39">
        <f t="shared" si="460"/>
        <v>-499</v>
      </c>
      <c r="AF271" s="38">
        <f t="shared" si="460"/>
        <v>39</v>
      </c>
      <c r="AG271" s="38">
        <f t="shared" si="460"/>
        <v>-68</v>
      </c>
      <c r="AH271" s="38">
        <f t="shared" si="460"/>
        <v>250</v>
      </c>
      <c r="AI271" s="39">
        <f t="shared" si="460"/>
        <v>211</v>
      </c>
      <c r="AJ271" s="38">
        <f t="shared" si="460"/>
        <v>330</v>
      </c>
      <c r="AK271" s="38">
        <f t="shared" si="460"/>
        <v>387</v>
      </c>
      <c r="AL271" s="38">
        <f t="shared" si="460"/>
        <v>391</v>
      </c>
      <c r="AM271" s="39">
        <f t="shared" si="460"/>
        <v>412</v>
      </c>
      <c r="AN271" s="38">
        <f t="shared" si="460"/>
        <v>458</v>
      </c>
      <c r="AO271" s="38">
        <f t="shared" si="460"/>
        <v>416</v>
      </c>
      <c r="AP271" s="38">
        <f t="shared" si="460"/>
        <v>396</v>
      </c>
      <c r="AQ271" s="39">
        <f t="shared" si="460"/>
        <v>423</v>
      </c>
      <c r="AR271" s="38">
        <f t="shared" si="460"/>
        <v>354</v>
      </c>
      <c r="AS271" s="38">
        <f>SUM(AS246,AS251,AS256,AS261,AS266)</f>
        <v>425</v>
      </c>
      <c r="BL271" s="107"/>
      <c r="BM271" s="40"/>
      <c r="BN271" s="40">
        <f t="shared" ref="BN271:BU271" si="461">SUM(BN246,BN251,BN256,BN261,BN266)</f>
        <v>2371.5059999999999</v>
      </c>
      <c r="BO271" s="40">
        <f t="shared" si="461"/>
        <v>1333.5940000000003</v>
      </c>
      <c r="BP271" s="40">
        <f t="shared" si="461"/>
        <v>-393.61599999999993</v>
      </c>
      <c r="BQ271" s="40">
        <f t="shared" si="461"/>
        <v>1383.7080000000001</v>
      </c>
      <c r="BR271" s="40">
        <f t="shared" si="461"/>
        <v>2399</v>
      </c>
      <c r="BS271" s="38">
        <f t="shared" si="461"/>
        <v>411</v>
      </c>
      <c r="BT271" s="38">
        <f t="shared" si="461"/>
        <v>432</v>
      </c>
      <c r="BU271" s="39">
        <f t="shared" si="461"/>
        <v>1520</v>
      </c>
      <c r="BV271" s="40"/>
      <c r="CB271" s="18"/>
      <c r="CC271" s="18"/>
      <c r="CD271" s="18"/>
      <c r="CE271" s="18"/>
      <c r="CF271" s="18"/>
      <c r="CG271" s="18"/>
      <c r="CH271" s="18"/>
      <c r="CI271" s="40"/>
      <c r="CJ271" s="40"/>
      <c r="CK271" s="38"/>
      <c r="CL271" s="38"/>
      <c r="CM271" s="38"/>
      <c r="CN271" s="38"/>
      <c r="CO271" s="38"/>
      <c r="CP271" s="40"/>
      <c r="CQ271" s="40"/>
      <c r="CR271" s="40"/>
      <c r="CS271" s="119"/>
    </row>
    <row r="272" spans="1:97" ht="14.25" hidden="1" customHeight="1" outlineLevel="1">
      <c r="A272" s="18"/>
      <c r="B272" s="79" t="s">
        <v>186</v>
      </c>
      <c r="C272" s="79"/>
      <c r="D272" s="80"/>
      <c r="E272" s="80"/>
      <c r="F272" s="80"/>
      <c r="G272" s="41"/>
      <c r="H272" s="80"/>
      <c r="I272" s="80">
        <f t="shared" ref="I272:AS272" si="462">I271/H271-1</f>
        <v>7.1876489920404074E-2</v>
      </c>
      <c r="J272" s="80">
        <f t="shared" si="462"/>
        <v>0.14063603520399814</v>
      </c>
      <c r="K272" s="41">
        <f t="shared" si="462"/>
        <v>-0.16486718998841943</v>
      </c>
      <c r="L272" s="80">
        <f t="shared" si="462"/>
        <v>-0.33543577368498023</v>
      </c>
      <c r="M272" s="80">
        <f t="shared" si="462"/>
        <v>0.17393659673409645</v>
      </c>
      <c r="N272" s="80">
        <f t="shared" si="462"/>
        <v>-0.47838562072092849</v>
      </c>
      <c r="O272" s="41">
        <f t="shared" si="462"/>
        <v>0.29039293660109</v>
      </c>
      <c r="P272" s="80">
        <f t="shared" si="462"/>
        <v>-1.6655353348855202</v>
      </c>
      <c r="Q272" s="80">
        <f t="shared" si="462"/>
        <v>0.49563980172572086</v>
      </c>
      <c r="R272" s="80">
        <f t="shared" si="462"/>
        <v>-0.73683097895207017</v>
      </c>
      <c r="S272" s="41">
        <f t="shared" si="462"/>
        <v>-3.2406747599860073</v>
      </c>
      <c r="T272" s="80">
        <f t="shared" si="462"/>
        <v>-0.32727157081564917</v>
      </c>
      <c r="U272" s="80">
        <f t="shared" si="462"/>
        <v>2.3160310461308353</v>
      </c>
      <c r="V272" s="80">
        <f t="shared" si="462"/>
        <v>-0.52656189654144558</v>
      </c>
      <c r="W272" s="41">
        <f t="shared" si="462"/>
        <v>2.8265161428078716</v>
      </c>
      <c r="X272" s="80">
        <f t="shared" si="462"/>
        <v>-3.5650871276560969E-2</v>
      </c>
      <c r="Y272" s="80">
        <f t="shared" si="462"/>
        <v>4.451038575667754E-3</v>
      </c>
      <c r="Z272" s="80">
        <f t="shared" si="462"/>
        <v>1.477104874446078E-2</v>
      </c>
      <c r="AA272" s="41">
        <f t="shared" si="462"/>
        <v>-0.47452692867540025</v>
      </c>
      <c r="AB272" s="80">
        <f t="shared" si="462"/>
        <v>-0.50415512465373968</v>
      </c>
      <c r="AC272" s="80">
        <f t="shared" si="462"/>
        <v>1.2849162011173183</v>
      </c>
      <c r="AD272" s="80">
        <f t="shared" si="462"/>
        <v>-0.21271393643031788</v>
      </c>
      <c r="AE272" s="41">
        <f t="shared" si="462"/>
        <v>-2.5496894409937889</v>
      </c>
      <c r="AF272" s="80">
        <f t="shared" si="462"/>
        <v>-1.0781563126252505</v>
      </c>
      <c r="AG272" s="80">
        <f t="shared" si="462"/>
        <v>-2.7435897435897436</v>
      </c>
      <c r="AH272" s="80">
        <f t="shared" si="462"/>
        <v>-4.6764705882352935</v>
      </c>
      <c r="AI272" s="41">
        <f t="shared" si="462"/>
        <v>-0.15600000000000003</v>
      </c>
      <c r="AJ272" s="80">
        <f t="shared" si="462"/>
        <v>0.56398104265402837</v>
      </c>
      <c r="AK272" s="80">
        <f t="shared" si="462"/>
        <v>0.17272727272727262</v>
      </c>
      <c r="AL272" s="80">
        <f t="shared" si="462"/>
        <v>1.0335917312661591E-2</v>
      </c>
      <c r="AM272" s="41">
        <f t="shared" si="462"/>
        <v>5.3708439897698135E-2</v>
      </c>
      <c r="AN272" s="80">
        <f t="shared" si="462"/>
        <v>0.11165048543689315</v>
      </c>
      <c r="AO272" s="80">
        <f t="shared" si="462"/>
        <v>-9.1703056768558944E-2</v>
      </c>
      <c r="AP272" s="80">
        <f t="shared" si="462"/>
        <v>-4.8076923076923128E-2</v>
      </c>
      <c r="AQ272" s="41">
        <f t="shared" si="462"/>
        <v>6.8181818181818121E-2</v>
      </c>
      <c r="AR272" s="80">
        <f t="shared" si="462"/>
        <v>-0.16312056737588654</v>
      </c>
      <c r="AS272" s="80">
        <f t="shared" si="462"/>
        <v>0.20056497175141241</v>
      </c>
      <c r="BL272" s="106"/>
      <c r="BM272" s="81"/>
      <c r="BN272" s="81"/>
      <c r="BO272" s="81"/>
      <c r="BP272" s="81"/>
      <c r="BQ272" s="81"/>
      <c r="BR272" s="81"/>
      <c r="BS272" s="80">
        <f>BS271/BR271-1</f>
        <v>-0.82867861609003746</v>
      </c>
      <c r="BT272" s="80">
        <f>BT271/BS271-1</f>
        <v>5.1094890510948954E-2</v>
      </c>
      <c r="BU272" s="41">
        <f>BU271/BT271-1</f>
        <v>2.5185185185185186</v>
      </c>
      <c r="BV272" s="81"/>
      <c r="CB272" s="18"/>
      <c r="CC272" s="18"/>
      <c r="CD272" s="18"/>
      <c r="CE272" s="18"/>
      <c r="CF272" s="18"/>
      <c r="CG272" s="18"/>
      <c r="CH272" s="18"/>
      <c r="CI272" s="81"/>
      <c r="CJ272" s="81"/>
      <c r="CK272" s="80"/>
      <c r="CL272" s="80"/>
      <c r="CM272" s="80"/>
      <c r="CN272" s="80"/>
      <c r="CO272" s="80"/>
      <c r="CP272" s="81"/>
      <c r="CQ272" s="81"/>
      <c r="CR272" s="81"/>
      <c r="CS272" s="115"/>
    </row>
    <row r="273" spans="1:97" ht="14.25" hidden="1" customHeight="1" outlineLevel="1">
      <c r="A273" s="18"/>
      <c r="B273" s="82" t="s">
        <v>187</v>
      </c>
      <c r="C273" s="82"/>
      <c r="D273" s="80"/>
      <c r="E273" s="80"/>
      <c r="F273" s="80"/>
      <c r="G273" s="41"/>
      <c r="H273" s="80"/>
      <c r="I273" s="80"/>
      <c r="J273" s="80"/>
      <c r="K273" s="41"/>
      <c r="L273" s="80">
        <f t="shared" ref="L273:AS273" si="463">L271/H271-1</f>
        <v>-0.32144611901893638</v>
      </c>
      <c r="M273" s="80">
        <f t="shared" si="463"/>
        <v>-0.25683673330798062</v>
      </c>
      <c r="N273" s="80">
        <f t="shared" si="463"/>
        <v>-0.66015044756214802</v>
      </c>
      <c r="O273" s="41">
        <f t="shared" si="463"/>
        <v>-0.47488656089710468</v>
      </c>
      <c r="P273" s="80">
        <f t="shared" si="463"/>
        <v>-1.5258807722529588</v>
      </c>
      <c r="Q273" s="80">
        <f t="shared" si="463"/>
        <v>-1.6699920729381073</v>
      </c>
      <c r="R273" s="80">
        <f t="shared" si="463"/>
        <v>-1.3380297111224007</v>
      </c>
      <c r="S273" s="41">
        <f t="shared" si="463"/>
        <v>-0.41303565731507819</v>
      </c>
      <c r="T273" s="80">
        <f t="shared" si="463"/>
        <v>-1.59330824306958</v>
      </c>
      <c r="U273" s="80">
        <f t="shared" si="463"/>
        <v>-2.315442763474187</v>
      </c>
      <c r="V273" s="80">
        <f t="shared" si="463"/>
        <v>-3.3664667089903197</v>
      </c>
      <c r="W273" s="41">
        <f t="shared" si="463"/>
        <v>3.041337558256525</v>
      </c>
      <c r="X273" s="80">
        <f t="shared" si="463"/>
        <v>4.7932148904532266</v>
      </c>
      <c r="Y273" s="80">
        <f t="shared" si="463"/>
        <v>0.75480887617062908</v>
      </c>
      <c r="Z273" s="80">
        <f t="shared" si="463"/>
        <v>2.7612714959129727</v>
      </c>
      <c r="AA273" s="41">
        <f t="shared" si="463"/>
        <v>-0.48348659425940432</v>
      </c>
      <c r="AB273" s="80">
        <f t="shared" si="463"/>
        <v>-0.73442136498516319</v>
      </c>
      <c r="AC273" s="80">
        <f t="shared" si="463"/>
        <v>-0.395864106351551</v>
      </c>
      <c r="AD273" s="80">
        <f t="shared" si="463"/>
        <v>-0.53129548762736534</v>
      </c>
      <c r="AE273" s="41">
        <f t="shared" si="463"/>
        <v>-2.3822714681440442</v>
      </c>
      <c r="AF273" s="80">
        <f t="shared" si="463"/>
        <v>-0.78212290502793302</v>
      </c>
      <c r="AG273" s="80">
        <f t="shared" si="463"/>
        <v>-1.1662591687041566</v>
      </c>
      <c r="AH273" s="80">
        <f t="shared" si="463"/>
        <v>-0.22360248447204967</v>
      </c>
      <c r="AI273" s="41">
        <f t="shared" si="463"/>
        <v>-1.4228456913827654</v>
      </c>
      <c r="AJ273" s="80">
        <f t="shared" si="463"/>
        <v>7.4615384615384617</v>
      </c>
      <c r="AK273" s="80">
        <f t="shared" si="463"/>
        <v>-6.6911764705882355</v>
      </c>
      <c r="AL273" s="80">
        <f t="shared" si="463"/>
        <v>0.56400000000000006</v>
      </c>
      <c r="AM273" s="41">
        <f t="shared" si="463"/>
        <v>0.95260663507109</v>
      </c>
      <c r="AN273" s="80">
        <f t="shared" si="463"/>
        <v>0.38787878787878793</v>
      </c>
      <c r="AO273" s="80">
        <f t="shared" si="463"/>
        <v>7.4935400516795925E-2</v>
      </c>
      <c r="AP273" s="80">
        <f t="shared" si="463"/>
        <v>1.2787723785166349E-2</v>
      </c>
      <c r="AQ273" s="41">
        <f t="shared" si="463"/>
        <v>2.6699029126213691E-2</v>
      </c>
      <c r="AR273" s="80">
        <f t="shared" si="463"/>
        <v>-0.22707423580786024</v>
      </c>
      <c r="AS273" s="80">
        <f t="shared" si="463"/>
        <v>2.1634615384615419E-2</v>
      </c>
      <c r="BL273" s="106"/>
      <c r="BM273" s="80"/>
      <c r="BN273" s="80"/>
      <c r="BO273" s="80">
        <f>BO271/BN271-1</f>
        <v>-0.43765944509522625</v>
      </c>
      <c r="BP273" s="80">
        <f>BP271/BO271-1</f>
        <v>-1.2951542973348709</v>
      </c>
      <c r="BQ273" s="80">
        <f>BQ271/BP271-1</f>
        <v>-4.5153753912442589</v>
      </c>
      <c r="BR273" s="80">
        <f>BR271/BQ271-1</f>
        <v>0.73374729350412071</v>
      </c>
      <c r="BS273" s="80">
        <f>BS271/BO271-1</f>
        <v>-0.69181025109591077</v>
      </c>
      <c r="BT273" s="80">
        <f>BT271/BP271-1</f>
        <v>-2.0975163611235317</v>
      </c>
      <c r="BU273" s="41">
        <f>BU271/BQ271-1</f>
        <v>9.8497659910905977E-2</v>
      </c>
      <c r="BV273" s="80"/>
      <c r="CB273" s="18"/>
      <c r="CC273" s="18"/>
      <c r="CD273" s="18"/>
      <c r="CE273" s="18"/>
      <c r="CF273" s="18"/>
      <c r="CG273" s="18"/>
      <c r="CH273" s="18"/>
      <c r="CI273" s="80"/>
      <c r="CJ273" s="80"/>
      <c r="CK273" s="80"/>
      <c r="CL273" s="80"/>
      <c r="CM273" s="80"/>
      <c r="CN273" s="80"/>
      <c r="CO273" s="80"/>
      <c r="CP273" s="80"/>
      <c r="CQ273" s="80"/>
      <c r="CR273" s="80"/>
      <c r="CS273" s="41"/>
    </row>
    <row r="274" spans="1:97" ht="14.25" hidden="1" customHeight="1" outlineLevel="1">
      <c r="A274" s="18"/>
      <c r="B274" s="82" t="s">
        <v>201</v>
      </c>
      <c r="C274" s="79"/>
      <c r="D274" s="80"/>
      <c r="E274" s="80"/>
      <c r="F274" s="80"/>
      <c r="G274" s="41"/>
      <c r="H274" s="80" t="e">
        <f t="shared" ref="H274:AR274" si="464">H271/H$77</f>
        <v>#DIV/0!</v>
      </c>
      <c r="I274" s="80" t="e">
        <f t="shared" si="464"/>
        <v>#DIV/0!</v>
      </c>
      <c r="J274" s="80" t="e">
        <f t="shared" si="464"/>
        <v>#DIV/0!</v>
      </c>
      <c r="K274" s="41" t="e">
        <f t="shared" si="464"/>
        <v>#DIV/0!</v>
      </c>
      <c r="L274" s="80" t="e">
        <f t="shared" si="464"/>
        <v>#DIV/0!</v>
      </c>
      <c r="M274" s="80" t="e">
        <f t="shared" si="464"/>
        <v>#DIV/0!</v>
      </c>
      <c r="N274" s="80" t="e">
        <f t="shared" si="464"/>
        <v>#DIV/0!</v>
      </c>
      <c r="O274" s="41" t="e">
        <f t="shared" si="464"/>
        <v>#DIV/0!</v>
      </c>
      <c r="P274" s="80" t="e">
        <f t="shared" si="464"/>
        <v>#DIV/0!</v>
      </c>
      <c r="Q274" s="80" t="e">
        <f t="shared" si="464"/>
        <v>#DIV/0!</v>
      </c>
      <c r="R274" s="80" t="e">
        <f t="shared" si="464"/>
        <v>#DIV/0!</v>
      </c>
      <c r="S274" s="41" t="e">
        <f t="shared" si="464"/>
        <v>#DIV/0!</v>
      </c>
      <c r="T274" s="80" t="e">
        <f t="shared" si="464"/>
        <v>#DIV/0!</v>
      </c>
      <c r="U274" s="80" t="e">
        <f t="shared" si="464"/>
        <v>#DIV/0!</v>
      </c>
      <c r="V274" s="80" t="e">
        <f t="shared" si="464"/>
        <v>#DIV/0!</v>
      </c>
      <c r="W274" s="41" t="e">
        <f t="shared" si="464"/>
        <v>#DIV/0!</v>
      </c>
      <c r="X274" s="80" t="e">
        <f t="shared" si="464"/>
        <v>#DIV/0!</v>
      </c>
      <c r="Y274" s="80" t="e">
        <f t="shared" si="464"/>
        <v>#DIV/0!</v>
      </c>
      <c r="Z274" s="80" t="e">
        <f t="shared" si="464"/>
        <v>#DIV/0!</v>
      </c>
      <c r="AA274" s="41" t="e">
        <f t="shared" si="464"/>
        <v>#DIV/0!</v>
      </c>
      <c r="AB274" s="80" t="e">
        <f t="shared" si="464"/>
        <v>#DIV/0!</v>
      </c>
      <c r="AC274" s="80" t="e">
        <f t="shared" si="464"/>
        <v>#DIV/0!</v>
      </c>
      <c r="AD274" s="80" t="e">
        <f t="shared" si="464"/>
        <v>#DIV/0!</v>
      </c>
      <c r="AE274" s="41" t="e">
        <f t="shared" si="464"/>
        <v>#DIV/0!</v>
      </c>
      <c r="AF274" s="80" t="e">
        <f t="shared" si="464"/>
        <v>#DIV/0!</v>
      </c>
      <c r="AG274" s="80" t="e">
        <f t="shared" si="464"/>
        <v>#DIV/0!</v>
      </c>
      <c r="AH274" s="80" t="e">
        <f t="shared" si="464"/>
        <v>#DIV/0!</v>
      </c>
      <c r="AI274" s="41" t="e">
        <f t="shared" si="464"/>
        <v>#DIV/0!</v>
      </c>
      <c r="AJ274" s="80" t="e">
        <f t="shared" si="464"/>
        <v>#DIV/0!</v>
      </c>
      <c r="AK274" s="80" t="e">
        <f t="shared" si="464"/>
        <v>#DIV/0!</v>
      </c>
      <c r="AL274" s="80" t="e">
        <f t="shared" si="464"/>
        <v>#DIV/0!</v>
      </c>
      <c r="AM274" s="41" t="e">
        <f t="shared" si="464"/>
        <v>#DIV/0!</v>
      </c>
      <c r="AN274" s="80">
        <f t="shared" si="464"/>
        <v>0.19415006358626535</v>
      </c>
      <c r="AO274" s="80">
        <f t="shared" si="464"/>
        <v>0.17035217035217035</v>
      </c>
      <c r="AP274" s="80">
        <f t="shared" si="464"/>
        <v>0.15903614457831325</v>
      </c>
      <c r="AQ274" s="41">
        <f t="shared" si="464"/>
        <v>0.17863175675675674</v>
      </c>
      <c r="AR274" s="80">
        <f t="shared" si="464"/>
        <v>0.15684536996012405</v>
      </c>
      <c r="AS274" s="80">
        <f>AS271/AS$77</f>
        <v>0.17346938775510204</v>
      </c>
      <c r="BL274" s="106"/>
      <c r="BM274" s="83"/>
      <c r="BN274" s="83" t="e">
        <f t="shared" ref="BN274:BT274" si="465">BN271/BN$77</f>
        <v>#DIV/0!</v>
      </c>
      <c r="BO274" s="83" t="e">
        <f t="shared" si="465"/>
        <v>#DIV/0!</v>
      </c>
      <c r="BP274" s="83" t="e">
        <f t="shared" si="465"/>
        <v>#DIV/0!</v>
      </c>
      <c r="BQ274" s="83" t="e">
        <f t="shared" si="465"/>
        <v>#DIV/0!</v>
      </c>
      <c r="BR274" s="83" t="e">
        <f t="shared" si="465"/>
        <v>#DIV/0!</v>
      </c>
      <c r="BS274" s="80" t="e">
        <f t="shared" si="465"/>
        <v>#DIV/0!</v>
      </c>
      <c r="BT274" s="80" t="e">
        <f t="shared" si="465"/>
        <v>#DIV/0!</v>
      </c>
      <c r="BU274" s="41">
        <f>BU271/BU$8</f>
        <v>0.25426564068250251</v>
      </c>
      <c r="BV274" s="83"/>
      <c r="CB274" s="18"/>
      <c r="CC274" s="18"/>
      <c r="CD274" s="18"/>
      <c r="CE274" s="18"/>
      <c r="CF274" s="18"/>
      <c r="CG274" s="18"/>
      <c r="CH274" s="18"/>
      <c r="CI274" s="83"/>
      <c r="CJ274" s="83"/>
      <c r="CK274" s="80"/>
      <c r="CL274" s="80"/>
      <c r="CM274" s="80"/>
      <c r="CN274" s="80"/>
      <c r="CO274" s="80"/>
      <c r="CP274" s="83"/>
      <c r="CQ274" s="83"/>
      <c r="CR274" s="83"/>
      <c r="CS274" s="117"/>
    </row>
    <row r="275" spans="1:97" ht="14.25" hidden="1" customHeight="1" outlineLevel="1">
      <c r="A275" s="18"/>
      <c r="B275" s="18"/>
      <c r="C275" s="18"/>
      <c r="D275" s="80"/>
      <c r="E275" s="80"/>
      <c r="F275" s="80"/>
      <c r="G275" s="41"/>
      <c r="H275" s="80"/>
      <c r="I275" s="80"/>
      <c r="J275" s="80"/>
      <c r="K275" s="41"/>
      <c r="L275" s="80"/>
      <c r="M275" s="80"/>
      <c r="N275" s="80"/>
      <c r="O275" s="41"/>
      <c r="P275" s="80"/>
      <c r="Q275" s="80"/>
      <c r="R275" s="80"/>
      <c r="S275" s="41"/>
      <c r="T275" s="80"/>
      <c r="U275" s="80"/>
      <c r="V275" s="80"/>
      <c r="W275" s="41"/>
      <c r="X275" s="80"/>
      <c r="Y275" s="80"/>
      <c r="Z275" s="80"/>
      <c r="AA275" s="41"/>
      <c r="AB275" s="80"/>
      <c r="AC275" s="80"/>
      <c r="AD275" s="80"/>
      <c r="AE275" s="41"/>
      <c r="AF275" s="80"/>
      <c r="AG275" s="80"/>
      <c r="AH275" s="80"/>
      <c r="AI275" s="41"/>
      <c r="AJ275" s="80"/>
      <c r="AK275" s="80"/>
      <c r="AL275" s="80"/>
      <c r="AM275" s="41"/>
      <c r="AN275" s="80"/>
      <c r="AO275" s="80"/>
      <c r="AP275" s="80"/>
      <c r="AQ275" s="41"/>
      <c r="AR275" s="80"/>
      <c r="AS275" s="80"/>
      <c r="BL275" s="106"/>
      <c r="BM275" s="33"/>
      <c r="BN275" s="33"/>
      <c r="BO275" s="33"/>
      <c r="BP275" s="33"/>
      <c r="BQ275" s="80"/>
      <c r="BR275" s="80"/>
      <c r="BS275" s="80"/>
      <c r="BT275" s="80"/>
      <c r="BU275" s="41"/>
      <c r="BV275" s="80"/>
      <c r="CB275" s="18"/>
      <c r="CC275" s="18"/>
      <c r="CD275" s="18"/>
      <c r="CE275" s="18"/>
      <c r="CF275" s="18"/>
      <c r="CG275" s="18"/>
      <c r="CH275" s="18"/>
      <c r="CI275" s="33"/>
      <c r="CJ275" s="80"/>
      <c r="CK275" s="80"/>
      <c r="CL275" s="80"/>
      <c r="CM275" s="80"/>
      <c r="CN275" s="80"/>
      <c r="CO275" s="80"/>
      <c r="CP275" s="80"/>
      <c r="CQ275" s="80"/>
      <c r="CR275" s="80"/>
      <c r="CS275" s="120"/>
    </row>
    <row r="276" spans="1:97" ht="14.25" hidden="1" customHeight="1" outlineLevel="1">
      <c r="A276" s="18"/>
      <c r="B276" s="26" t="s">
        <v>204</v>
      </c>
      <c r="C276" s="26"/>
      <c r="D276" s="38"/>
      <c r="E276" s="38"/>
      <c r="F276" s="38"/>
      <c r="G276" s="39"/>
      <c r="H276" s="38">
        <f>IS!H251</f>
        <v>0</v>
      </c>
      <c r="I276" s="38">
        <f>IS!I251</f>
        <v>0</v>
      </c>
      <c r="J276" s="38">
        <f>IS!J251</f>
        <v>0</v>
      </c>
      <c r="K276" s="39">
        <f>IS!K251</f>
        <v>0</v>
      </c>
      <c r="L276" s="38">
        <f>IS!L251</f>
        <v>0</v>
      </c>
      <c r="M276" s="38">
        <f>IS!M251</f>
        <v>0</v>
      </c>
      <c r="N276" s="38">
        <f>IS!N251</f>
        <v>0</v>
      </c>
      <c r="O276" s="39">
        <f>IS!O251</f>
        <v>0</v>
      </c>
      <c r="P276" s="38">
        <f>IS!P251</f>
        <v>0</v>
      </c>
      <c r="Q276" s="38">
        <f>IS!Q251</f>
        <v>0</v>
      </c>
      <c r="R276" s="38">
        <f>IS!R251</f>
        <v>0</v>
      </c>
      <c r="S276" s="39">
        <f>IS!S251</f>
        <v>0</v>
      </c>
      <c r="T276" s="38">
        <f>IS!T251</f>
        <v>0</v>
      </c>
      <c r="U276" s="38">
        <f>IS!U251</f>
        <v>0</v>
      </c>
      <c r="V276" s="38">
        <f>IS!V251</f>
        <v>0</v>
      </c>
      <c r="W276" s="39">
        <f>IS!W251</f>
        <v>0</v>
      </c>
      <c r="X276" s="38">
        <f>IS!X251</f>
        <v>0</v>
      </c>
      <c r="Y276" s="38">
        <f>IS!Y251</f>
        <v>0</v>
      </c>
      <c r="Z276" s="38">
        <f>IS!Z251</f>
        <v>0</v>
      </c>
      <c r="AA276" s="39">
        <f>IS!AA251</f>
        <v>0</v>
      </c>
      <c r="AB276" s="38">
        <f>IS!AB251</f>
        <v>0</v>
      </c>
      <c r="AC276" s="38">
        <f>IS!AC251</f>
        <v>0</v>
      </c>
      <c r="AD276" s="38">
        <f>IS!AD251</f>
        <v>0</v>
      </c>
      <c r="AE276" s="39">
        <f>IS!AE251</f>
        <v>0</v>
      </c>
      <c r="AF276" s="38">
        <f>IS!AF251</f>
        <v>0</v>
      </c>
      <c r="AG276" s="38">
        <f>IS!AG251</f>
        <v>0</v>
      </c>
      <c r="AH276" s="38">
        <f>IS!AH251</f>
        <v>0</v>
      </c>
      <c r="AI276" s="39">
        <f>IS!AI251</f>
        <v>0</v>
      </c>
      <c r="AJ276" s="38">
        <f>IS!AJ251</f>
        <v>0</v>
      </c>
      <c r="AK276" s="38">
        <f>IS!AK251</f>
        <v>0</v>
      </c>
      <c r="AL276" s="38">
        <f>IS!AL251</f>
        <v>0</v>
      </c>
      <c r="AM276" s="39">
        <f>IS!AM251</f>
        <v>0</v>
      </c>
      <c r="AN276" s="38">
        <f>IS!AN251</f>
        <v>0</v>
      </c>
      <c r="AO276" s="38">
        <f>IS!AO251</f>
        <v>0</v>
      </c>
      <c r="AP276" s="38">
        <f>IS!AP251</f>
        <v>0</v>
      </c>
      <c r="AQ276" s="39">
        <f>IS!AQ251</f>
        <v>0</v>
      </c>
      <c r="AR276" s="38">
        <f>IS!AR251</f>
        <v>0</v>
      </c>
      <c r="AS276" s="38">
        <f>IS!AS251</f>
        <v>0</v>
      </c>
      <c r="BL276" s="108"/>
      <c r="BM276" s="38"/>
      <c r="BN276" s="4" t="e">
        <f>IS!#REF!</f>
        <v>#REF!</v>
      </c>
      <c r="BO276" s="4">
        <f>IS!BM251</f>
        <v>0</v>
      </c>
      <c r="BP276" s="4">
        <f>IS!BN251</f>
        <v>0</v>
      </c>
      <c r="BQ276" s="4">
        <f>IS!BO251</f>
        <v>0</v>
      </c>
      <c r="BR276" s="4">
        <f>IS!BP251</f>
        <v>0</v>
      </c>
      <c r="BS276" s="4">
        <f>IS!BQ251</f>
        <v>0</v>
      </c>
      <c r="BT276" s="4">
        <f>IS!BR251</f>
        <v>0</v>
      </c>
      <c r="BU276" s="5">
        <f>IS!BS251</f>
        <v>0</v>
      </c>
      <c r="BV276" s="4"/>
      <c r="CB276" s="18"/>
      <c r="CC276" s="18"/>
      <c r="CD276" s="18"/>
      <c r="CE276" s="18"/>
      <c r="CF276" s="18"/>
      <c r="CG276" s="18"/>
      <c r="CH276" s="18"/>
      <c r="CI276" s="38"/>
      <c r="CJ276" s="4"/>
      <c r="CK276" s="4"/>
      <c r="CL276" s="4"/>
      <c r="CM276" s="4"/>
      <c r="CN276" s="4"/>
      <c r="CO276" s="4"/>
      <c r="CP276" s="4"/>
      <c r="CQ276" s="4"/>
      <c r="CR276" s="4"/>
      <c r="CS276" s="120"/>
    </row>
    <row r="277" spans="1:97" ht="14.25" hidden="1" customHeight="1" outlineLevel="1">
      <c r="A277" s="18"/>
      <c r="B277" s="18"/>
      <c r="C277" s="18"/>
      <c r="D277" s="33"/>
      <c r="E277" s="33"/>
      <c r="F277" s="33"/>
      <c r="G277" s="36"/>
      <c r="H277" s="33"/>
      <c r="I277" s="33"/>
      <c r="J277" s="33"/>
      <c r="K277" s="36"/>
      <c r="L277" s="33"/>
      <c r="M277" s="33"/>
      <c r="N277" s="33"/>
      <c r="O277" s="36"/>
      <c r="P277" s="33"/>
      <c r="Q277" s="33"/>
      <c r="R277" s="33"/>
      <c r="S277" s="36"/>
      <c r="T277" s="33"/>
      <c r="U277" s="33"/>
      <c r="V277" s="33"/>
      <c r="W277" s="36"/>
      <c r="X277" s="33"/>
      <c r="Y277" s="33"/>
      <c r="Z277" s="33"/>
      <c r="AA277" s="36"/>
      <c r="AB277" s="33"/>
      <c r="AC277" s="33"/>
      <c r="AD277" s="33"/>
      <c r="AE277" s="36"/>
      <c r="AF277" s="33"/>
      <c r="AG277" s="33"/>
      <c r="AH277" s="33"/>
      <c r="AI277" s="36"/>
      <c r="AJ277" s="33"/>
      <c r="AK277" s="51"/>
      <c r="AL277" s="51"/>
      <c r="AM277" s="52"/>
      <c r="AN277" s="33"/>
      <c r="AO277" s="51"/>
      <c r="AP277" s="51"/>
      <c r="AQ277" s="52"/>
      <c r="AR277" s="33"/>
      <c r="AS277" s="51"/>
      <c r="BL277" s="106"/>
      <c r="BM277" s="33"/>
      <c r="BN277" s="33"/>
      <c r="BO277" s="33"/>
      <c r="BP277" s="33"/>
      <c r="BQ277" s="33"/>
      <c r="BR277" s="33"/>
      <c r="BS277" s="33"/>
      <c r="BT277" s="33"/>
      <c r="BU277" s="36"/>
      <c r="BV277" s="33"/>
      <c r="CI277" s="33"/>
      <c r="CJ277" s="33"/>
      <c r="CK277" s="33"/>
      <c r="CL277" s="33"/>
      <c r="CM277" s="33"/>
      <c r="CN277" s="33"/>
      <c r="CO277" s="33"/>
      <c r="CP277" s="33"/>
      <c r="CQ277" s="33"/>
      <c r="CR277" s="33"/>
      <c r="CS277" s="36"/>
    </row>
    <row r="278" spans="1:97" ht="14.25" hidden="1" customHeight="1" outlineLevel="1">
      <c r="A278" s="18"/>
      <c r="B278" s="26" t="s">
        <v>194</v>
      </c>
      <c r="C278" s="26"/>
      <c r="D278" s="42"/>
      <c r="E278" s="42"/>
      <c r="F278" s="42"/>
      <c r="G278" s="43"/>
      <c r="H278" s="42">
        <f>IF(ABS(H271-H276)&lt;1,"OK",H271-H276)</f>
        <v>549.52600000000007</v>
      </c>
      <c r="I278" s="42">
        <f t="shared" ref="I278:AR278" si="466">IF(ABS(I271-I276)&lt;1,"OK",I271-I276)</f>
        <v>589.024</v>
      </c>
      <c r="J278" s="42">
        <f t="shared" si="466"/>
        <v>671.86199999999985</v>
      </c>
      <c r="K278" s="43">
        <f t="shared" si="466"/>
        <v>561.09400000000039</v>
      </c>
      <c r="L278" s="42">
        <f t="shared" si="466"/>
        <v>372.88299999999998</v>
      </c>
      <c r="M278" s="42">
        <f t="shared" si="466"/>
        <v>437.74100000000004</v>
      </c>
      <c r="N278" s="42">
        <f t="shared" si="466"/>
        <v>228.33200000000005</v>
      </c>
      <c r="O278" s="43">
        <f t="shared" si="466"/>
        <v>294.63800000000015</v>
      </c>
      <c r="P278" s="42">
        <f t="shared" si="466"/>
        <v>-196.09199999999998</v>
      </c>
      <c r="Q278" s="42">
        <f t="shared" si="466"/>
        <v>-293.28300000000002</v>
      </c>
      <c r="R278" s="42">
        <f t="shared" si="466"/>
        <v>-77.183000000000021</v>
      </c>
      <c r="S278" s="43">
        <f t="shared" si="466"/>
        <v>172.94200000000006</v>
      </c>
      <c r="T278" s="42">
        <f t="shared" si="466"/>
        <v>116.34300000000005</v>
      </c>
      <c r="U278" s="42">
        <f t="shared" si="466"/>
        <v>385.79699999999991</v>
      </c>
      <c r="V278" s="42">
        <f t="shared" si="466"/>
        <v>182.6509999999999</v>
      </c>
      <c r="W278" s="43">
        <f t="shared" si="466"/>
        <v>698.91700000000014</v>
      </c>
      <c r="X278" s="42">
        <f t="shared" si="466"/>
        <v>674</v>
      </c>
      <c r="Y278" s="42">
        <f t="shared" si="466"/>
        <v>677</v>
      </c>
      <c r="Z278" s="42">
        <f t="shared" si="466"/>
        <v>687</v>
      </c>
      <c r="AA278" s="43">
        <f t="shared" si="466"/>
        <v>361</v>
      </c>
      <c r="AB278" s="42">
        <f t="shared" si="466"/>
        <v>179</v>
      </c>
      <c r="AC278" s="42">
        <f t="shared" si="466"/>
        <v>409</v>
      </c>
      <c r="AD278" s="42">
        <f t="shared" si="466"/>
        <v>322</v>
      </c>
      <c r="AE278" s="43">
        <f t="shared" si="466"/>
        <v>-499</v>
      </c>
      <c r="AF278" s="42">
        <f t="shared" si="466"/>
        <v>39</v>
      </c>
      <c r="AG278" s="42">
        <f t="shared" si="466"/>
        <v>-68</v>
      </c>
      <c r="AH278" s="42">
        <f t="shared" si="466"/>
        <v>250</v>
      </c>
      <c r="AI278" s="43">
        <f t="shared" si="466"/>
        <v>211</v>
      </c>
      <c r="AJ278" s="44">
        <f t="shared" si="466"/>
        <v>330</v>
      </c>
      <c r="AK278" s="44">
        <f t="shared" si="466"/>
        <v>387</v>
      </c>
      <c r="AL278" s="44">
        <f t="shared" si="466"/>
        <v>391</v>
      </c>
      <c r="AM278" s="45">
        <f t="shared" si="466"/>
        <v>412</v>
      </c>
      <c r="AN278" s="44">
        <f t="shared" si="466"/>
        <v>458</v>
      </c>
      <c r="AO278" s="44">
        <f t="shared" si="466"/>
        <v>416</v>
      </c>
      <c r="AP278" s="44">
        <f t="shared" si="466"/>
        <v>396</v>
      </c>
      <c r="AQ278" s="45">
        <f t="shared" si="466"/>
        <v>423</v>
      </c>
      <c r="AR278" s="44">
        <f t="shared" si="466"/>
        <v>354</v>
      </c>
      <c r="AS278" s="44">
        <f>IF(ABS(AS271-AS276)&lt;1,"OK",AS271-AS276)</f>
        <v>425</v>
      </c>
      <c r="BL278" s="109"/>
      <c r="BM278" s="42"/>
      <c r="BN278" s="42" t="e">
        <f t="shared" ref="BN278:BT278" si="467">IF(ABS(BN271-BN276)&lt;1,"OK",BN271-BN276)</f>
        <v>#REF!</v>
      </c>
      <c r="BO278" s="42">
        <f t="shared" si="467"/>
        <v>1333.5940000000003</v>
      </c>
      <c r="BP278" s="42">
        <f t="shared" si="467"/>
        <v>-393.61599999999993</v>
      </c>
      <c r="BQ278" s="42">
        <f t="shared" si="467"/>
        <v>1383.7080000000001</v>
      </c>
      <c r="BR278" s="44">
        <f t="shared" si="467"/>
        <v>2399</v>
      </c>
      <c r="BS278" s="44">
        <f t="shared" si="467"/>
        <v>411</v>
      </c>
      <c r="BT278" s="44">
        <f t="shared" si="467"/>
        <v>432</v>
      </c>
      <c r="BU278" s="45">
        <f>IF(ABS(BU271-BU276)&lt;1,"OK",BU271-BU276)</f>
        <v>1520</v>
      </c>
      <c r="BV278" s="42"/>
      <c r="CB278" s="18"/>
      <c r="CC278" s="18"/>
      <c r="CD278" s="18"/>
      <c r="CE278" s="18"/>
      <c r="CF278" s="18"/>
      <c r="CG278" s="18"/>
      <c r="CH278" s="18"/>
      <c r="CI278" s="42"/>
      <c r="CJ278" s="44"/>
      <c r="CK278" s="44"/>
      <c r="CL278" s="44"/>
      <c r="CM278" s="44"/>
      <c r="CN278" s="44"/>
      <c r="CO278" s="44"/>
      <c r="CP278" s="42"/>
      <c r="CQ278" s="42"/>
      <c r="CR278" s="42"/>
      <c r="CS278" s="43"/>
    </row>
    <row r="279" spans="1:97" ht="14.25" hidden="1" customHeight="1" outlineLevel="1">
      <c r="A279" s="18"/>
      <c r="B279" s="26"/>
      <c r="C279" s="26"/>
      <c r="D279" s="42"/>
      <c r="E279" s="42"/>
      <c r="F279" s="42"/>
      <c r="G279" s="43"/>
      <c r="H279" s="42"/>
      <c r="I279" s="42"/>
      <c r="J279" s="42"/>
      <c r="K279" s="43"/>
      <c r="L279" s="42"/>
      <c r="M279" s="42"/>
      <c r="N279" s="42"/>
      <c r="O279" s="43"/>
      <c r="P279" s="42"/>
      <c r="Q279" s="42"/>
      <c r="R279" s="42"/>
      <c r="S279" s="43"/>
      <c r="T279" s="42"/>
      <c r="U279" s="42"/>
      <c r="V279" s="42"/>
      <c r="W279" s="43"/>
      <c r="X279" s="42"/>
      <c r="Y279" s="42"/>
      <c r="Z279" s="42"/>
      <c r="AA279" s="43"/>
      <c r="AB279" s="42"/>
      <c r="AC279" s="42"/>
      <c r="AD279" s="42"/>
      <c r="AE279" s="43"/>
      <c r="AF279" s="42"/>
      <c r="AG279" s="42"/>
      <c r="AH279" s="42"/>
      <c r="AI279" s="43"/>
      <c r="AJ279" s="42"/>
      <c r="AK279" s="56"/>
      <c r="AL279" s="56"/>
      <c r="AM279" s="55"/>
      <c r="AN279" s="42"/>
      <c r="AO279" s="56"/>
      <c r="AP279" s="56"/>
      <c r="AQ279" s="55"/>
      <c r="AR279" s="42"/>
      <c r="AS279" s="56"/>
      <c r="BL279" s="109"/>
      <c r="BM279" s="42"/>
      <c r="BN279" s="42"/>
      <c r="BO279" s="42"/>
      <c r="BP279" s="42"/>
      <c r="BQ279" s="42"/>
      <c r="BR279" s="44"/>
      <c r="BS279" s="42"/>
      <c r="BT279" s="42"/>
      <c r="BU279" s="43"/>
      <c r="BV279" s="42"/>
      <c r="CI279" s="42"/>
      <c r="CJ279" s="44"/>
      <c r="CK279" s="42"/>
      <c r="CL279" s="42"/>
      <c r="CM279" s="42"/>
      <c r="CN279" s="42"/>
      <c r="CO279" s="42"/>
      <c r="CP279" s="42"/>
      <c r="CQ279" s="42"/>
      <c r="CR279" s="42"/>
      <c r="CS279" s="43"/>
    </row>
    <row r="280" spans="1:97" ht="14.25" hidden="1" customHeight="1" outlineLevel="1">
      <c r="A280" s="18"/>
      <c r="B280" s="26"/>
      <c r="C280" s="26"/>
      <c r="D280" s="44"/>
      <c r="E280" s="44"/>
      <c r="F280" s="44"/>
      <c r="G280" s="45"/>
      <c r="H280" s="44"/>
      <c r="I280" s="44"/>
      <c r="J280" s="44"/>
      <c r="K280" s="45"/>
      <c r="L280" s="44"/>
      <c r="M280" s="44"/>
      <c r="N280" s="44"/>
      <c r="O280" s="45"/>
      <c r="P280" s="44"/>
      <c r="Q280" s="44"/>
      <c r="R280" s="44"/>
      <c r="S280" s="45"/>
      <c r="T280" s="44"/>
      <c r="U280" s="44"/>
      <c r="V280" s="44"/>
      <c r="W280" s="45"/>
      <c r="X280" s="44"/>
      <c r="Y280" s="44"/>
      <c r="Z280" s="44"/>
      <c r="AA280" s="45"/>
      <c r="AB280" s="44"/>
      <c r="AC280" s="44"/>
      <c r="AD280" s="44"/>
      <c r="AE280" s="45"/>
      <c r="AF280" s="44"/>
      <c r="AG280" s="44"/>
      <c r="AH280" s="44"/>
      <c r="AI280" s="45"/>
      <c r="AJ280" s="44"/>
      <c r="AK280" s="44"/>
      <c r="AL280" s="44"/>
      <c r="AM280" s="45"/>
      <c r="AN280" s="44"/>
      <c r="AO280" s="44"/>
      <c r="AP280" s="44"/>
      <c r="AQ280" s="45"/>
      <c r="AR280" s="44"/>
      <c r="AS280" s="44"/>
      <c r="BL280" s="109"/>
      <c r="BM280" s="44"/>
      <c r="BN280" s="44"/>
      <c r="BO280" s="44"/>
      <c r="BP280" s="44"/>
      <c r="BQ280" s="44"/>
      <c r="BR280" s="44"/>
      <c r="BS280" s="44"/>
      <c r="BT280" s="44"/>
      <c r="BU280" s="45"/>
      <c r="BV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5"/>
    </row>
    <row r="281" spans="1:97" ht="14.25" hidden="1" customHeight="1" outlineLevel="2">
      <c r="B281" s="64" t="s">
        <v>260</v>
      </c>
      <c r="AN281" s="64" t="s">
        <v>261</v>
      </c>
      <c r="AO281" s="64" t="s">
        <v>262</v>
      </c>
      <c r="AP281" s="64" t="s">
        <v>263</v>
      </c>
      <c r="AQ281" s="64" t="s">
        <v>264</v>
      </c>
      <c r="AS281" s="64"/>
    </row>
    <row r="282" spans="1:97" ht="14.25" hidden="1" customHeight="1" outlineLevel="2">
      <c r="B282" s="20" t="s">
        <v>185</v>
      </c>
      <c r="AN282" s="157">
        <f>AVERAGE(L152,P152,T152,X152,AB152,AF152,AJ152,AN152)</f>
        <v>7.6922661503549303E-2</v>
      </c>
      <c r="AO282" s="157">
        <f>AVERAGE(M152,Q152,U152,Y152,AC152,AG152,AK152,AO152)</f>
        <v>9.0081571780201111E-2</v>
      </c>
      <c r="AP282" s="157">
        <f>AVERAGE(N152,R152,V152,Z152,AD152,AH152,AL152)</f>
        <v>4.105210335961719E-2</v>
      </c>
      <c r="AQ282" s="157">
        <f>AVERAGE(O152,S152,W152,AA152,AE152,AI152,AM152)</f>
        <v>-5.664191747584587E-2</v>
      </c>
      <c r="AS282" s="157"/>
    </row>
    <row r="283" spans="1:97" ht="14.25" hidden="1" customHeight="1" outlineLevel="2">
      <c r="B283" s="20" t="s">
        <v>189</v>
      </c>
      <c r="AN283" s="155">
        <f>AVERAGE(L172,P172,T172,X172,AB172,AF172,AJ172,AN172)</f>
        <v>-7.9905561416859297E-2</v>
      </c>
      <c r="AO283" s="155">
        <f>AVERAGE(M172,Q172,U172,Y172,AC172,AG172,AK172,AO172)</f>
        <v>4.715210429120105E-2</v>
      </c>
      <c r="AP283" s="155">
        <f>AVERAGE(N172,R172,V172,Z172,AD172,AH172,AL172)</f>
        <v>2.3959543348223495E-2</v>
      </c>
      <c r="AQ283" s="155">
        <f>AVERAGE(O172,S172,W172,AA172,AE172,AI172,AM172)</f>
        <v>5.0675732541386832E-2</v>
      </c>
      <c r="AS283" s="155"/>
    </row>
    <row r="284" spans="1:97" ht="14.25" hidden="1" customHeight="1" outlineLevel="2">
      <c r="B284" s="20" t="s">
        <v>190</v>
      </c>
      <c r="AN284" s="155">
        <f>AVERAGE(L179,P179,T179,X179,AB179,AF179,AJ179,AN179)</f>
        <v>-0.21253530941279494</v>
      </c>
      <c r="AO284" s="155">
        <f>AVERAGE(M179,Q179,U179,Y179,AC179,AG179,AK179,AO179)</f>
        <v>0.17821506829260303</v>
      </c>
      <c r="AP284" s="155">
        <f>AVERAGE(N179,R179,V179,Z179,AD179,AH179,AL179)</f>
        <v>0.10736330217448631</v>
      </c>
      <c r="AQ284" s="155">
        <f>AVERAGE(O179,S179,W179,AA179,AE179,AI179,AM179)</f>
        <v>0.32885749193829605</v>
      </c>
      <c r="AS284" s="155"/>
    </row>
    <row r="285" spans="1:97" ht="14.25" hidden="1" customHeight="1" outlineLevel="2">
      <c r="B285" s="20" t="s">
        <v>191</v>
      </c>
      <c r="AN285" s="155">
        <f>AVERAGE(L186,P186,T186,X186,AB186,AF186,AJ186,AN186)</f>
        <v>4.720821389055288E-3</v>
      </c>
      <c r="AO285" s="155">
        <f>AVERAGE(M186,Q186,U186,Y186,AC186,AG186,AK186,AO186)</f>
        <v>6.3365502838202609E-2</v>
      </c>
      <c r="AP285" s="155">
        <f>AVERAGE(N186,R186,V186,Z186,AD186,AH186,AL186)</f>
        <v>0.31681837848017841</v>
      </c>
      <c r="AQ285" s="155">
        <f>AVERAGE(O186,S186,W186,AA186,AE186,AI186,AM186)</f>
        <v>0.16170428701227713</v>
      </c>
      <c r="AS285" s="155"/>
    </row>
    <row r="286" spans="1:97" ht="14.25" hidden="1" customHeight="1" outlineLevel="2">
      <c r="B286" s="20" t="s">
        <v>122</v>
      </c>
      <c r="AN286" s="155">
        <f>AVERAGE(L200,P200,T200,X200,AB200,AF200,AJ200,AN200)</f>
        <v>-2.7729426996014939E-2</v>
      </c>
      <c r="AO286" s="155">
        <f>AVERAGE(M200,Q200,U200,Y200,AC200,AG200,AK200,AO200)</f>
        <v>7.835185610855408E-2</v>
      </c>
      <c r="AP286" s="155">
        <f>AVERAGE(N200,R200,V200,Z200,AD200,AH200,AL200)</f>
        <v>-1.0379286574051436E-2</v>
      </c>
      <c r="AQ286" s="155">
        <f>AVERAGE(O200,S200,W200,AA200,AE200,AI200,AM200)</f>
        <v>1.2942151014739469E-2</v>
      </c>
      <c r="AS286" s="155"/>
    </row>
    <row r="287" spans="1:97" ht="14.25" hidden="1" customHeight="1" outlineLevel="2"/>
    <row r="288" spans="1:97" ht="14.25" hidden="1" customHeight="1" outlineLevel="2"/>
    <row r="289" ht="14.25" hidden="1" customHeight="1" outlineLevel="2"/>
    <row r="290" ht="14.25" hidden="1" customHeight="1" outlineLevel="2"/>
    <row r="291" ht="14.25" hidden="1" customHeight="1" outlineLevel="2"/>
    <row r="292" ht="14.25" hidden="1" customHeight="1" outlineLevel="2"/>
    <row r="293" ht="14.25" hidden="1" customHeight="1" outlineLevel="2"/>
    <row r="294" ht="14.25" hidden="1" customHeight="1" outlineLevel="2"/>
    <row r="295" ht="14.25" hidden="1" customHeight="1" outlineLevel="2"/>
    <row r="296" ht="14.25" hidden="1" customHeight="1" outlineLevel="1"/>
    <row r="297" ht="14.25" customHeight="1" collapsed="1"/>
  </sheetData>
  <conditionalFormatting sqref="BS128:BT128 BS114:BT114 AJ128:AL128 AJ114:AL114 AJ79:AL79">
    <cfRule type="cellIs" dxfId="171" priority="356" stopIfTrue="1" operator="between">
      <formula>-0.005</formula>
      <formula>0.005</formula>
    </cfRule>
  </conditionalFormatting>
  <conditionalFormatting sqref="B51 B65 B58 B46:B48 B60:B62 B44 B53:B55 B71:B82">
    <cfRule type="containsText" dxfId="170" priority="338" stopIfTrue="1" operator="containsText" text="FALSE">
      <formula>NOT(ISERROR(SEARCH("FALSE",B44)))</formula>
    </cfRule>
  </conditionalFormatting>
  <conditionalFormatting sqref="AF79:AI79 AF114:AI114 AF128:AI128">
    <cfRule type="cellIs" dxfId="169" priority="312" stopIfTrue="1" operator="between">
      <formula>-0.005</formula>
      <formula>0.005</formula>
    </cfRule>
  </conditionalFormatting>
  <conditionalFormatting sqref="D79:AE79 D114:AE114 D128:AE128">
    <cfRule type="cellIs" dxfId="168" priority="307" stopIfTrue="1" operator="between">
      <formula>-0.005</formula>
      <formula>0.005</formula>
    </cfRule>
  </conditionalFormatting>
  <conditionalFormatting sqref="AM79">
    <cfRule type="cellIs" dxfId="167" priority="290" stopIfTrue="1" operator="between">
      <formula>-0.005</formula>
      <formula>0.005</formula>
    </cfRule>
  </conditionalFormatting>
  <conditionalFormatting sqref="AM114">
    <cfRule type="cellIs" dxfId="166" priority="288" stopIfTrue="1" operator="between">
      <formula>-0.005</formula>
      <formula>0.005</formula>
    </cfRule>
  </conditionalFormatting>
  <conditionalFormatting sqref="AM128">
    <cfRule type="cellIs" dxfId="165" priority="287" stopIfTrue="1" operator="between">
      <formula>-0.005</formula>
      <formula>0.005</formula>
    </cfRule>
  </conditionalFormatting>
  <conditionalFormatting sqref="BU128">
    <cfRule type="cellIs" dxfId="164" priority="285" stopIfTrue="1" operator="between">
      <formula>-0.005</formula>
      <formula>0.005</formula>
    </cfRule>
  </conditionalFormatting>
  <conditionalFormatting sqref="AN128 AN114 AN79">
    <cfRule type="cellIs" dxfId="163" priority="281" stopIfTrue="1" operator="between">
      <formula>-0.005</formula>
      <formula>0.005</formula>
    </cfRule>
  </conditionalFormatting>
  <conditionalFormatting sqref="AO128 AO79 AO114:AP114">
    <cfRule type="cellIs" dxfId="162" priority="278" stopIfTrue="1" operator="between">
      <formula>-0.005</formula>
      <formula>0.005</formula>
    </cfRule>
  </conditionalFormatting>
  <conditionalFormatting sqref="B8">
    <cfRule type="containsText" dxfId="161" priority="270" stopIfTrue="1" operator="containsText" text="FALSE">
      <formula>NOT(ISERROR(SEARCH("FALSE",B8)))</formula>
    </cfRule>
  </conditionalFormatting>
  <conditionalFormatting sqref="B9:B11">
    <cfRule type="containsText" dxfId="160" priority="269" stopIfTrue="1" operator="containsText" text="FALSE">
      <formula>NOT(ISERROR(SEARCH("FALSE",B9)))</formula>
    </cfRule>
  </conditionalFormatting>
  <conditionalFormatting sqref="B67:B70">
    <cfRule type="containsText" dxfId="159" priority="259" stopIfTrue="1" operator="containsText" text="FALSE">
      <formula>NOT(ISERROR(SEARCH("FALSE",B67)))</formula>
    </cfRule>
  </conditionalFormatting>
  <conditionalFormatting sqref="B45">
    <cfRule type="containsText" dxfId="158" priority="266" stopIfTrue="1" operator="containsText" text="FALSE">
      <formula>NOT(ISERROR(SEARCH("FALSE",B45)))</formula>
    </cfRule>
  </conditionalFormatting>
  <conditionalFormatting sqref="B52">
    <cfRule type="containsText" dxfId="157" priority="265" stopIfTrue="1" operator="containsText" text="FALSE">
      <formula>NOT(ISERROR(SEARCH("FALSE",B52)))</formula>
    </cfRule>
  </conditionalFormatting>
  <conditionalFormatting sqref="B59">
    <cfRule type="containsText" dxfId="156" priority="264" stopIfTrue="1" operator="containsText" text="FALSE">
      <formula>NOT(ISERROR(SEARCH("FALSE",B59)))</formula>
    </cfRule>
  </conditionalFormatting>
  <conditionalFormatting sqref="B63">
    <cfRule type="containsText" dxfId="155" priority="261" stopIfTrue="1" operator="containsText" text="FALSE">
      <formula>NOT(ISERROR(SEARCH("FALSE",B63)))</formula>
    </cfRule>
  </conditionalFormatting>
  <conditionalFormatting sqref="B66">
    <cfRule type="containsText" dxfId="154" priority="260" stopIfTrue="1" operator="containsText" text="FALSE">
      <formula>NOT(ISERROR(SEARCH("FALSE",B66)))</formula>
    </cfRule>
  </conditionalFormatting>
  <conditionalFormatting sqref="B31">
    <cfRule type="containsText" dxfId="153" priority="232" stopIfTrue="1" operator="containsText" text="FALSE">
      <formula>NOT(ISERROR(SEARCH("FALSE",B31)))</formula>
    </cfRule>
  </conditionalFormatting>
  <conditionalFormatting sqref="B33:B34">
    <cfRule type="containsText" dxfId="152" priority="231" stopIfTrue="1" operator="containsText" text="FALSE">
      <formula>NOT(ISERROR(SEARCH("FALSE",B33)))</formula>
    </cfRule>
  </conditionalFormatting>
  <conditionalFormatting sqref="B36">
    <cfRule type="containsText" dxfId="151" priority="230" stopIfTrue="1" operator="containsText" text="FALSE">
      <formula>NOT(ISERROR(SEARCH("FALSE",B36)))</formula>
    </cfRule>
  </conditionalFormatting>
  <conditionalFormatting sqref="B39">
    <cfRule type="containsText" dxfId="150" priority="229" stopIfTrue="1" operator="containsText" text="FALSE">
      <formula>NOT(ISERROR(SEARCH("FALSE",B39)))</formula>
    </cfRule>
  </conditionalFormatting>
  <conditionalFormatting sqref="B32 B35 B38 B41">
    <cfRule type="containsText" dxfId="149" priority="248" stopIfTrue="1" operator="containsText" text="FALSE">
      <formula>NOT(ISERROR(SEARCH("FALSE",B32)))</formula>
    </cfRule>
  </conditionalFormatting>
  <conditionalFormatting sqref="CK128 CK114">
    <cfRule type="cellIs" dxfId="148" priority="247" stopIfTrue="1" operator="between">
      <formula>-0.005</formula>
      <formula>0.005</formula>
    </cfRule>
  </conditionalFormatting>
  <conditionalFormatting sqref="B42">
    <cfRule type="containsText" dxfId="147" priority="228" stopIfTrue="1" operator="containsText" text="FALSE">
      <formula>NOT(ISERROR(SEARCH("FALSE",B42)))</formula>
    </cfRule>
  </conditionalFormatting>
  <conditionalFormatting sqref="AW79:AY79">
    <cfRule type="cellIs" dxfId="146" priority="223" stopIfTrue="1" operator="between">
      <formula>-0.005</formula>
      <formula>0.005</formula>
    </cfRule>
  </conditionalFormatting>
  <conditionalFormatting sqref="B50">
    <cfRule type="containsText" dxfId="145" priority="217" stopIfTrue="1" operator="containsText" text="FALSE">
      <formula>NOT(ISERROR(SEARCH("FALSE",B50)))</formula>
    </cfRule>
  </conditionalFormatting>
  <conditionalFormatting sqref="B57">
    <cfRule type="containsText" dxfId="144" priority="214" stopIfTrue="1" operator="containsText" text="FALSE">
      <formula>NOT(ISERROR(SEARCH("FALSE",B57)))</formula>
    </cfRule>
  </conditionalFormatting>
  <conditionalFormatting sqref="B64">
    <cfRule type="containsText" dxfId="143" priority="212" stopIfTrue="1" operator="containsText" text="FALSE">
      <formula>NOT(ISERROR(SEARCH("FALSE",B64)))</formula>
    </cfRule>
  </conditionalFormatting>
  <conditionalFormatting sqref="AP79">
    <cfRule type="cellIs" dxfId="142" priority="209" stopIfTrue="1" operator="between">
      <formula>-0.005</formula>
      <formula>0.005</formula>
    </cfRule>
  </conditionalFormatting>
  <conditionalFormatting sqref="AP128">
    <cfRule type="cellIs" dxfId="141" priority="196" stopIfTrue="1" operator="between">
      <formula>-0.005</formula>
      <formula>0.005</formula>
    </cfRule>
  </conditionalFormatting>
  <conditionalFormatting sqref="AQ79">
    <cfRule type="cellIs" dxfId="140" priority="189" stopIfTrue="1" operator="between">
      <formula>-0.005</formula>
      <formula>0.005</formula>
    </cfRule>
  </conditionalFormatting>
  <conditionalFormatting sqref="AQ114">
    <cfRule type="cellIs" dxfId="139" priority="187" stopIfTrue="1" operator="between">
      <formula>-0.005</formula>
      <formula>0.005</formula>
    </cfRule>
  </conditionalFormatting>
  <conditionalFormatting sqref="AQ128">
    <cfRule type="cellIs" dxfId="138" priority="186" stopIfTrue="1" operator="between">
      <formula>-0.005</formula>
      <formula>0.005</formula>
    </cfRule>
  </conditionalFormatting>
  <conditionalFormatting sqref="B29">
    <cfRule type="containsText" dxfId="137" priority="184" stopIfTrue="1" operator="containsText" text="FALSE">
      <formula>NOT(ISERROR(SEARCH("FALSE",B29)))</formula>
    </cfRule>
  </conditionalFormatting>
  <conditionalFormatting sqref="AW79:AY79">
    <cfRule type="cellIs" dxfId="136" priority="183" stopIfTrue="1" operator="between">
      <formula>-0.005</formula>
      <formula>0.005</formula>
    </cfRule>
  </conditionalFormatting>
  <conditionalFormatting sqref="B37">
    <cfRule type="containsText" dxfId="135" priority="181" stopIfTrue="1" operator="containsText" text="FALSE">
      <formula>NOT(ISERROR(SEARCH("FALSE",B37)))</formula>
    </cfRule>
  </conditionalFormatting>
  <conditionalFormatting sqref="B40">
    <cfRule type="containsText" dxfId="134" priority="180" stopIfTrue="1" operator="containsText" text="FALSE">
      <formula>NOT(ISERROR(SEARCH("FALSE",B40)))</formula>
    </cfRule>
  </conditionalFormatting>
  <conditionalFormatting sqref="B43">
    <cfRule type="containsText" dxfId="133" priority="179" stopIfTrue="1" operator="containsText" text="FALSE">
      <formula>NOT(ISERROR(SEARCH("FALSE",B43)))</formula>
    </cfRule>
  </conditionalFormatting>
  <conditionalFormatting sqref="AR79">
    <cfRule type="cellIs" dxfId="132" priority="178" stopIfTrue="1" operator="between">
      <formula>-0.005</formula>
      <formula>0.005</formula>
    </cfRule>
  </conditionalFormatting>
  <conditionalFormatting sqref="AR114">
    <cfRule type="cellIs" dxfId="131" priority="174" stopIfTrue="1" operator="between">
      <formula>-0.005</formula>
      <formula>0.005</formula>
    </cfRule>
  </conditionalFormatting>
  <conditionalFormatting sqref="AR128">
    <cfRule type="cellIs" dxfId="130" priority="172" stopIfTrue="1" operator="between">
      <formula>-0.005</formula>
      <formula>0.005</formula>
    </cfRule>
  </conditionalFormatting>
  <conditionalFormatting sqref="AJ212:AL212 BM212:BV212">
    <cfRule type="expression" dxfId="129" priority="163" stopIfTrue="1">
      <formula>#REF!="A"</formula>
    </cfRule>
    <cfRule type="expression" dxfId="128" priority="164" stopIfTrue="1">
      <formula>#REF!="E"</formula>
    </cfRule>
  </conditionalFormatting>
  <conditionalFormatting sqref="AS128 AS79 AS114">
    <cfRule type="cellIs" dxfId="127" priority="168" stopIfTrue="1" operator="between">
      <formula>-0.005</formula>
      <formula>0.005</formula>
    </cfRule>
  </conditionalFormatting>
  <conditionalFormatting sqref="BS278:BT278 AJ278:AL278 AJ240:AL240 AJ205:AL205">
    <cfRule type="cellIs" dxfId="126" priority="165" stopIfTrue="1" operator="between">
      <formula>-0.005</formula>
      <formula>0.005</formula>
    </cfRule>
  </conditionalFormatting>
  <conditionalFormatting sqref="AF212:AI212">
    <cfRule type="expression" dxfId="125" priority="153" stopIfTrue="1">
      <formula>#REF!="A"</formula>
    </cfRule>
    <cfRule type="expression" dxfId="124" priority="154" stopIfTrue="1">
      <formula>#REF!="E"</formula>
    </cfRule>
  </conditionalFormatting>
  <conditionalFormatting sqref="B177 B191 B184 B172:B174 B186:B188 B170 B179:B181 B197:B208">
    <cfRule type="containsText" dxfId="123" priority="156" stopIfTrue="1" operator="containsText" text="FALSE">
      <formula>NOT(ISERROR(SEARCH("FALSE",B170)))</formula>
    </cfRule>
  </conditionalFormatting>
  <conditionalFormatting sqref="AF205:AI205 AF240:AI240 AF278:AI278">
    <cfRule type="cellIs" dxfId="122" priority="155" stopIfTrue="1" operator="between">
      <formula>-0.005</formula>
      <formula>0.005</formula>
    </cfRule>
  </conditionalFormatting>
  <conditionalFormatting sqref="D212:AE212">
    <cfRule type="expression" dxfId="121" priority="150" stopIfTrue="1">
      <formula>#REF!="A"</formula>
    </cfRule>
    <cfRule type="expression" dxfId="120" priority="151" stopIfTrue="1">
      <formula>#REF!="E"</formula>
    </cfRule>
  </conditionalFormatting>
  <conditionalFormatting sqref="D205:AE205 D240:AE240 D278:AE278">
    <cfRule type="cellIs" dxfId="119" priority="152" stopIfTrue="1" operator="between">
      <formula>-0.005</formula>
      <formula>0.005</formula>
    </cfRule>
  </conditionalFormatting>
  <conditionalFormatting sqref="AM212">
    <cfRule type="expression" dxfId="118" priority="145" stopIfTrue="1">
      <formula>#REF!="A"</formula>
    </cfRule>
    <cfRule type="expression" dxfId="117" priority="146" stopIfTrue="1">
      <formula>#REF!="E"</formula>
    </cfRule>
  </conditionalFormatting>
  <conditionalFormatting sqref="AM205">
    <cfRule type="cellIs" dxfId="116" priority="142" stopIfTrue="1" operator="between">
      <formula>-0.005</formula>
      <formula>0.005</formula>
    </cfRule>
  </conditionalFormatting>
  <conditionalFormatting sqref="AM240">
    <cfRule type="cellIs" dxfId="115" priority="141" stopIfTrue="1" operator="between">
      <formula>-0.005</formula>
      <formula>0.005</formula>
    </cfRule>
  </conditionalFormatting>
  <conditionalFormatting sqref="AM278">
    <cfRule type="cellIs" dxfId="114" priority="140" stopIfTrue="1" operator="between">
      <formula>-0.005</formula>
      <formula>0.005</formula>
    </cfRule>
  </conditionalFormatting>
  <conditionalFormatting sqref="BU278">
    <cfRule type="cellIs" dxfId="113" priority="138" stopIfTrue="1" operator="between">
      <formula>-0.005</formula>
      <formula>0.005</formula>
    </cfRule>
  </conditionalFormatting>
  <conditionalFormatting sqref="AN278 AN240 AN205">
    <cfRule type="cellIs" dxfId="112" priority="136" stopIfTrue="1" operator="between">
      <formula>-0.005</formula>
      <formula>0.005</formula>
    </cfRule>
  </conditionalFormatting>
  <conditionalFormatting sqref="AN212">
    <cfRule type="expression" dxfId="111" priority="134" stopIfTrue="1">
      <formula>#REF!="A"</formula>
    </cfRule>
    <cfRule type="expression" dxfId="110" priority="135" stopIfTrue="1">
      <formula>#REF!="E"</formula>
    </cfRule>
  </conditionalFormatting>
  <conditionalFormatting sqref="AO205 AO240:AP240 AO278:AP278">
    <cfRule type="cellIs" dxfId="109" priority="133" stopIfTrue="1" operator="between">
      <formula>-0.005</formula>
      <formula>0.005</formula>
    </cfRule>
  </conditionalFormatting>
  <conditionalFormatting sqref="AO212">
    <cfRule type="expression" dxfId="108" priority="131" stopIfTrue="1">
      <formula>#REF!="A"</formula>
    </cfRule>
    <cfRule type="expression" dxfId="107" priority="132" stopIfTrue="1">
      <formula>#REF!="E"</formula>
    </cfRule>
  </conditionalFormatting>
  <conditionalFormatting sqref="B151">
    <cfRule type="containsText" dxfId="106" priority="130" stopIfTrue="1" operator="containsText" text="FALSE">
      <formula>NOT(ISERROR(SEARCH("FALSE",B151)))</formula>
    </cfRule>
  </conditionalFormatting>
  <conditionalFormatting sqref="B152:B154">
    <cfRule type="containsText" dxfId="105" priority="129" stopIfTrue="1" operator="containsText" text="FALSE">
      <formula>NOT(ISERROR(SEARCH("FALSE",B152)))</formula>
    </cfRule>
  </conditionalFormatting>
  <conditionalFormatting sqref="B193:B196">
    <cfRule type="containsText" dxfId="104" priority="120" stopIfTrue="1" operator="containsText" text="FALSE">
      <formula>NOT(ISERROR(SEARCH("FALSE",B193)))</formula>
    </cfRule>
  </conditionalFormatting>
  <conditionalFormatting sqref="B156">
    <cfRule type="containsText" dxfId="103" priority="128" stopIfTrue="1" operator="containsText" text="FALSE">
      <formula>NOT(ISERROR(SEARCH("FALSE",B156)))</formula>
    </cfRule>
  </conditionalFormatting>
  <conditionalFormatting sqref="B171">
    <cfRule type="containsText" dxfId="102" priority="127" stopIfTrue="1" operator="containsText" text="FALSE">
      <formula>NOT(ISERROR(SEARCH("FALSE",B171)))</formula>
    </cfRule>
  </conditionalFormatting>
  <conditionalFormatting sqref="B178">
    <cfRule type="containsText" dxfId="101" priority="126" stopIfTrue="1" operator="containsText" text="FALSE">
      <formula>NOT(ISERROR(SEARCH("FALSE",B178)))</formula>
    </cfRule>
  </conditionalFormatting>
  <conditionalFormatting sqref="B185">
    <cfRule type="containsText" dxfId="100" priority="125" stopIfTrue="1" operator="containsText" text="FALSE">
      <formula>NOT(ISERROR(SEARCH("FALSE",B185)))</formula>
    </cfRule>
  </conditionalFormatting>
  <conditionalFormatting sqref="B175">
    <cfRule type="containsText" dxfId="99" priority="124" stopIfTrue="1" operator="containsText" text="FALSE">
      <formula>NOT(ISERROR(SEARCH("FALSE",B175)))</formula>
    </cfRule>
  </conditionalFormatting>
  <conditionalFormatting sqref="B182">
    <cfRule type="containsText" dxfId="98" priority="123" stopIfTrue="1" operator="containsText" text="FALSE">
      <formula>NOT(ISERROR(SEARCH("FALSE",B182)))</formula>
    </cfRule>
  </conditionalFormatting>
  <conditionalFormatting sqref="B189">
    <cfRule type="containsText" dxfId="97" priority="122" stopIfTrue="1" operator="containsText" text="FALSE">
      <formula>NOT(ISERROR(SEARCH("FALSE",B189)))</formula>
    </cfRule>
  </conditionalFormatting>
  <conditionalFormatting sqref="B192">
    <cfRule type="containsText" dxfId="96" priority="121" stopIfTrue="1" operator="containsText" text="FALSE">
      <formula>NOT(ISERROR(SEARCH("FALSE",B192)))</formula>
    </cfRule>
  </conditionalFormatting>
  <conditionalFormatting sqref="B157">
    <cfRule type="containsText" dxfId="95" priority="103" stopIfTrue="1" operator="containsText" text="FALSE">
      <formula>NOT(ISERROR(SEARCH("FALSE",B157)))</formula>
    </cfRule>
  </conditionalFormatting>
  <conditionalFormatting sqref="B159:B160">
    <cfRule type="containsText" dxfId="94" priority="102" stopIfTrue="1" operator="containsText" text="FALSE">
      <formula>NOT(ISERROR(SEARCH("FALSE",B159)))</formula>
    </cfRule>
  </conditionalFormatting>
  <conditionalFormatting sqref="B162">
    <cfRule type="containsText" dxfId="93" priority="101" stopIfTrue="1" operator="containsText" text="FALSE">
      <formula>NOT(ISERROR(SEARCH("FALSE",B162)))</formula>
    </cfRule>
  </conditionalFormatting>
  <conditionalFormatting sqref="B165">
    <cfRule type="containsText" dxfId="92" priority="100" stopIfTrue="1" operator="containsText" text="FALSE">
      <formula>NOT(ISERROR(SEARCH("FALSE",B165)))</formula>
    </cfRule>
  </conditionalFormatting>
  <conditionalFormatting sqref="B158 B161 B164 B167">
    <cfRule type="containsText" dxfId="91" priority="119" stopIfTrue="1" operator="containsText" text="FALSE">
      <formula>NOT(ISERROR(SEARCH("FALSE",B158)))</formula>
    </cfRule>
  </conditionalFormatting>
  <conditionalFormatting sqref="CJ212:CK212">
    <cfRule type="expression" dxfId="90" priority="116" stopIfTrue="1">
      <formula>#REF!="A"</formula>
    </cfRule>
    <cfRule type="expression" dxfId="89" priority="117" stopIfTrue="1">
      <formula>#REF!="E"</formula>
    </cfRule>
  </conditionalFormatting>
  <conditionalFormatting sqref="CK278">
    <cfRule type="cellIs" dxfId="88" priority="118" stopIfTrue="1" operator="between">
      <formula>-0.005</formula>
      <formula>0.005</formula>
    </cfRule>
  </conditionalFormatting>
  <conditionalFormatting sqref="CP212">
    <cfRule type="expression" dxfId="87" priority="114" stopIfTrue="1">
      <formula>#REF!="A"</formula>
    </cfRule>
    <cfRule type="expression" dxfId="86" priority="115" stopIfTrue="1">
      <formula>#REF!="E"</formula>
    </cfRule>
  </conditionalFormatting>
  <conditionalFormatting sqref="CQ212">
    <cfRule type="expression" dxfId="85" priority="112" stopIfTrue="1">
      <formula>#REF!="A"</formula>
    </cfRule>
    <cfRule type="expression" dxfId="84" priority="113" stopIfTrue="1">
      <formula>#REF!="E"</formula>
    </cfRule>
  </conditionalFormatting>
  <conditionalFormatting sqref="CR212">
    <cfRule type="expression" dxfId="83" priority="110" stopIfTrue="1">
      <formula>#REF!="A"</formula>
    </cfRule>
    <cfRule type="expression" dxfId="82" priority="111" stopIfTrue="1">
      <formula>#REF!="E"</formula>
    </cfRule>
  </conditionalFormatting>
  <conditionalFormatting sqref="CS212">
    <cfRule type="expression" dxfId="81" priority="108" stopIfTrue="1">
      <formula>#REF!="A"</formula>
    </cfRule>
    <cfRule type="expression" dxfId="80" priority="109" stopIfTrue="1">
      <formula>#REF!="E"</formula>
    </cfRule>
  </conditionalFormatting>
  <conditionalFormatting sqref="CI212">
    <cfRule type="expression" dxfId="79" priority="104" stopIfTrue="1">
      <formula>#REF!="A"</formula>
    </cfRule>
    <cfRule type="expression" dxfId="78" priority="105" stopIfTrue="1">
      <formula>#REF!="E"</formula>
    </cfRule>
  </conditionalFormatting>
  <conditionalFormatting sqref="B168">
    <cfRule type="containsText" dxfId="77" priority="99" stopIfTrue="1" operator="containsText" text="FALSE">
      <formula>NOT(ISERROR(SEARCH("FALSE",B168)))</formula>
    </cfRule>
  </conditionalFormatting>
  <conditionalFormatting sqref="B176">
    <cfRule type="containsText" dxfId="76" priority="92" stopIfTrue="1" operator="containsText" text="FALSE">
      <formula>NOT(ISERROR(SEARCH("FALSE",B176)))</formula>
    </cfRule>
  </conditionalFormatting>
  <conditionalFormatting sqref="B183">
    <cfRule type="containsText" dxfId="75" priority="91" stopIfTrue="1" operator="containsText" text="FALSE">
      <formula>NOT(ISERROR(SEARCH("FALSE",B183)))</formula>
    </cfRule>
  </conditionalFormatting>
  <conditionalFormatting sqref="B190">
    <cfRule type="containsText" dxfId="74" priority="90" stopIfTrue="1" operator="containsText" text="FALSE">
      <formula>NOT(ISERROR(SEARCH("FALSE",B190)))</formula>
    </cfRule>
  </conditionalFormatting>
  <conditionalFormatting sqref="AP205">
    <cfRule type="cellIs" dxfId="73" priority="88" stopIfTrue="1" operator="between">
      <formula>-0.005</formula>
      <formula>0.005</formula>
    </cfRule>
  </conditionalFormatting>
  <conditionalFormatting sqref="AP212">
    <cfRule type="expression" dxfId="72" priority="86" stopIfTrue="1">
      <formula>#REF!="A"</formula>
    </cfRule>
    <cfRule type="expression" dxfId="71" priority="87" stopIfTrue="1">
      <formula>#REF!="E"</formula>
    </cfRule>
  </conditionalFormatting>
  <conditionalFormatting sqref="B213">
    <cfRule type="containsText" dxfId="70" priority="80" stopIfTrue="1" operator="containsText" text="FALSE">
      <formula>NOT(ISERROR(SEARCH("FALSE",B213)))</formula>
    </cfRule>
  </conditionalFormatting>
  <conditionalFormatting sqref="B218">
    <cfRule type="containsText" dxfId="69" priority="79" stopIfTrue="1" operator="containsText" text="FALSE">
      <formula>NOT(ISERROR(SEARCH("FALSE",B218)))</formula>
    </cfRule>
  </conditionalFormatting>
  <conditionalFormatting sqref="B223">
    <cfRule type="containsText" dxfId="68" priority="78" stopIfTrue="1" operator="containsText" text="FALSE">
      <formula>NOT(ISERROR(SEARCH("FALSE",B223)))</formula>
    </cfRule>
  </conditionalFormatting>
  <conditionalFormatting sqref="B228">
    <cfRule type="containsText" dxfId="67" priority="77" stopIfTrue="1" operator="containsText" text="FALSE">
      <formula>NOT(ISERROR(SEARCH("FALSE",B228)))</formula>
    </cfRule>
  </conditionalFormatting>
  <conditionalFormatting sqref="AQ212">
    <cfRule type="expression" dxfId="66" priority="75" stopIfTrue="1">
      <formula>#REF!="A"</formula>
    </cfRule>
    <cfRule type="expression" dxfId="65" priority="76" stopIfTrue="1">
      <formula>#REF!="E"</formula>
    </cfRule>
  </conditionalFormatting>
  <conditionalFormatting sqref="AQ205">
    <cfRule type="cellIs" dxfId="64" priority="74" stopIfTrue="1" operator="between">
      <formula>-0.005</formula>
      <formula>0.005</formula>
    </cfRule>
  </conditionalFormatting>
  <conditionalFormatting sqref="AQ240">
    <cfRule type="cellIs" dxfId="63" priority="73" stopIfTrue="1" operator="between">
      <formula>-0.005</formula>
      <formula>0.005</formula>
    </cfRule>
  </conditionalFormatting>
  <conditionalFormatting sqref="AQ278">
    <cfRule type="cellIs" dxfId="62" priority="72" stopIfTrue="1" operator="between">
      <formula>-0.005</formula>
      <formula>0.005</formula>
    </cfRule>
  </conditionalFormatting>
  <conditionalFormatting sqref="B155">
    <cfRule type="containsText" dxfId="61" priority="70" stopIfTrue="1" operator="containsText" text="FALSE">
      <formula>NOT(ISERROR(SEARCH("FALSE",B155)))</formula>
    </cfRule>
  </conditionalFormatting>
  <conditionalFormatting sqref="AR205">
    <cfRule type="cellIs" dxfId="60" priority="65" stopIfTrue="1" operator="between">
      <formula>-0.005</formula>
      <formula>0.005</formula>
    </cfRule>
  </conditionalFormatting>
  <conditionalFormatting sqref="B163">
    <cfRule type="containsText" dxfId="59" priority="68" stopIfTrue="1" operator="containsText" text="FALSE">
      <formula>NOT(ISERROR(SEARCH("FALSE",B163)))</formula>
    </cfRule>
  </conditionalFormatting>
  <conditionalFormatting sqref="B166">
    <cfRule type="containsText" dxfId="58" priority="67" stopIfTrue="1" operator="containsText" text="FALSE">
      <formula>NOT(ISERROR(SEARCH("FALSE",B166)))</formula>
    </cfRule>
  </conditionalFormatting>
  <conditionalFormatting sqref="B169">
    <cfRule type="containsText" dxfId="57" priority="66" stopIfTrue="1" operator="containsText" text="FALSE">
      <formula>NOT(ISERROR(SEARCH("FALSE",B169)))</formula>
    </cfRule>
  </conditionalFormatting>
  <conditionalFormatting sqref="AR212">
    <cfRule type="expression" dxfId="56" priority="62" stopIfTrue="1">
      <formula>#REF!="A"</formula>
    </cfRule>
    <cfRule type="expression" dxfId="55" priority="63" stopIfTrue="1">
      <formula>#REF!="E"</formula>
    </cfRule>
  </conditionalFormatting>
  <conditionalFormatting sqref="AR240">
    <cfRule type="cellIs" dxfId="54" priority="64" stopIfTrue="1" operator="between">
      <formula>-0.005</formula>
      <formula>0.005</formula>
    </cfRule>
  </conditionalFormatting>
  <conditionalFormatting sqref="AR278">
    <cfRule type="cellIs" dxfId="53" priority="61" stopIfTrue="1" operator="between">
      <formula>-0.005</formula>
      <formula>0.005</formula>
    </cfRule>
  </conditionalFormatting>
  <conditionalFormatting sqref="AS205 AS240 AS278">
    <cfRule type="cellIs" dxfId="52" priority="59" stopIfTrue="1" operator="between">
      <formula>-0.005</formula>
      <formula>0.005</formula>
    </cfRule>
  </conditionalFormatting>
  <conditionalFormatting sqref="AS212">
    <cfRule type="expression" dxfId="51" priority="57" stopIfTrue="1">
      <formula>#REF!="A"</formula>
    </cfRule>
    <cfRule type="expression" dxfId="50" priority="58" stopIfTrue="1">
      <formula>#REF!="E"</formula>
    </cfRule>
  </conditionalFormatting>
  <conditionalFormatting sqref="AT79">
    <cfRule type="cellIs" dxfId="49" priority="56" stopIfTrue="1" operator="between">
      <formula>-0.005</formula>
      <formula>0.005</formula>
    </cfRule>
  </conditionalFormatting>
  <conditionalFormatting sqref="B56">
    <cfRule type="containsText" dxfId="48" priority="55" stopIfTrue="1" operator="containsText" text="FALSE">
      <formula>NOT(ISERROR(SEARCH("FALSE",B56)))</formula>
    </cfRule>
  </conditionalFormatting>
  <conditionalFormatting sqref="B49">
    <cfRule type="containsText" dxfId="47" priority="54" stopIfTrue="1" operator="containsText" text="FALSE">
      <formula>NOT(ISERROR(SEARCH("FALSE",B49)))</formula>
    </cfRule>
  </conditionalFormatting>
  <conditionalFormatting sqref="B30">
    <cfRule type="containsText" dxfId="46" priority="53" stopIfTrue="1" operator="containsText" text="FALSE">
      <formula>NOT(ISERROR(SEARCH("FALSE",B30)))</formula>
    </cfRule>
  </conditionalFormatting>
  <conditionalFormatting sqref="AT114">
    <cfRule type="cellIs" dxfId="45" priority="52" stopIfTrue="1" operator="between">
      <formula>-0.005</formula>
      <formula>0.005</formula>
    </cfRule>
  </conditionalFormatting>
  <conditionalFormatting sqref="BU114">
    <cfRule type="cellIs" dxfId="44" priority="51" stopIfTrue="1" operator="between">
      <formula>-0.005</formula>
      <formula>0.005</formula>
    </cfRule>
  </conditionalFormatting>
  <conditionalFormatting sqref="BV114">
    <cfRule type="cellIs" dxfId="43" priority="50" stopIfTrue="1" operator="between">
      <formula>-0.005</formula>
      <formula>0.005</formula>
    </cfRule>
  </conditionalFormatting>
  <conditionalFormatting sqref="AZ128">
    <cfRule type="cellIs" dxfId="42" priority="49" stopIfTrue="1" operator="between">
      <formula>-0.005</formula>
      <formula>0.005</formula>
    </cfRule>
  </conditionalFormatting>
  <conditionalFormatting sqref="BA128:BC128 BA114:BC114 BA79:BC79">
    <cfRule type="cellIs" dxfId="41" priority="48" stopIfTrue="1" operator="between">
      <formula>-0.005</formula>
      <formula>0.005</formula>
    </cfRule>
  </conditionalFormatting>
  <conditionalFormatting sqref="BA79:BC79">
    <cfRule type="cellIs" dxfId="40" priority="46" stopIfTrue="1" operator="between">
      <formula>-0.005</formula>
      <formula>0.005</formula>
    </cfRule>
  </conditionalFormatting>
  <conditionalFormatting sqref="AU79">
    <cfRule type="cellIs" dxfId="39" priority="45" stopIfTrue="1" operator="between">
      <formula>-0.005</formula>
      <formula>0.005</formula>
    </cfRule>
  </conditionalFormatting>
  <conditionalFormatting sqref="AU114">
    <cfRule type="cellIs" dxfId="38" priority="44" stopIfTrue="1" operator="between">
      <formula>-0.005</formula>
      <formula>0.005</formula>
    </cfRule>
  </conditionalFormatting>
  <conditionalFormatting sqref="AU128">
    <cfRule type="cellIs" dxfId="37" priority="43" stopIfTrue="1" operator="between">
      <formula>-0.005</formula>
      <formula>0.005</formula>
    </cfRule>
  </conditionalFormatting>
  <conditionalFormatting sqref="AT128">
    <cfRule type="cellIs" dxfId="36" priority="42" stopIfTrue="1" operator="between">
      <formula>-0.005</formula>
      <formula>0.005</formula>
    </cfRule>
  </conditionalFormatting>
  <conditionalFormatting sqref="AV79">
    <cfRule type="cellIs" dxfId="35" priority="41" stopIfTrue="1" operator="between">
      <formula>-0.005</formula>
      <formula>0.005</formula>
    </cfRule>
  </conditionalFormatting>
  <conditionalFormatting sqref="AV114">
    <cfRule type="cellIs" dxfId="34" priority="40" stopIfTrue="1" operator="between">
      <formula>-0.005</formula>
      <formula>0.005</formula>
    </cfRule>
  </conditionalFormatting>
  <conditionalFormatting sqref="AV128">
    <cfRule type="cellIs" dxfId="33" priority="39" stopIfTrue="1" operator="between">
      <formula>-0.005</formula>
      <formula>0.005</formula>
    </cfRule>
  </conditionalFormatting>
  <conditionalFormatting sqref="B13:B15">
    <cfRule type="containsText" dxfId="32" priority="35" stopIfTrue="1" operator="containsText" text="FALSE">
      <formula>NOT(ISERROR(SEARCH("FALSE",B13)))</formula>
    </cfRule>
  </conditionalFormatting>
  <conditionalFormatting sqref="B17">
    <cfRule type="containsText" dxfId="31" priority="34" stopIfTrue="1" operator="containsText" text="FALSE">
      <formula>NOT(ISERROR(SEARCH("FALSE",B17)))</formula>
    </cfRule>
  </conditionalFormatting>
  <conditionalFormatting sqref="B21">
    <cfRule type="containsText" dxfId="30" priority="33" stopIfTrue="1" operator="containsText" text="FALSE">
      <formula>NOT(ISERROR(SEARCH("FALSE",B21)))</formula>
    </cfRule>
  </conditionalFormatting>
  <conditionalFormatting sqref="B12 B16 B20 B24">
    <cfRule type="containsText" dxfId="29" priority="37" stopIfTrue="1" operator="containsText" text="FALSE">
      <formula>NOT(ISERROR(SEARCH("FALSE",B12)))</formula>
    </cfRule>
  </conditionalFormatting>
  <conditionalFormatting sqref="B25">
    <cfRule type="containsText" dxfId="28" priority="32" stopIfTrue="1" operator="containsText" text="FALSE">
      <formula>NOT(ISERROR(SEARCH("FALSE",B25)))</formula>
    </cfRule>
  </conditionalFormatting>
  <conditionalFormatting sqref="B18">
    <cfRule type="containsText" dxfId="27" priority="31" stopIfTrue="1" operator="containsText" text="FALSE">
      <formula>NOT(ISERROR(SEARCH("FALSE",B18)))</formula>
    </cfRule>
  </conditionalFormatting>
  <conditionalFormatting sqref="B22">
    <cfRule type="containsText" dxfId="26" priority="30" stopIfTrue="1" operator="containsText" text="FALSE">
      <formula>NOT(ISERROR(SEARCH("FALSE",B22)))</formula>
    </cfRule>
  </conditionalFormatting>
  <conditionalFormatting sqref="B26 B28">
    <cfRule type="containsText" dxfId="25" priority="29" stopIfTrue="1" operator="containsText" text="FALSE">
      <formula>NOT(ISERROR(SEARCH("FALSE",B26)))</formula>
    </cfRule>
  </conditionalFormatting>
  <conditionalFormatting sqref="B19">
    <cfRule type="containsText" dxfId="24" priority="27" stopIfTrue="1" operator="containsText" text="FALSE">
      <formula>NOT(ISERROR(SEARCH("FALSE",B19)))</formula>
    </cfRule>
  </conditionalFormatting>
  <conditionalFormatting sqref="B23">
    <cfRule type="containsText" dxfId="23" priority="26" stopIfTrue="1" operator="containsText" text="FALSE">
      <formula>NOT(ISERROR(SEARCH("FALSE",B23)))</formula>
    </cfRule>
  </conditionalFormatting>
  <conditionalFormatting sqref="B27">
    <cfRule type="containsText" dxfId="22" priority="25" stopIfTrue="1" operator="containsText" text="FALSE">
      <formula>NOT(ISERROR(SEARCH("FALSE",B27)))</formula>
    </cfRule>
  </conditionalFormatting>
  <conditionalFormatting sqref="AW114">
    <cfRule type="cellIs" dxfId="21" priority="24" stopIfTrue="1" operator="between">
      <formula>-0.005</formula>
      <formula>0.005</formula>
    </cfRule>
  </conditionalFormatting>
  <conditionalFormatting sqref="AW128">
    <cfRule type="cellIs" dxfId="20" priority="23" stopIfTrue="1" operator="between">
      <formula>-0.005</formula>
      <formula>0.005</formula>
    </cfRule>
  </conditionalFormatting>
  <conditionalFormatting sqref="AX128">
    <cfRule type="cellIs" dxfId="19" priority="22" stopIfTrue="1" operator="between">
      <formula>-0.005</formula>
      <formula>0.005</formula>
    </cfRule>
  </conditionalFormatting>
  <conditionalFormatting sqref="AX114">
    <cfRule type="cellIs" dxfId="18" priority="21" stopIfTrue="1" operator="between">
      <formula>-0.005</formula>
      <formula>0.005</formula>
    </cfRule>
  </conditionalFormatting>
  <conditionalFormatting sqref="BD128 BD114">
    <cfRule type="cellIs" dxfId="17" priority="20" stopIfTrue="1" operator="between">
      <formula>-0.005</formula>
      <formula>0.005</formula>
    </cfRule>
  </conditionalFormatting>
  <conditionalFormatting sqref="BE128:BG128 BE114:BG114">
    <cfRule type="cellIs" dxfId="16" priority="19" stopIfTrue="1" operator="between">
      <formula>-0.005</formula>
      <formula>0.005</formula>
    </cfRule>
  </conditionalFormatting>
  <conditionalFormatting sqref="BE79:BG79">
    <cfRule type="cellIs" dxfId="15" priority="16" stopIfTrue="1" operator="between">
      <formula>-0.005</formula>
      <formula>0.005</formula>
    </cfRule>
  </conditionalFormatting>
  <conditionalFormatting sqref="BD79">
    <cfRule type="cellIs" dxfId="14" priority="15" stopIfTrue="1" operator="between">
      <formula>-0.005</formula>
      <formula>0.005</formula>
    </cfRule>
  </conditionalFormatting>
  <conditionalFormatting sqref="BD79:BG79">
    <cfRule type="cellIs" dxfId="13" priority="14" stopIfTrue="1" operator="between">
      <formula>-0.005</formula>
      <formula>0.005</formula>
    </cfRule>
  </conditionalFormatting>
  <conditionalFormatting sqref="AY114">
    <cfRule type="cellIs" dxfId="12" priority="13" stopIfTrue="1" operator="between">
      <formula>-0.005</formula>
      <formula>0.005</formula>
    </cfRule>
  </conditionalFormatting>
  <conditionalFormatting sqref="AY128">
    <cfRule type="cellIs" dxfId="11" priority="12" stopIfTrue="1" operator="between">
      <formula>-0.005</formula>
      <formula>0.005</formula>
    </cfRule>
  </conditionalFormatting>
  <conditionalFormatting sqref="BH128 BH114">
    <cfRule type="cellIs" dxfId="10" priority="11" stopIfTrue="1" operator="between">
      <formula>-0.005</formula>
      <formula>0.005</formula>
    </cfRule>
  </conditionalFormatting>
  <conditionalFormatting sqref="BI128:BK128 BI114:BK114">
    <cfRule type="cellIs" dxfId="9" priority="10" stopIfTrue="1" operator="between">
      <formula>-0.005</formula>
      <formula>0.005</formula>
    </cfRule>
  </conditionalFormatting>
  <conditionalFormatting sqref="BI79:BK79">
    <cfRule type="cellIs" dxfId="8" priority="9" stopIfTrue="1" operator="between">
      <formula>-0.005</formula>
      <formula>0.005</formula>
    </cfRule>
  </conditionalFormatting>
  <conditionalFormatting sqref="BH79">
    <cfRule type="cellIs" dxfId="7" priority="8" stopIfTrue="1" operator="between">
      <formula>-0.005</formula>
      <formula>0.005</formula>
    </cfRule>
  </conditionalFormatting>
  <conditionalFormatting sqref="BH79:BK79">
    <cfRule type="cellIs" dxfId="6" priority="7" stopIfTrue="1" operator="between">
      <formula>-0.005</formula>
      <formula>0.005</formula>
    </cfRule>
  </conditionalFormatting>
  <conditionalFormatting sqref="CL128:CO128 CL114:CO114">
    <cfRule type="cellIs" dxfId="5" priority="6" stopIfTrue="1" operator="between">
      <formula>-0.005</formula>
      <formula>0.005</formula>
    </cfRule>
  </conditionalFormatting>
  <conditionalFormatting sqref="CL212:CO212">
    <cfRule type="expression" dxfId="4" priority="3" stopIfTrue="1">
      <formula>#REF!="A"</formula>
    </cfRule>
    <cfRule type="expression" dxfId="3" priority="4" stopIfTrue="1">
      <formula>#REF!="E"</formula>
    </cfRule>
  </conditionalFormatting>
  <conditionalFormatting sqref="CL278:CO278">
    <cfRule type="cellIs" dxfId="2" priority="5" stopIfTrue="1" operator="between">
      <formula>-0.005</formula>
      <formula>0.005</formula>
    </cfRule>
  </conditionalFormatting>
  <conditionalFormatting sqref="AZ79">
    <cfRule type="cellIs" dxfId="1" priority="2" stopIfTrue="1" operator="between">
      <formula>-0.005</formula>
      <formula>0.005</formula>
    </cfRule>
  </conditionalFormatting>
  <conditionalFormatting sqref="AZ114">
    <cfRule type="cellIs" dxfId="0" priority="1" stopIfTrue="1" operator="between">
      <formula>-0.005</formula>
      <formula>0.005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766" bestFit="1" customWidth="1"/>
    <col min="2" max="2" width="19.85546875" style="858" customWidth="1"/>
    <col min="3" max="3" width="12" style="766" bestFit="1" customWidth="1"/>
    <col min="4" max="256" width="9.140625" style="766"/>
    <col min="257" max="257" width="29.5703125" style="766" bestFit="1" customWidth="1"/>
    <col min="258" max="258" width="19.85546875" style="766" customWidth="1"/>
    <col min="259" max="259" width="12" style="766" bestFit="1" customWidth="1"/>
    <col min="260" max="512" width="9.140625" style="766"/>
    <col min="513" max="513" width="29.5703125" style="766" bestFit="1" customWidth="1"/>
    <col min="514" max="514" width="19.85546875" style="766" customWidth="1"/>
    <col min="515" max="515" width="12" style="766" bestFit="1" customWidth="1"/>
    <col min="516" max="768" width="9.140625" style="766"/>
    <col min="769" max="769" width="29.5703125" style="766" bestFit="1" customWidth="1"/>
    <col min="770" max="770" width="19.85546875" style="766" customWidth="1"/>
    <col min="771" max="771" width="12" style="766" bestFit="1" customWidth="1"/>
    <col min="772" max="1024" width="9.140625" style="766"/>
    <col min="1025" max="1025" width="29.5703125" style="766" bestFit="1" customWidth="1"/>
    <col min="1026" max="1026" width="19.85546875" style="766" customWidth="1"/>
    <col min="1027" max="1027" width="12" style="766" bestFit="1" customWidth="1"/>
    <col min="1028" max="1280" width="9.140625" style="766"/>
    <col min="1281" max="1281" width="29.5703125" style="766" bestFit="1" customWidth="1"/>
    <col min="1282" max="1282" width="19.85546875" style="766" customWidth="1"/>
    <col min="1283" max="1283" width="12" style="766" bestFit="1" customWidth="1"/>
    <col min="1284" max="1536" width="9.140625" style="766"/>
    <col min="1537" max="1537" width="29.5703125" style="766" bestFit="1" customWidth="1"/>
    <col min="1538" max="1538" width="19.85546875" style="766" customWidth="1"/>
    <col min="1539" max="1539" width="12" style="766" bestFit="1" customWidth="1"/>
    <col min="1540" max="1792" width="9.140625" style="766"/>
    <col min="1793" max="1793" width="29.5703125" style="766" bestFit="1" customWidth="1"/>
    <col min="1794" max="1794" width="19.85546875" style="766" customWidth="1"/>
    <col min="1795" max="1795" width="12" style="766" bestFit="1" customWidth="1"/>
    <col min="1796" max="2048" width="9.140625" style="766"/>
    <col min="2049" max="2049" width="29.5703125" style="766" bestFit="1" customWidth="1"/>
    <col min="2050" max="2050" width="19.85546875" style="766" customWidth="1"/>
    <col min="2051" max="2051" width="12" style="766" bestFit="1" customWidth="1"/>
    <col min="2052" max="2304" width="9.140625" style="766"/>
    <col min="2305" max="2305" width="29.5703125" style="766" bestFit="1" customWidth="1"/>
    <col min="2306" max="2306" width="19.85546875" style="766" customWidth="1"/>
    <col min="2307" max="2307" width="12" style="766" bestFit="1" customWidth="1"/>
    <col min="2308" max="2560" width="9.140625" style="766"/>
    <col min="2561" max="2561" width="29.5703125" style="766" bestFit="1" customWidth="1"/>
    <col min="2562" max="2562" width="19.85546875" style="766" customWidth="1"/>
    <col min="2563" max="2563" width="12" style="766" bestFit="1" customWidth="1"/>
    <col min="2564" max="2816" width="9.140625" style="766"/>
    <col min="2817" max="2817" width="29.5703125" style="766" bestFit="1" customWidth="1"/>
    <col min="2818" max="2818" width="19.85546875" style="766" customWidth="1"/>
    <col min="2819" max="2819" width="12" style="766" bestFit="1" customWidth="1"/>
    <col min="2820" max="3072" width="9.140625" style="766"/>
    <col min="3073" max="3073" width="29.5703125" style="766" bestFit="1" customWidth="1"/>
    <col min="3074" max="3074" width="19.85546875" style="766" customWidth="1"/>
    <col min="3075" max="3075" width="12" style="766" bestFit="1" customWidth="1"/>
    <col min="3076" max="3328" width="9.140625" style="766"/>
    <col min="3329" max="3329" width="29.5703125" style="766" bestFit="1" customWidth="1"/>
    <col min="3330" max="3330" width="19.85546875" style="766" customWidth="1"/>
    <col min="3331" max="3331" width="12" style="766" bestFit="1" customWidth="1"/>
    <col min="3332" max="3584" width="9.140625" style="766"/>
    <col min="3585" max="3585" width="29.5703125" style="766" bestFit="1" customWidth="1"/>
    <col min="3586" max="3586" width="19.85546875" style="766" customWidth="1"/>
    <col min="3587" max="3587" width="12" style="766" bestFit="1" customWidth="1"/>
    <col min="3588" max="3840" width="9.140625" style="766"/>
    <col min="3841" max="3841" width="29.5703125" style="766" bestFit="1" customWidth="1"/>
    <col min="3842" max="3842" width="19.85546875" style="766" customWidth="1"/>
    <col min="3843" max="3843" width="12" style="766" bestFit="1" customWidth="1"/>
    <col min="3844" max="4096" width="9.140625" style="766"/>
    <col min="4097" max="4097" width="29.5703125" style="766" bestFit="1" customWidth="1"/>
    <col min="4098" max="4098" width="19.85546875" style="766" customWidth="1"/>
    <col min="4099" max="4099" width="12" style="766" bestFit="1" customWidth="1"/>
    <col min="4100" max="4352" width="9.140625" style="766"/>
    <col min="4353" max="4353" width="29.5703125" style="766" bestFit="1" customWidth="1"/>
    <col min="4354" max="4354" width="19.85546875" style="766" customWidth="1"/>
    <col min="4355" max="4355" width="12" style="766" bestFit="1" customWidth="1"/>
    <col min="4356" max="4608" width="9.140625" style="766"/>
    <col min="4609" max="4609" width="29.5703125" style="766" bestFit="1" customWidth="1"/>
    <col min="4610" max="4610" width="19.85546875" style="766" customWidth="1"/>
    <col min="4611" max="4611" width="12" style="766" bestFit="1" customWidth="1"/>
    <col min="4612" max="4864" width="9.140625" style="766"/>
    <col min="4865" max="4865" width="29.5703125" style="766" bestFit="1" customWidth="1"/>
    <col min="4866" max="4866" width="19.85546875" style="766" customWidth="1"/>
    <col min="4867" max="4867" width="12" style="766" bestFit="1" customWidth="1"/>
    <col min="4868" max="5120" width="9.140625" style="766"/>
    <col min="5121" max="5121" width="29.5703125" style="766" bestFit="1" customWidth="1"/>
    <col min="5122" max="5122" width="19.85546875" style="766" customWidth="1"/>
    <col min="5123" max="5123" width="12" style="766" bestFit="1" customWidth="1"/>
    <col min="5124" max="5376" width="9.140625" style="766"/>
    <col min="5377" max="5377" width="29.5703125" style="766" bestFit="1" customWidth="1"/>
    <col min="5378" max="5378" width="19.85546875" style="766" customWidth="1"/>
    <col min="5379" max="5379" width="12" style="766" bestFit="1" customWidth="1"/>
    <col min="5380" max="5632" width="9.140625" style="766"/>
    <col min="5633" max="5633" width="29.5703125" style="766" bestFit="1" customWidth="1"/>
    <col min="5634" max="5634" width="19.85546875" style="766" customWidth="1"/>
    <col min="5635" max="5635" width="12" style="766" bestFit="1" customWidth="1"/>
    <col min="5636" max="5888" width="9.140625" style="766"/>
    <col min="5889" max="5889" width="29.5703125" style="766" bestFit="1" customWidth="1"/>
    <col min="5890" max="5890" width="19.85546875" style="766" customWidth="1"/>
    <col min="5891" max="5891" width="12" style="766" bestFit="1" customWidth="1"/>
    <col min="5892" max="6144" width="9.140625" style="766"/>
    <col min="6145" max="6145" width="29.5703125" style="766" bestFit="1" customWidth="1"/>
    <col min="6146" max="6146" width="19.85546875" style="766" customWidth="1"/>
    <col min="6147" max="6147" width="12" style="766" bestFit="1" customWidth="1"/>
    <col min="6148" max="6400" width="9.140625" style="766"/>
    <col min="6401" max="6401" width="29.5703125" style="766" bestFit="1" customWidth="1"/>
    <col min="6402" max="6402" width="19.85546875" style="766" customWidth="1"/>
    <col min="6403" max="6403" width="12" style="766" bestFit="1" customWidth="1"/>
    <col min="6404" max="6656" width="9.140625" style="766"/>
    <col min="6657" max="6657" width="29.5703125" style="766" bestFit="1" customWidth="1"/>
    <col min="6658" max="6658" width="19.85546875" style="766" customWidth="1"/>
    <col min="6659" max="6659" width="12" style="766" bestFit="1" customWidth="1"/>
    <col min="6660" max="6912" width="9.140625" style="766"/>
    <col min="6913" max="6913" width="29.5703125" style="766" bestFit="1" customWidth="1"/>
    <col min="6914" max="6914" width="19.85546875" style="766" customWidth="1"/>
    <col min="6915" max="6915" width="12" style="766" bestFit="1" customWidth="1"/>
    <col min="6916" max="7168" width="9.140625" style="766"/>
    <col min="7169" max="7169" width="29.5703125" style="766" bestFit="1" customWidth="1"/>
    <col min="7170" max="7170" width="19.85546875" style="766" customWidth="1"/>
    <col min="7171" max="7171" width="12" style="766" bestFit="1" customWidth="1"/>
    <col min="7172" max="7424" width="9.140625" style="766"/>
    <col min="7425" max="7425" width="29.5703125" style="766" bestFit="1" customWidth="1"/>
    <col min="7426" max="7426" width="19.85546875" style="766" customWidth="1"/>
    <col min="7427" max="7427" width="12" style="766" bestFit="1" customWidth="1"/>
    <col min="7428" max="7680" width="9.140625" style="766"/>
    <col min="7681" max="7681" width="29.5703125" style="766" bestFit="1" customWidth="1"/>
    <col min="7682" max="7682" width="19.85546875" style="766" customWidth="1"/>
    <col min="7683" max="7683" width="12" style="766" bestFit="1" customWidth="1"/>
    <col min="7684" max="7936" width="9.140625" style="766"/>
    <col min="7937" max="7937" width="29.5703125" style="766" bestFit="1" customWidth="1"/>
    <col min="7938" max="7938" width="19.85546875" style="766" customWidth="1"/>
    <col min="7939" max="7939" width="12" style="766" bestFit="1" customWidth="1"/>
    <col min="7940" max="8192" width="9.140625" style="766"/>
    <col min="8193" max="8193" width="29.5703125" style="766" bestFit="1" customWidth="1"/>
    <col min="8194" max="8194" width="19.85546875" style="766" customWidth="1"/>
    <col min="8195" max="8195" width="12" style="766" bestFit="1" customWidth="1"/>
    <col min="8196" max="8448" width="9.140625" style="766"/>
    <col min="8449" max="8449" width="29.5703125" style="766" bestFit="1" customWidth="1"/>
    <col min="8450" max="8450" width="19.85546875" style="766" customWidth="1"/>
    <col min="8451" max="8451" width="12" style="766" bestFit="1" customWidth="1"/>
    <col min="8452" max="8704" width="9.140625" style="766"/>
    <col min="8705" max="8705" width="29.5703125" style="766" bestFit="1" customWidth="1"/>
    <col min="8706" max="8706" width="19.85546875" style="766" customWidth="1"/>
    <col min="8707" max="8707" width="12" style="766" bestFit="1" customWidth="1"/>
    <col min="8708" max="8960" width="9.140625" style="766"/>
    <col min="8961" max="8961" width="29.5703125" style="766" bestFit="1" customWidth="1"/>
    <col min="8962" max="8962" width="19.85546875" style="766" customWidth="1"/>
    <col min="8963" max="8963" width="12" style="766" bestFit="1" customWidth="1"/>
    <col min="8964" max="9216" width="9.140625" style="766"/>
    <col min="9217" max="9217" width="29.5703125" style="766" bestFit="1" customWidth="1"/>
    <col min="9218" max="9218" width="19.85546875" style="766" customWidth="1"/>
    <col min="9219" max="9219" width="12" style="766" bestFit="1" customWidth="1"/>
    <col min="9220" max="9472" width="9.140625" style="766"/>
    <col min="9473" max="9473" width="29.5703125" style="766" bestFit="1" customWidth="1"/>
    <col min="9474" max="9474" width="19.85546875" style="766" customWidth="1"/>
    <col min="9475" max="9475" width="12" style="766" bestFit="1" customWidth="1"/>
    <col min="9476" max="9728" width="9.140625" style="766"/>
    <col min="9729" max="9729" width="29.5703125" style="766" bestFit="1" customWidth="1"/>
    <col min="9730" max="9730" width="19.85546875" style="766" customWidth="1"/>
    <col min="9731" max="9731" width="12" style="766" bestFit="1" customWidth="1"/>
    <col min="9732" max="9984" width="9.140625" style="766"/>
    <col min="9985" max="9985" width="29.5703125" style="766" bestFit="1" customWidth="1"/>
    <col min="9986" max="9986" width="19.85546875" style="766" customWidth="1"/>
    <col min="9987" max="9987" width="12" style="766" bestFit="1" customWidth="1"/>
    <col min="9988" max="10240" width="9.140625" style="766"/>
    <col min="10241" max="10241" width="29.5703125" style="766" bestFit="1" customWidth="1"/>
    <col min="10242" max="10242" width="19.85546875" style="766" customWidth="1"/>
    <col min="10243" max="10243" width="12" style="766" bestFit="1" customWidth="1"/>
    <col min="10244" max="10496" width="9.140625" style="766"/>
    <col min="10497" max="10497" width="29.5703125" style="766" bestFit="1" customWidth="1"/>
    <col min="10498" max="10498" width="19.85546875" style="766" customWidth="1"/>
    <col min="10499" max="10499" width="12" style="766" bestFit="1" customWidth="1"/>
    <col min="10500" max="10752" width="9.140625" style="766"/>
    <col min="10753" max="10753" width="29.5703125" style="766" bestFit="1" customWidth="1"/>
    <col min="10754" max="10754" width="19.85546875" style="766" customWidth="1"/>
    <col min="10755" max="10755" width="12" style="766" bestFit="1" customWidth="1"/>
    <col min="10756" max="11008" width="9.140625" style="766"/>
    <col min="11009" max="11009" width="29.5703125" style="766" bestFit="1" customWidth="1"/>
    <col min="11010" max="11010" width="19.85546875" style="766" customWidth="1"/>
    <col min="11011" max="11011" width="12" style="766" bestFit="1" customWidth="1"/>
    <col min="11012" max="11264" width="9.140625" style="766"/>
    <col min="11265" max="11265" width="29.5703125" style="766" bestFit="1" customWidth="1"/>
    <col min="11266" max="11266" width="19.85546875" style="766" customWidth="1"/>
    <col min="11267" max="11267" width="12" style="766" bestFit="1" customWidth="1"/>
    <col min="11268" max="11520" width="9.140625" style="766"/>
    <col min="11521" max="11521" width="29.5703125" style="766" bestFit="1" customWidth="1"/>
    <col min="11522" max="11522" width="19.85546875" style="766" customWidth="1"/>
    <col min="11523" max="11523" width="12" style="766" bestFit="1" customWidth="1"/>
    <col min="11524" max="11776" width="9.140625" style="766"/>
    <col min="11777" max="11777" width="29.5703125" style="766" bestFit="1" customWidth="1"/>
    <col min="11778" max="11778" width="19.85546875" style="766" customWidth="1"/>
    <col min="11779" max="11779" width="12" style="766" bestFit="1" customWidth="1"/>
    <col min="11780" max="12032" width="9.140625" style="766"/>
    <col min="12033" max="12033" width="29.5703125" style="766" bestFit="1" customWidth="1"/>
    <col min="12034" max="12034" width="19.85546875" style="766" customWidth="1"/>
    <col min="12035" max="12035" width="12" style="766" bestFit="1" customWidth="1"/>
    <col min="12036" max="12288" width="9.140625" style="766"/>
    <col min="12289" max="12289" width="29.5703125" style="766" bestFit="1" customWidth="1"/>
    <col min="12290" max="12290" width="19.85546875" style="766" customWidth="1"/>
    <col min="12291" max="12291" width="12" style="766" bestFit="1" customWidth="1"/>
    <col min="12292" max="12544" width="9.140625" style="766"/>
    <col min="12545" max="12545" width="29.5703125" style="766" bestFit="1" customWidth="1"/>
    <col min="12546" max="12546" width="19.85546875" style="766" customWidth="1"/>
    <col min="12547" max="12547" width="12" style="766" bestFit="1" customWidth="1"/>
    <col min="12548" max="12800" width="9.140625" style="766"/>
    <col min="12801" max="12801" width="29.5703125" style="766" bestFit="1" customWidth="1"/>
    <col min="12802" max="12802" width="19.85546875" style="766" customWidth="1"/>
    <col min="12803" max="12803" width="12" style="766" bestFit="1" customWidth="1"/>
    <col min="12804" max="13056" width="9.140625" style="766"/>
    <col min="13057" max="13057" width="29.5703125" style="766" bestFit="1" customWidth="1"/>
    <col min="13058" max="13058" width="19.85546875" style="766" customWidth="1"/>
    <col min="13059" max="13059" width="12" style="766" bestFit="1" customWidth="1"/>
    <col min="13060" max="13312" width="9.140625" style="766"/>
    <col min="13313" max="13313" width="29.5703125" style="766" bestFit="1" customWidth="1"/>
    <col min="13314" max="13314" width="19.85546875" style="766" customWidth="1"/>
    <col min="13315" max="13315" width="12" style="766" bestFit="1" customWidth="1"/>
    <col min="13316" max="13568" width="9.140625" style="766"/>
    <col min="13569" max="13569" width="29.5703125" style="766" bestFit="1" customWidth="1"/>
    <col min="13570" max="13570" width="19.85546875" style="766" customWidth="1"/>
    <col min="13571" max="13571" width="12" style="766" bestFit="1" customWidth="1"/>
    <col min="13572" max="13824" width="9.140625" style="766"/>
    <col min="13825" max="13825" width="29.5703125" style="766" bestFit="1" customWidth="1"/>
    <col min="13826" max="13826" width="19.85546875" style="766" customWidth="1"/>
    <col min="13827" max="13827" width="12" style="766" bestFit="1" customWidth="1"/>
    <col min="13828" max="14080" width="9.140625" style="766"/>
    <col min="14081" max="14081" width="29.5703125" style="766" bestFit="1" customWidth="1"/>
    <col min="14082" max="14082" width="19.85546875" style="766" customWidth="1"/>
    <col min="14083" max="14083" width="12" style="766" bestFit="1" customWidth="1"/>
    <col min="14084" max="14336" width="9.140625" style="766"/>
    <col min="14337" max="14337" width="29.5703125" style="766" bestFit="1" customWidth="1"/>
    <col min="14338" max="14338" width="19.85546875" style="766" customWidth="1"/>
    <col min="14339" max="14339" width="12" style="766" bestFit="1" customWidth="1"/>
    <col min="14340" max="14592" width="9.140625" style="766"/>
    <col min="14593" max="14593" width="29.5703125" style="766" bestFit="1" customWidth="1"/>
    <col min="14594" max="14594" width="19.85546875" style="766" customWidth="1"/>
    <col min="14595" max="14595" width="12" style="766" bestFit="1" customWidth="1"/>
    <col min="14596" max="14848" width="9.140625" style="766"/>
    <col min="14849" max="14849" width="29.5703125" style="766" bestFit="1" customWidth="1"/>
    <col min="14850" max="14850" width="19.85546875" style="766" customWidth="1"/>
    <col min="14851" max="14851" width="12" style="766" bestFit="1" customWidth="1"/>
    <col min="14852" max="15104" width="9.140625" style="766"/>
    <col min="15105" max="15105" width="29.5703125" style="766" bestFit="1" customWidth="1"/>
    <col min="15106" max="15106" width="19.85546875" style="766" customWidth="1"/>
    <col min="15107" max="15107" width="12" style="766" bestFit="1" customWidth="1"/>
    <col min="15108" max="15360" width="9.140625" style="766"/>
    <col min="15361" max="15361" width="29.5703125" style="766" bestFit="1" customWidth="1"/>
    <col min="15362" max="15362" width="19.85546875" style="766" customWidth="1"/>
    <col min="15363" max="15363" width="12" style="766" bestFit="1" customWidth="1"/>
    <col min="15364" max="15616" width="9.140625" style="766"/>
    <col min="15617" max="15617" width="29.5703125" style="766" bestFit="1" customWidth="1"/>
    <col min="15618" max="15618" width="19.85546875" style="766" customWidth="1"/>
    <col min="15619" max="15619" width="12" style="766" bestFit="1" customWidth="1"/>
    <col min="15620" max="15872" width="9.140625" style="766"/>
    <col min="15873" max="15873" width="29.5703125" style="766" bestFit="1" customWidth="1"/>
    <col min="15874" max="15874" width="19.85546875" style="766" customWidth="1"/>
    <col min="15875" max="15875" width="12" style="766" bestFit="1" customWidth="1"/>
    <col min="15876" max="16128" width="9.140625" style="766"/>
    <col min="16129" max="16129" width="29.5703125" style="766" bestFit="1" customWidth="1"/>
    <col min="16130" max="16130" width="19.85546875" style="766" customWidth="1"/>
    <col min="16131" max="16131" width="12" style="766" bestFit="1" customWidth="1"/>
    <col min="16132" max="16384" width="9.140625" style="766"/>
  </cols>
  <sheetData>
    <row r="1" spans="1:2">
      <c r="A1" s="766" t="s">
        <v>768</v>
      </c>
      <c r="B1" s="857">
        <v>6.1</v>
      </c>
    </row>
    <row r="2" spans="1:2">
      <c r="A2" s="766" t="s">
        <v>769</v>
      </c>
      <c r="B2" s="861">
        <v>43145.802210648151</v>
      </c>
    </row>
    <row r="3" spans="1:2">
      <c r="A3" s="766" t="s">
        <v>770</v>
      </c>
      <c r="B3" s="858" t="s">
        <v>469</v>
      </c>
    </row>
    <row r="4" spans="1:2">
      <c r="A4" s="766" t="s">
        <v>771</v>
      </c>
      <c r="B4" s="858" t="s">
        <v>144</v>
      </c>
    </row>
    <row r="5" spans="1:2">
      <c r="A5" s="766" t="s">
        <v>772</v>
      </c>
      <c r="B5" s="858" t="s">
        <v>773</v>
      </c>
    </row>
    <row r="6" spans="1:2">
      <c r="A6" s="766" t="s">
        <v>774</v>
      </c>
    </row>
    <row r="7" spans="1:2">
      <c r="A7" s="766" t="s">
        <v>775</v>
      </c>
      <c r="B7" s="858" t="s">
        <v>238</v>
      </c>
    </row>
    <row r="8" spans="1:2">
      <c r="A8" s="766" t="s">
        <v>776</v>
      </c>
      <c r="B8" s="858" t="s">
        <v>777</v>
      </c>
    </row>
    <row r="9" spans="1:2">
      <c r="A9" s="766" t="s">
        <v>778</v>
      </c>
      <c r="B9" s="858" t="s">
        <v>815</v>
      </c>
    </row>
    <row r="10" spans="1:2">
      <c r="A10" s="766" t="s">
        <v>779</v>
      </c>
    </row>
    <row r="11" spans="1:2">
      <c r="A11" s="766" t="s">
        <v>780</v>
      </c>
    </row>
    <row r="12" spans="1:2">
      <c r="A12" s="766" t="s">
        <v>781</v>
      </c>
    </row>
    <row r="13" spans="1:2">
      <c r="A13" s="766" t="s">
        <v>782</v>
      </c>
    </row>
    <row r="14" spans="1:2">
      <c r="A14" s="766" t="s">
        <v>783</v>
      </c>
    </row>
    <row r="15" spans="1:2">
      <c r="A15" s="766" t="s">
        <v>784</v>
      </c>
    </row>
    <row r="16" spans="1:2">
      <c r="A16" s="766" t="s">
        <v>785</v>
      </c>
    </row>
    <row r="17" spans="1:4">
      <c r="A17" s="766" t="s">
        <v>786</v>
      </c>
      <c r="B17" s="858" t="s">
        <v>816</v>
      </c>
    </row>
    <row r="18" spans="1:4">
      <c r="A18" s="766" t="s">
        <v>787</v>
      </c>
      <c r="B18" s="858" t="s">
        <v>468</v>
      </c>
    </row>
    <row r="19" spans="1:4">
      <c r="A19" s="766" t="s">
        <v>788</v>
      </c>
      <c r="B19" s="858" t="s">
        <v>237</v>
      </c>
    </row>
    <row r="20" spans="1:4">
      <c r="A20" s="766" t="s">
        <v>789</v>
      </c>
      <c r="B20" s="859">
        <v>38222105</v>
      </c>
    </row>
    <row r="21" spans="1:4">
      <c r="A21" s="766" t="s">
        <v>790</v>
      </c>
      <c r="B21" s="858" t="s">
        <v>237</v>
      </c>
    </row>
    <row r="22" spans="1:4">
      <c r="A22" s="766" t="s">
        <v>791</v>
      </c>
      <c r="B22" s="859">
        <v>2046552</v>
      </c>
    </row>
    <row r="23" spans="1:4">
      <c r="A23" s="766" t="s">
        <v>130</v>
      </c>
      <c r="B23" s="857">
        <v>43.45</v>
      </c>
    </row>
    <row r="24" spans="1:4">
      <c r="A24" s="766" t="s">
        <v>129</v>
      </c>
      <c r="B24" s="858" t="s">
        <v>123</v>
      </c>
      <c r="D24" s="766" t="s">
        <v>160</v>
      </c>
    </row>
    <row r="25" spans="1:4">
      <c r="A25" s="766" t="s">
        <v>792</v>
      </c>
      <c r="B25" s="858" t="s">
        <v>819</v>
      </c>
    </row>
    <row r="26" spans="1:4">
      <c r="A26" s="766" t="s">
        <v>793</v>
      </c>
      <c r="B26" s="858">
        <v>0</v>
      </c>
    </row>
    <row r="27" spans="1:4">
      <c r="A27" s="766" t="s">
        <v>794</v>
      </c>
      <c r="B27" s="858" t="s">
        <v>795</v>
      </c>
    </row>
    <row r="28" spans="1:4">
      <c r="A28" s="766" t="s">
        <v>796</v>
      </c>
      <c r="B28" s="858" t="s">
        <v>797</v>
      </c>
    </row>
    <row r="29" spans="1:4">
      <c r="A29" s="766" t="s">
        <v>798</v>
      </c>
    </row>
    <row r="30" spans="1:4">
      <c r="A30" s="766" t="s">
        <v>799</v>
      </c>
    </row>
    <row r="31" spans="1:4">
      <c r="A31" s="766" t="s">
        <v>800</v>
      </c>
    </row>
    <row r="32" spans="1:4">
      <c r="A32" s="766" t="s">
        <v>801</v>
      </c>
      <c r="B32" s="857"/>
    </row>
    <row r="33" spans="1:2">
      <c r="A33" s="766" t="s">
        <v>802</v>
      </c>
      <c r="B33" s="857"/>
    </row>
    <row r="34" spans="1:2">
      <c r="A34" s="766" t="s">
        <v>803</v>
      </c>
      <c r="B34" s="857"/>
    </row>
    <row r="35" spans="1:2">
      <c r="A35" s="766" t="s">
        <v>804</v>
      </c>
      <c r="B35" s="858">
        <v>1000000</v>
      </c>
    </row>
    <row r="36" spans="1:2">
      <c r="A36" s="766" t="s">
        <v>805</v>
      </c>
      <c r="B36" s="858" t="s">
        <v>817</v>
      </c>
    </row>
    <row r="37" spans="1:2">
      <c r="A37" s="766" t="s">
        <v>806</v>
      </c>
      <c r="B37" s="858" t="s">
        <v>807</v>
      </c>
    </row>
    <row r="38" spans="1:2">
      <c r="A38" s="766" t="s">
        <v>808</v>
      </c>
      <c r="B38" s="858" t="s">
        <v>809</v>
      </c>
    </row>
    <row r="39" spans="1:2">
      <c r="A39" s="766" t="s">
        <v>810</v>
      </c>
      <c r="B39" s="858" t="s">
        <v>818</v>
      </c>
    </row>
    <row r="40" spans="1:2">
      <c r="A40" s="766" t="s">
        <v>811</v>
      </c>
      <c r="B40" s="858">
        <v>1500000105</v>
      </c>
    </row>
    <row r="41" spans="1:2">
      <c r="A41" s="766" t="s">
        <v>812</v>
      </c>
      <c r="B41" s="858">
        <v>1</v>
      </c>
    </row>
    <row r="42" spans="1:2">
      <c r="A42" s="860" t="s">
        <v>813</v>
      </c>
      <c r="B42" s="858" t="s">
        <v>820</v>
      </c>
    </row>
    <row r="43" spans="1:2">
      <c r="A43" s="766" t="s">
        <v>814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766" bestFit="1" customWidth="1"/>
    <col min="2" max="256" width="9.140625" style="766"/>
    <col min="257" max="257" width="28.5703125" style="766" bestFit="1" customWidth="1"/>
    <col min="258" max="512" width="9.140625" style="766"/>
    <col min="513" max="513" width="28.5703125" style="766" bestFit="1" customWidth="1"/>
    <col min="514" max="768" width="9.140625" style="766"/>
    <col min="769" max="769" width="28.5703125" style="766" bestFit="1" customWidth="1"/>
    <col min="770" max="1024" width="9.140625" style="766"/>
    <col min="1025" max="1025" width="28.5703125" style="766" bestFit="1" customWidth="1"/>
    <col min="1026" max="1280" width="9.140625" style="766"/>
    <col min="1281" max="1281" width="28.5703125" style="766" bestFit="1" customWidth="1"/>
    <col min="1282" max="1536" width="9.140625" style="766"/>
    <col min="1537" max="1537" width="28.5703125" style="766" bestFit="1" customWidth="1"/>
    <col min="1538" max="1792" width="9.140625" style="766"/>
    <col min="1793" max="1793" width="28.5703125" style="766" bestFit="1" customWidth="1"/>
    <col min="1794" max="2048" width="9.140625" style="766"/>
    <col min="2049" max="2049" width="28.5703125" style="766" bestFit="1" customWidth="1"/>
    <col min="2050" max="2304" width="9.140625" style="766"/>
    <col min="2305" max="2305" width="28.5703125" style="766" bestFit="1" customWidth="1"/>
    <col min="2306" max="2560" width="9.140625" style="766"/>
    <col min="2561" max="2561" width="28.5703125" style="766" bestFit="1" customWidth="1"/>
    <col min="2562" max="2816" width="9.140625" style="766"/>
    <col min="2817" max="2817" width="28.5703125" style="766" bestFit="1" customWidth="1"/>
    <col min="2818" max="3072" width="9.140625" style="766"/>
    <col min="3073" max="3073" width="28.5703125" style="766" bestFit="1" customWidth="1"/>
    <col min="3074" max="3328" width="9.140625" style="766"/>
    <col min="3329" max="3329" width="28.5703125" style="766" bestFit="1" customWidth="1"/>
    <col min="3330" max="3584" width="9.140625" style="766"/>
    <col min="3585" max="3585" width="28.5703125" style="766" bestFit="1" customWidth="1"/>
    <col min="3586" max="3840" width="9.140625" style="766"/>
    <col min="3841" max="3841" width="28.5703125" style="766" bestFit="1" customWidth="1"/>
    <col min="3842" max="4096" width="9.140625" style="766"/>
    <col min="4097" max="4097" width="28.5703125" style="766" bestFit="1" customWidth="1"/>
    <col min="4098" max="4352" width="9.140625" style="766"/>
    <col min="4353" max="4353" width="28.5703125" style="766" bestFit="1" customWidth="1"/>
    <col min="4354" max="4608" width="9.140625" style="766"/>
    <col min="4609" max="4609" width="28.5703125" style="766" bestFit="1" customWidth="1"/>
    <col min="4610" max="4864" width="9.140625" style="766"/>
    <col min="4865" max="4865" width="28.5703125" style="766" bestFit="1" customWidth="1"/>
    <col min="4866" max="5120" width="9.140625" style="766"/>
    <col min="5121" max="5121" width="28.5703125" style="766" bestFit="1" customWidth="1"/>
    <col min="5122" max="5376" width="9.140625" style="766"/>
    <col min="5377" max="5377" width="28.5703125" style="766" bestFit="1" customWidth="1"/>
    <col min="5378" max="5632" width="9.140625" style="766"/>
    <col min="5633" max="5633" width="28.5703125" style="766" bestFit="1" customWidth="1"/>
    <col min="5634" max="5888" width="9.140625" style="766"/>
    <col min="5889" max="5889" width="28.5703125" style="766" bestFit="1" customWidth="1"/>
    <col min="5890" max="6144" width="9.140625" style="766"/>
    <col min="6145" max="6145" width="28.5703125" style="766" bestFit="1" customWidth="1"/>
    <col min="6146" max="6400" width="9.140625" style="766"/>
    <col min="6401" max="6401" width="28.5703125" style="766" bestFit="1" customWidth="1"/>
    <col min="6402" max="6656" width="9.140625" style="766"/>
    <col min="6657" max="6657" width="28.5703125" style="766" bestFit="1" customWidth="1"/>
    <col min="6658" max="6912" width="9.140625" style="766"/>
    <col min="6913" max="6913" width="28.5703125" style="766" bestFit="1" customWidth="1"/>
    <col min="6914" max="7168" width="9.140625" style="766"/>
    <col min="7169" max="7169" width="28.5703125" style="766" bestFit="1" customWidth="1"/>
    <col min="7170" max="7424" width="9.140625" style="766"/>
    <col min="7425" max="7425" width="28.5703125" style="766" bestFit="1" customWidth="1"/>
    <col min="7426" max="7680" width="9.140625" style="766"/>
    <col min="7681" max="7681" width="28.5703125" style="766" bestFit="1" customWidth="1"/>
    <col min="7682" max="7936" width="9.140625" style="766"/>
    <col min="7937" max="7937" width="28.5703125" style="766" bestFit="1" customWidth="1"/>
    <col min="7938" max="8192" width="9.140625" style="766"/>
    <col min="8193" max="8193" width="28.5703125" style="766" bestFit="1" customWidth="1"/>
    <col min="8194" max="8448" width="9.140625" style="766"/>
    <col min="8449" max="8449" width="28.5703125" style="766" bestFit="1" customWidth="1"/>
    <col min="8450" max="8704" width="9.140625" style="766"/>
    <col min="8705" max="8705" width="28.5703125" style="766" bestFit="1" customWidth="1"/>
    <col min="8706" max="8960" width="9.140625" style="766"/>
    <col min="8961" max="8961" width="28.5703125" style="766" bestFit="1" customWidth="1"/>
    <col min="8962" max="9216" width="9.140625" style="766"/>
    <col min="9217" max="9217" width="28.5703125" style="766" bestFit="1" customWidth="1"/>
    <col min="9218" max="9472" width="9.140625" style="766"/>
    <col min="9473" max="9473" width="28.5703125" style="766" bestFit="1" customWidth="1"/>
    <col min="9474" max="9728" width="9.140625" style="766"/>
    <col min="9729" max="9729" width="28.5703125" style="766" bestFit="1" customWidth="1"/>
    <col min="9730" max="9984" width="9.140625" style="766"/>
    <col min="9985" max="9985" width="28.5703125" style="766" bestFit="1" customWidth="1"/>
    <col min="9986" max="10240" width="9.140625" style="766"/>
    <col min="10241" max="10241" width="28.5703125" style="766" bestFit="1" customWidth="1"/>
    <col min="10242" max="10496" width="9.140625" style="766"/>
    <col min="10497" max="10497" width="28.5703125" style="766" bestFit="1" customWidth="1"/>
    <col min="10498" max="10752" width="9.140625" style="766"/>
    <col min="10753" max="10753" width="28.5703125" style="766" bestFit="1" customWidth="1"/>
    <col min="10754" max="11008" width="9.140625" style="766"/>
    <col min="11009" max="11009" width="28.5703125" style="766" bestFit="1" customWidth="1"/>
    <col min="11010" max="11264" width="9.140625" style="766"/>
    <col min="11265" max="11265" width="28.5703125" style="766" bestFit="1" customWidth="1"/>
    <col min="11266" max="11520" width="9.140625" style="766"/>
    <col min="11521" max="11521" width="28.5703125" style="766" bestFit="1" customWidth="1"/>
    <col min="11522" max="11776" width="9.140625" style="766"/>
    <col min="11777" max="11777" width="28.5703125" style="766" bestFit="1" customWidth="1"/>
    <col min="11778" max="12032" width="9.140625" style="766"/>
    <col min="12033" max="12033" width="28.5703125" style="766" bestFit="1" customWidth="1"/>
    <col min="12034" max="12288" width="9.140625" style="766"/>
    <col min="12289" max="12289" width="28.5703125" style="766" bestFit="1" customWidth="1"/>
    <col min="12290" max="12544" width="9.140625" style="766"/>
    <col min="12545" max="12545" width="28.5703125" style="766" bestFit="1" customWidth="1"/>
    <col min="12546" max="12800" width="9.140625" style="766"/>
    <col min="12801" max="12801" width="28.5703125" style="766" bestFit="1" customWidth="1"/>
    <col min="12802" max="13056" width="9.140625" style="766"/>
    <col min="13057" max="13057" width="28.5703125" style="766" bestFit="1" customWidth="1"/>
    <col min="13058" max="13312" width="9.140625" style="766"/>
    <col min="13313" max="13313" width="28.5703125" style="766" bestFit="1" customWidth="1"/>
    <col min="13314" max="13568" width="9.140625" style="766"/>
    <col min="13569" max="13569" width="28.5703125" style="766" bestFit="1" customWidth="1"/>
    <col min="13570" max="13824" width="9.140625" style="766"/>
    <col min="13825" max="13825" width="28.5703125" style="766" bestFit="1" customWidth="1"/>
    <col min="13826" max="14080" width="9.140625" style="766"/>
    <col min="14081" max="14081" width="28.5703125" style="766" bestFit="1" customWidth="1"/>
    <col min="14082" max="14336" width="9.140625" style="766"/>
    <col min="14337" max="14337" width="28.5703125" style="766" bestFit="1" customWidth="1"/>
    <col min="14338" max="14592" width="9.140625" style="766"/>
    <col min="14593" max="14593" width="28.5703125" style="766" bestFit="1" customWidth="1"/>
    <col min="14594" max="14848" width="9.140625" style="766"/>
    <col min="14849" max="14849" width="28.5703125" style="766" bestFit="1" customWidth="1"/>
    <col min="14850" max="15104" width="9.140625" style="766"/>
    <col min="15105" max="15105" width="28.5703125" style="766" bestFit="1" customWidth="1"/>
    <col min="15106" max="15360" width="9.140625" style="766"/>
    <col min="15361" max="15361" width="28.5703125" style="766" bestFit="1" customWidth="1"/>
    <col min="15362" max="15616" width="9.140625" style="766"/>
    <col min="15617" max="15617" width="28.5703125" style="766" bestFit="1" customWidth="1"/>
    <col min="15618" max="15872" width="9.140625" style="766"/>
    <col min="15873" max="15873" width="28.5703125" style="766" bestFit="1" customWidth="1"/>
    <col min="15874" max="16128" width="9.140625" style="766"/>
    <col min="16129" max="16129" width="28.5703125" style="766" bestFit="1" customWidth="1"/>
    <col min="16130" max="16384" width="9.140625" style="766"/>
  </cols>
  <sheetData>
    <row r="1" spans="1:1">
      <c r="A1" s="862" t="s">
        <v>821</v>
      </c>
    </row>
    <row r="2" spans="1:1">
      <c r="A2" s="862" t="s">
        <v>826</v>
      </c>
    </row>
    <row r="3" spans="1:1">
      <c r="A3" s="862" t="s">
        <v>827</v>
      </c>
    </row>
    <row r="4" spans="1:1">
      <c r="A4" s="862" t="s">
        <v>828</v>
      </c>
    </row>
    <row r="5" spans="1:1">
      <c r="A5" s="862" t="s">
        <v>829</v>
      </c>
    </row>
    <row r="6" spans="1:1">
      <c r="A6" s="862" t="s">
        <v>822</v>
      </c>
    </row>
    <row r="7" spans="1:1">
      <c r="A7" s="862" t="s">
        <v>830</v>
      </c>
    </row>
    <row r="8" spans="1:1">
      <c r="A8" s="862" t="s">
        <v>831</v>
      </c>
    </row>
    <row r="9" spans="1:1">
      <c r="A9" s="862" t="s">
        <v>832</v>
      </c>
    </row>
    <row r="10" spans="1:1">
      <c r="A10" s="862" t="s">
        <v>823</v>
      </c>
    </row>
    <row r="11" spans="1:1">
      <c r="A11" s="862" t="s">
        <v>833</v>
      </c>
    </row>
    <row r="12" spans="1:1">
      <c r="A12" s="862" t="s">
        <v>824</v>
      </c>
    </row>
    <row r="13" spans="1:1">
      <c r="A13" s="862" t="s">
        <v>825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F85F4634-422B-4ACE-8D6F-5AB9A02F1E5B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21EC61AA-C401-4C35-BA34-91D38FDCA820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Linking_11</vt:lpstr>
      <vt:lpstr>Linking_13</vt:lpstr>
      <vt:lpstr>Linking_15</vt:lpstr>
      <vt:lpstr>Linking_16</vt:lpstr>
      <vt:lpstr>Linking_17</vt:lpstr>
      <vt:lpstr>Linking_18</vt:lpstr>
      <vt:lpstr>Linking_2</vt:lpstr>
      <vt:lpstr>Linking_20</vt:lpstr>
      <vt:lpstr>Linking_21</vt:lpstr>
      <vt:lpstr>Linking_22</vt:lpstr>
      <vt:lpstr>Linking_3</vt:lpstr>
      <vt:lpstr>Linking_9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CFS!Print_Area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2014-08-08T14:51:18Z</dcterms:created>
  <dc:creator>Lim, Alvin (Research)</dc:creator>
  <cp:lastModifiedBy>Linden, Sarah (Research)</cp:lastModifiedBy>
  <cp:lastPrinted>2018-02-15T00:12:16Z</cp:lastPrinted>
  <dcterms:modified xsi:type="dcterms:W3CDTF">2018-02-15T00:15:12Z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7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750894</vt:lpwstr>
  </property>
  <property fmtid="{D5CDD505-2E9C-101B-9397-08002B2CF9AE}" name="ERModPubCompanyName" pid="7">
    <vt:lpwstr>Applied Materials Inc.</vt:lpwstr>
  </property>
  <property fmtid="{D5CDD505-2E9C-101B-9397-08002B2CF9AE}" name="MSDH34TAG" pid="8">
    <vt:lpwstr>.TEZUF76X5TAHATHESADREYAK-00-INB160+*94600-06=4ccb5390/-11e5/-11e8/-b486/-4f602178b9fa,MD=20180214191738/-0500,ZZ=000Z-1f3b.</vt:lpwstr>
  </property>
</Properties>
</file>